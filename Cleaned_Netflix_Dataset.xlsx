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Mini Project\"/>
    </mc:Choice>
  </mc:AlternateContent>
  <xr:revisionPtr revIDLastSave="0" documentId="13_ncr:1_{51294B62-CFD6-4CFF-ACEE-7A1382BED116}" xr6:coauthVersionLast="47" xr6:coauthVersionMax="47" xr10:uidLastSave="{00000000-0000-0000-0000-000000000000}"/>
  <bookViews>
    <workbookView xWindow="-110" yWindow="-110" windowWidth="19420" windowHeight="10300" activeTab="2" xr2:uid="{947A9D06-9F35-4BC7-AFEC-DC0A49D5B8FF}"/>
  </bookViews>
  <sheets>
    <sheet name="Netflix_Cleaned" sheetId="5" r:id="rId1"/>
    <sheet name="Dashboard" sheetId="9" r:id="rId2"/>
    <sheet name="Dataset Overview2" sheetId="8" r:id="rId3"/>
    <sheet name="Netflix_Dirty_Dataset" sheetId="1" r:id="rId4"/>
    <sheet name="Dataset Overview" sheetId="3" r:id="rId5"/>
    <sheet name="Data Cleaning Log" sheetId="4" r:id="rId6"/>
  </sheets>
  <definedNames>
    <definedName name="ExternalData_1" localSheetId="0" hidden="1">Netflix_Cleaned!$A$1:$P$2001</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9" l="1"/>
  <c r="H4" i="9"/>
  <c r="G4" i="9"/>
  <c r="F4" i="9"/>
  <c r="E4" i="9"/>
  <c r="D4" i="9"/>
  <c r="C4" i="9"/>
  <c r="B4" i="9"/>
  <c r="A4" i="9"/>
  <c r="C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178004-B3B3-4E54-A08E-5D6DFD6ADD95}" keepAlive="1" name="Query - Netflix_Cleaned" description="Connection to the 'Netflix_Cleaned' query in the workbook." type="5" refreshedVersion="8" background="1" saveData="1">
    <dbPr connection="Provider=Microsoft.Mashup.OleDb.1;Data Source=$Workbook$;Location=Netflix_Cleaned;Extended Properties=&quot;&quot;" command="SELECT * FROM [Netflix_Cleaned]"/>
  </connection>
</connections>
</file>

<file path=xl/sharedStrings.xml><?xml version="1.0" encoding="utf-8"?>
<sst xmlns="http://schemas.openxmlformats.org/spreadsheetml/2006/main" count="38299" uniqueCount="4426">
  <si>
    <t>show_id</t>
  </si>
  <si>
    <t>title</t>
  </si>
  <si>
    <t>type</t>
  </si>
  <si>
    <t>director</t>
  </si>
  <si>
    <t>country</t>
  </si>
  <si>
    <t>date_added</t>
  </si>
  <si>
    <t>release_year</t>
  </si>
  <si>
    <t>rating</t>
  </si>
  <si>
    <t>duration</t>
  </si>
  <si>
    <t>genre</t>
  </si>
  <si>
    <t>imdb_rating</t>
  </si>
  <si>
    <t>views</t>
  </si>
  <si>
    <t>watch_hours</t>
  </si>
  <si>
    <t>completion_rate</t>
  </si>
  <si>
    <t>language</t>
  </si>
  <si>
    <t>device_type</t>
  </si>
  <si>
    <t>S1000</t>
  </si>
  <si>
    <t>Blue Legacy 1</t>
  </si>
  <si>
    <t>MOVIE</t>
  </si>
  <si>
    <t>L. Brown</t>
  </si>
  <si>
    <t>Australia</t>
  </si>
  <si>
    <t>TV-14</t>
  </si>
  <si>
    <t>82 min</t>
  </si>
  <si>
    <t>Thriller</t>
  </si>
  <si>
    <t>English</t>
  </si>
  <si>
    <t>S1001</t>
  </si>
  <si>
    <t>fire files 2</t>
  </si>
  <si>
    <t>J. Lee</t>
  </si>
  <si>
    <t>South Korea</t>
  </si>
  <si>
    <t>179 min</t>
  </si>
  <si>
    <t>Crime</t>
  </si>
  <si>
    <t>Korean</t>
  </si>
  <si>
    <t>Tablet</t>
  </si>
  <si>
    <t>S1002</t>
  </si>
  <si>
    <t>Echo Night 3</t>
  </si>
  <si>
    <t>tv show</t>
  </si>
  <si>
    <t>S. Patel</t>
  </si>
  <si>
    <t>Canada</t>
  </si>
  <si>
    <t>R</t>
  </si>
  <si>
    <t>6 Seasons</t>
  </si>
  <si>
    <t>Documentary</t>
  </si>
  <si>
    <t>French</t>
  </si>
  <si>
    <t>TV</t>
  </si>
  <si>
    <t>S1003</t>
  </si>
  <si>
    <t>infinite night 4</t>
  </si>
  <si>
    <t>Japan</t>
  </si>
  <si>
    <t>PG</t>
  </si>
  <si>
    <t>143 min</t>
  </si>
  <si>
    <t>Romance</t>
  </si>
  <si>
    <t>Tamil</t>
  </si>
  <si>
    <t>Laptop</t>
  </si>
  <si>
    <t>S1004</t>
  </si>
  <si>
    <t>wild story 5</t>
  </si>
  <si>
    <t>TV Show</t>
  </si>
  <si>
    <t>P. Johnson</t>
  </si>
  <si>
    <t>United States</t>
  </si>
  <si>
    <t>2 Seasons</t>
  </si>
  <si>
    <t>Horror</t>
  </si>
  <si>
    <t>German</t>
  </si>
  <si>
    <t>S1005</t>
  </si>
  <si>
    <t>Wild Signal 6</t>
  </si>
  <si>
    <t>A. Smith</t>
  </si>
  <si>
    <t>France</t>
  </si>
  <si>
    <t>PG-13</t>
  </si>
  <si>
    <t>4 Seasons</t>
  </si>
  <si>
    <t>Telugu</t>
  </si>
  <si>
    <t>S1006</t>
  </si>
  <si>
    <t>Wild Files 7</t>
  </si>
  <si>
    <t>M. Garcia</t>
  </si>
  <si>
    <t>India</t>
  </si>
  <si>
    <t>tv-ma</t>
  </si>
  <si>
    <t>1 Seasons</t>
  </si>
  <si>
    <t>Drama</t>
  </si>
  <si>
    <t>S1007</t>
  </si>
  <si>
    <t>Golden Chronicles 8</t>
  </si>
  <si>
    <t>R. Kumar</t>
  </si>
  <si>
    <t xml:space="preserve"> comedy</t>
  </si>
  <si>
    <t>S1008</t>
  </si>
  <si>
    <t>Golden Line 9</t>
  </si>
  <si>
    <t>movie</t>
  </si>
  <si>
    <t>U.S.</t>
  </si>
  <si>
    <t>TV-Y</t>
  </si>
  <si>
    <t>152 min</t>
  </si>
  <si>
    <t>S1009</t>
  </si>
  <si>
    <t>Movie</t>
  </si>
  <si>
    <t>TV-PG</t>
  </si>
  <si>
    <t>171 min</t>
  </si>
  <si>
    <t>Mobile</t>
  </si>
  <si>
    <t>S1010</t>
  </si>
  <si>
    <t>Infinite Story 11</t>
  </si>
  <si>
    <t>K. Tanaka</t>
  </si>
  <si>
    <t>Spanish</t>
  </si>
  <si>
    <t>S1011</t>
  </si>
  <si>
    <t>Golden Dream 12</t>
  </si>
  <si>
    <t>N. Singh</t>
  </si>
  <si>
    <t>3 Seasons</t>
  </si>
  <si>
    <t>Action</t>
  </si>
  <si>
    <t>S1012</t>
  </si>
  <si>
    <t>Broken Dream 13</t>
  </si>
  <si>
    <t>Germany</t>
  </si>
  <si>
    <t xml:space="preserve">Drama </t>
  </si>
  <si>
    <t>S1013</t>
  </si>
  <si>
    <t>Secret Truth 14</t>
  </si>
  <si>
    <t>Animation</t>
  </si>
  <si>
    <t>Hindi</t>
  </si>
  <si>
    <t>S1014</t>
  </si>
  <si>
    <t>secret line 15</t>
  </si>
  <si>
    <t>TV-MA</t>
  </si>
  <si>
    <t>126 min</t>
  </si>
  <si>
    <t>S1015</t>
  </si>
  <si>
    <t>Royal Empire 16</t>
  </si>
  <si>
    <t>S1016</t>
  </si>
  <si>
    <t>Silent Signal 17</t>
  </si>
  <si>
    <t>Spain</t>
  </si>
  <si>
    <t>G</t>
  </si>
  <si>
    <t>121 min</t>
  </si>
  <si>
    <t>S1017</t>
  </si>
  <si>
    <t>Dark Journey 18</t>
  </si>
  <si>
    <t>5 Seasons</t>
  </si>
  <si>
    <t>S1018</t>
  </si>
  <si>
    <t>Lost Journey 19</t>
  </si>
  <si>
    <t>TV-G</t>
  </si>
  <si>
    <t>180 min</t>
  </si>
  <si>
    <t>Japanese</t>
  </si>
  <si>
    <t>S1019</t>
  </si>
  <si>
    <t>Beyond Game 20</t>
  </si>
  <si>
    <t>S1020</t>
  </si>
  <si>
    <t>Echo Files 21</t>
  </si>
  <si>
    <t>S1021</t>
  </si>
  <si>
    <t>Crimson Valley 22</t>
  </si>
  <si>
    <t>S1022</t>
  </si>
  <si>
    <t>United Kingdom</t>
  </si>
  <si>
    <t>174 min</t>
  </si>
  <si>
    <t>Comedy</t>
  </si>
  <si>
    <t>S1023</t>
  </si>
  <si>
    <t>Crimson Valley 24</t>
  </si>
  <si>
    <t>7 Seasons</t>
  </si>
  <si>
    <t>S1024</t>
  </si>
  <si>
    <t>Dark Files 25</t>
  </si>
  <si>
    <t>S1025</t>
  </si>
  <si>
    <t>Broken Signal 26</t>
  </si>
  <si>
    <t>S1026</t>
  </si>
  <si>
    <t>Hidden Rise 27</t>
  </si>
  <si>
    <t>S1027</t>
  </si>
  <si>
    <t>Lost Files 28</t>
  </si>
  <si>
    <t>S1028</t>
  </si>
  <si>
    <t>Secret Files 29</t>
  </si>
  <si>
    <t>118 min</t>
  </si>
  <si>
    <t>S1029</t>
  </si>
  <si>
    <t>Urban Night 30</t>
  </si>
  <si>
    <t>83 min</t>
  </si>
  <si>
    <t>S1030</t>
  </si>
  <si>
    <t>broken journey 31</t>
  </si>
  <si>
    <t>Sci-Fi</t>
  </si>
  <si>
    <t>S1031</t>
  </si>
  <si>
    <t>Echo Files 32</t>
  </si>
  <si>
    <t>D. Kim</t>
  </si>
  <si>
    <t>96 min</t>
  </si>
  <si>
    <t>S1032</t>
  </si>
  <si>
    <t>Shadow Night 33</t>
  </si>
  <si>
    <t>S1033</t>
  </si>
  <si>
    <t>Crimson Dream 34</t>
  </si>
  <si>
    <t>8 Seasons</t>
  </si>
  <si>
    <t>S1034</t>
  </si>
  <si>
    <t>Golden Signal 35</t>
  </si>
  <si>
    <t>USA</t>
  </si>
  <si>
    <t>S1035</t>
  </si>
  <si>
    <t>Lost World 36</t>
  </si>
  <si>
    <t>S1036</t>
  </si>
  <si>
    <t>Infinite Code 37</t>
  </si>
  <si>
    <t>157 min</t>
  </si>
  <si>
    <t>S1037</t>
  </si>
  <si>
    <t>Infinite Valley 38</t>
  </si>
  <si>
    <t>S1038</t>
  </si>
  <si>
    <t>Broken Truth 39</t>
  </si>
  <si>
    <t>S1039</t>
  </si>
  <si>
    <t>Crimson Night 40</t>
  </si>
  <si>
    <t>S1040</t>
  </si>
  <si>
    <t>Broken Journey 41</t>
  </si>
  <si>
    <t>112 min</t>
  </si>
  <si>
    <t>S1041</t>
  </si>
  <si>
    <t>Lost Night 42</t>
  </si>
  <si>
    <t>S1042</t>
  </si>
  <si>
    <t>Royal Journey 43</t>
  </si>
  <si>
    <t>111 min</t>
  </si>
  <si>
    <t>S1043</t>
  </si>
  <si>
    <t>Dark Mission 44</t>
  </si>
  <si>
    <t>102 min</t>
  </si>
  <si>
    <t>S1044</t>
  </si>
  <si>
    <t>hidden empire 45</t>
  </si>
  <si>
    <t>S1045</t>
  </si>
  <si>
    <t>Ocean Valley 46</t>
  </si>
  <si>
    <t>88 min</t>
  </si>
  <si>
    <t>S1046</t>
  </si>
  <si>
    <t>Last Night 47</t>
  </si>
  <si>
    <t>89 min</t>
  </si>
  <si>
    <t>S1047</t>
  </si>
  <si>
    <t>S1048</t>
  </si>
  <si>
    <t>Crimson Truth 49</t>
  </si>
  <si>
    <t>119 min</t>
  </si>
  <si>
    <t>S1049</t>
  </si>
  <si>
    <t>Wild Valley 50</t>
  </si>
  <si>
    <t>S1050</t>
  </si>
  <si>
    <t>Ocean Edge 51</t>
  </si>
  <si>
    <t>153 min</t>
  </si>
  <si>
    <t>S1051</t>
  </si>
  <si>
    <t>Infinite Files 52</t>
  </si>
  <si>
    <t>S1052</t>
  </si>
  <si>
    <t>Last Valley 53</t>
  </si>
  <si>
    <t>S1053</t>
  </si>
  <si>
    <t>Beyond Rise 54</t>
  </si>
  <si>
    <t>100 min</t>
  </si>
  <si>
    <t>S1054</t>
  </si>
  <si>
    <t>Echo Quest 55</t>
  </si>
  <si>
    <t>S1055</t>
  </si>
  <si>
    <t>Fire World 56</t>
  </si>
  <si>
    <t>S1056</t>
  </si>
  <si>
    <t>Royal Zone 57</t>
  </si>
  <si>
    <t>149 min</t>
  </si>
  <si>
    <t>S1057</t>
  </si>
  <si>
    <t>Ocean Zone 58</t>
  </si>
  <si>
    <t>S1058</t>
  </si>
  <si>
    <t>Beyond Night 59</t>
  </si>
  <si>
    <t>78 min</t>
  </si>
  <si>
    <t>S1059</t>
  </si>
  <si>
    <t>Dark World 60</t>
  </si>
  <si>
    <t>161 min</t>
  </si>
  <si>
    <t>S1060</t>
  </si>
  <si>
    <t>Wild World 61</t>
  </si>
  <si>
    <t>S1061</t>
  </si>
  <si>
    <t>Ocean Truth 62</t>
  </si>
  <si>
    <t>73 min</t>
  </si>
  <si>
    <t>S1062</t>
  </si>
  <si>
    <t>Future Game 63</t>
  </si>
  <si>
    <t>S1063</t>
  </si>
  <si>
    <t>Beyond Rise 64</t>
  </si>
  <si>
    <t>170 min</t>
  </si>
  <si>
    <t>S1064</t>
  </si>
  <si>
    <t>Hidden Dream 65</t>
  </si>
  <si>
    <t>S1065</t>
  </si>
  <si>
    <t>Blue Story 66</t>
  </si>
  <si>
    <t>S1066</t>
  </si>
  <si>
    <t>Urban Zone 67</t>
  </si>
  <si>
    <t>S1067</t>
  </si>
  <si>
    <t>Beyond Story 68</t>
  </si>
  <si>
    <t>S1068</t>
  </si>
  <si>
    <t>Shadow Files 69</t>
  </si>
  <si>
    <t>S1069</t>
  </si>
  <si>
    <t>Secret Night 70</t>
  </si>
  <si>
    <t>123 min</t>
  </si>
  <si>
    <t>S1070</t>
  </si>
  <si>
    <t>Hidden Chronicles 71</t>
  </si>
  <si>
    <t>S1071</t>
  </si>
  <si>
    <t>Urban Code 72</t>
  </si>
  <si>
    <t>71 min</t>
  </si>
  <si>
    <t>S1072</t>
  </si>
  <si>
    <t>Infinite Line 73</t>
  </si>
  <si>
    <t>S1073</t>
  </si>
  <si>
    <t>Shadow Chronicles 74</t>
  </si>
  <si>
    <t>131 min</t>
  </si>
  <si>
    <t>S1074</t>
  </si>
  <si>
    <t>Shadow Game 75</t>
  </si>
  <si>
    <t>147 min</t>
  </si>
  <si>
    <t>S1075</t>
  </si>
  <si>
    <t>Broken Rise 76</t>
  </si>
  <si>
    <t>S1076</t>
  </si>
  <si>
    <t>Silent World 77</t>
  </si>
  <si>
    <t>S1077</t>
  </si>
  <si>
    <t>Broken Night 78</t>
  </si>
  <si>
    <t>S1078</t>
  </si>
  <si>
    <t>Broken Rise 79</t>
  </si>
  <si>
    <t>S1079</t>
  </si>
  <si>
    <t>Hidden Quest 80</t>
  </si>
  <si>
    <t>S1080</t>
  </si>
  <si>
    <t>Golden Mission 81</t>
  </si>
  <si>
    <t>93 min</t>
  </si>
  <si>
    <t>S1081</t>
  </si>
  <si>
    <t>Fire Legacy 82</t>
  </si>
  <si>
    <t>S1082</t>
  </si>
  <si>
    <t>Secret Truth 83</t>
  </si>
  <si>
    <t>S1083</t>
  </si>
  <si>
    <t>Infinite Valley 84</t>
  </si>
  <si>
    <t>163 min</t>
  </si>
  <si>
    <t>S1084</t>
  </si>
  <si>
    <t>Lost Code 85</t>
  </si>
  <si>
    <t>S1085</t>
  </si>
  <si>
    <t>Lost Night 86</t>
  </si>
  <si>
    <t>106 min</t>
  </si>
  <si>
    <t>S1086</t>
  </si>
  <si>
    <t>Ocean Code 87</t>
  </si>
  <si>
    <t>S1087</t>
  </si>
  <si>
    <t>Broken Game 88</t>
  </si>
  <si>
    <t>S1088</t>
  </si>
  <si>
    <t>beyond valley 89</t>
  </si>
  <si>
    <t>132 min</t>
  </si>
  <si>
    <t>S1089</t>
  </si>
  <si>
    <t>Urban Edge 90</t>
  </si>
  <si>
    <t>S1090</t>
  </si>
  <si>
    <t>future truth 91</t>
  </si>
  <si>
    <t>77 min</t>
  </si>
  <si>
    <t>S1091</t>
  </si>
  <si>
    <t>Blue Story 92</t>
  </si>
  <si>
    <t>S1092</t>
  </si>
  <si>
    <t>Wild Dream 93</t>
  </si>
  <si>
    <t>S1093</t>
  </si>
  <si>
    <t>Fire Mission 94</t>
  </si>
  <si>
    <t>S1094</t>
  </si>
  <si>
    <t>Lost Signal 95</t>
  </si>
  <si>
    <t>S1095</t>
  </si>
  <si>
    <t>Royal Game 96</t>
  </si>
  <si>
    <t>S1096</t>
  </si>
  <si>
    <t>Royal Code 97</t>
  </si>
  <si>
    <t>177 min</t>
  </si>
  <si>
    <t>S1097</t>
  </si>
  <si>
    <t>Shadow Story 98</t>
  </si>
  <si>
    <t>79 min</t>
  </si>
  <si>
    <t>S1098</t>
  </si>
  <si>
    <t>Shadow Signal 99</t>
  </si>
  <si>
    <t>S1099</t>
  </si>
  <si>
    <t>Lost Empire 100</t>
  </si>
  <si>
    <t>84 min</t>
  </si>
  <si>
    <t>S1100</t>
  </si>
  <si>
    <t>Hidden Files 101</t>
  </si>
  <si>
    <t>113 min</t>
  </si>
  <si>
    <t>S1101</t>
  </si>
  <si>
    <t>Dark Quest 102</t>
  </si>
  <si>
    <t>S1102</t>
  </si>
  <si>
    <t>S1103</t>
  </si>
  <si>
    <t>Crimson Chronicles 104</t>
  </si>
  <si>
    <t>S1104</t>
  </si>
  <si>
    <t>Echo Files 105</t>
  </si>
  <si>
    <t>90 min</t>
  </si>
  <si>
    <t>S1105</t>
  </si>
  <si>
    <t>Dark Quest 106</t>
  </si>
  <si>
    <t>S1106</t>
  </si>
  <si>
    <t>Dark Dream 107</t>
  </si>
  <si>
    <t>133 min</t>
  </si>
  <si>
    <t>S1107</t>
  </si>
  <si>
    <t>Shadow Rise 108</t>
  </si>
  <si>
    <t>108 min</t>
  </si>
  <si>
    <t>S1108</t>
  </si>
  <si>
    <t>Infinite Mission 109</t>
  </si>
  <si>
    <t>S1109</t>
  </si>
  <si>
    <t>Fire Legacy 110</t>
  </si>
  <si>
    <t>S1110</t>
  </si>
  <si>
    <t>Royal Truth 111</t>
  </si>
  <si>
    <t>S1111</t>
  </si>
  <si>
    <t>S1112</t>
  </si>
  <si>
    <t>Royal Code 113</t>
  </si>
  <si>
    <t>S1113</t>
  </si>
  <si>
    <t>Secret Code 114</t>
  </si>
  <si>
    <t>S1114</t>
  </si>
  <si>
    <t>Royal Mission 115</t>
  </si>
  <si>
    <t>S1115</t>
  </si>
  <si>
    <t>Future Files 116</t>
  </si>
  <si>
    <t>S1116</t>
  </si>
  <si>
    <t>Wild Zone 117</t>
  </si>
  <si>
    <t>S1117</t>
  </si>
  <si>
    <t>Last Line 118</t>
  </si>
  <si>
    <t>S1118</t>
  </si>
  <si>
    <t>Broken Journey 119</t>
  </si>
  <si>
    <t>86 min</t>
  </si>
  <si>
    <t>S1119</t>
  </si>
  <si>
    <t>Wild Story 120</t>
  </si>
  <si>
    <t>S1120</t>
  </si>
  <si>
    <t>Beyond Chronicles 121</t>
  </si>
  <si>
    <t>114 min</t>
  </si>
  <si>
    <t>S1121</t>
  </si>
  <si>
    <t>Future Chronicles 122</t>
  </si>
  <si>
    <t>S1122</t>
  </si>
  <si>
    <t>Silent Line 123</t>
  </si>
  <si>
    <t>S1123</t>
  </si>
  <si>
    <t>Urban Mission 124</t>
  </si>
  <si>
    <t>142 min</t>
  </si>
  <si>
    <t>S1124</t>
  </si>
  <si>
    <t>Broken Code 125</t>
  </si>
  <si>
    <t>S1125</t>
  </si>
  <si>
    <t>Lost Empire 126</t>
  </si>
  <si>
    <t>S1126</t>
  </si>
  <si>
    <t>Crimson Story 127</t>
  </si>
  <si>
    <t>S1127</t>
  </si>
  <si>
    <t>Wild Code 128</t>
  </si>
  <si>
    <t>S1128</t>
  </si>
  <si>
    <t>Hidden Valley 129</t>
  </si>
  <si>
    <t>S1129</t>
  </si>
  <si>
    <t>Last Line 130</t>
  </si>
  <si>
    <t>150 min</t>
  </si>
  <si>
    <t>S1130</t>
  </si>
  <si>
    <t>Broken Signal 131</t>
  </si>
  <si>
    <t>S1131</t>
  </si>
  <si>
    <t>Broken Quest 132</t>
  </si>
  <si>
    <t>S1132</t>
  </si>
  <si>
    <t>Dark Edge 133</t>
  </si>
  <si>
    <t>S1133</t>
  </si>
  <si>
    <t>Last Valley 134</t>
  </si>
  <si>
    <t>S1134</t>
  </si>
  <si>
    <t>Urban Line 135</t>
  </si>
  <si>
    <t>156 min</t>
  </si>
  <si>
    <t>S1135</t>
  </si>
  <si>
    <t>Fire Chronicles 136</t>
  </si>
  <si>
    <t>S1136</t>
  </si>
  <si>
    <t>Future Valley 137</t>
  </si>
  <si>
    <t>97 min</t>
  </si>
  <si>
    <t>S1137</t>
  </si>
  <si>
    <t>Future Edge 138</t>
  </si>
  <si>
    <t>S1138</t>
  </si>
  <si>
    <t>Fire Empire 139</t>
  </si>
  <si>
    <t>S1139</t>
  </si>
  <si>
    <t>Urban Signal 140</t>
  </si>
  <si>
    <t>S1140</t>
  </si>
  <si>
    <t>Broken Zone 141</t>
  </si>
  <si>
    <t>144 min</t>
  </si>
  <si>
    <t>S1141</t>
  </si>
  <si>
    <t>Wild Edge 142</t>
  </si>
  <si>
    <t>S1142</t>
  </si>
  <si>
    <t>Shadow Game 143</t>
  </si>
  <si>
    <t>S1143</t>
  </si>
  <si>
    <t>Blue Code 144</t>
  </si>
  <si>
    <t>S1144</t>
  </si>
  <si>
    <t>Future Valley 145</t>
  </si>
  <si>
    <t>169 min</t>
  </si>
  <si>
    <t>S1145</t>
  </si>
  <si>
    <t>Last Dream 146</t>
  </si>
  <si>
    <t>134 min</t>
  </si>
  <si>
    <t>S1146</t>
  </si>
  <si>
    <t>Urban Files 147</t>
  </si>
  <si>
    <t>S1147</t>
  </si>
  <si>
    <t>Future Signal 148</t>
  </si>
  <si>
    <t>S1148</t>
  </si>
  <si>
    <t>Secret Game 149</t>
  </si>
  <si>
    <t>S1149</t>
  </si>
  <si>
    <t>Silent Edge 150</t>
  </si>
  <si>
    <t>S1150</t>
  </si>
  <si>
    <t>Hidden World 151</t>
  </si>
  <si>
    <t>S1151</t>
  </si>
  <si>
    <t>lost truth 152</t>
  </si>
  <si>
    <t>95 min</t>
  </si>
  <si>
    <t>S1152</t>
  </si>
  <si>
    <t>Wild Legacy 153</t>
  </si>
  <si>
    <t>S1153</t>
  </si>
  <si>
    <t>Blue Edge 154</t>
  </si>
  <si>
    <t>70 min</t>
  </si>
  <si>
    <t>S1154</t>
  </si>
  <si>
    <t>Blue Journey 155</t>
  </si>
  <si>
    <t>S1155</t>
  </si>
  <si>
    <t>Golden Edge 156</t>
  </si>
  <si>
    <t>S1156</t>
  </si>
  <si>
    <t>Secret Rise 157</t>
  </si>
  <si>
    <t>S1157</t>
  </si>
  <si>
    <t>Echo Chronicles 158</t>
  </si>
  <si>
    <t>176 min</t>
  </si>
  <si>
    <t>S1158</t>
  </si>
  <si>
    <t>Royal Valley 159</t>
  </si>
  <si>
    <t>S1159</t>
  </si>
  <si>
    <t>Royal Night 160</t>
  </si>
  <si>
    <t>S1160</t>
  </si>
  <si>
    <t>Shadow Empire 161</t>
  </si>
  <si>
    <t>S1161</t>
  </si>
  <si>
    <t>Silent Line 162</t>
  </si>
  <si>
    <t>S1162</t>
  </si>
  <si>
    <t>Echo Story 163</t>
  </si>
  <si>
    <t>S1163</t>
  </si>
  <si>
    <t>Broken Game 164</t>
  </si>
  <si>
    <t>S1164</t>
  </si>
  <si>
    <t>Future Mission 165</t>
  </si>
  <si>
    <t>S1165</t>
  </si>
  <si>
    <t>Silent Edge 166</t>
  </si>
  <si>
    <t>172 min</t>
  </si>
  <si>
    <t>S1166</t>
  </si>
  <si>
    <t>Echo Journey 167</t>
  </si>
  <si>
    <t>S1167</t>
  </si>
  <si>
    <t>Infinite Chronicles 168</t>
  </si>
  <si>
    <t>166 min</t>
  </si>
  <si>
    <t>S1168</t>
  </si>
  <si>
    <t>Silent World 169</t>
  </si>
  <si>
    <t>165 min</t>
  </si>
  <si>
    <t>S1169</t>
  </si>
  <si>
    <t>Royal Legacy 170</t>
  </si>
  <si>
    <t>S1170</t>
  </si>
  <si>
    <t>Lost Line 171</t>
  </si>
  <si>
    <t>S1171</t>
  </si>
  <si>
    <t>Hidden Rise 172</t>
  </si>
  <si>
    <t>S1172</t>
  </si>
  <si>
    <t>Future Journey 173</t>
  </si>
  <si>
    <t>S1173</t>
  </si>
  <si>
    <t>Beyond Truth 174</t>
  </si>
  <si>
    <t>S1174</t>
  </si>
  <si>
    <t>Royal Journey 175</t>
  </si>
  <si>
    <t>S1175</t>
  </si>
  <si>
    <t>Fire Line 176</t>
  </si>
  <si>
    <t>S1176</t>
  </si>
  <si>
    <t>Wild Journey 177</t>
  </si>
  <si>
    <t>154 min</t>
  </si>
  <si>
    <t>S1177</t>
  </si>
  <si>
    <t>Urban Files 178</t>
  </si>
  <si>
    <t>S1178</t>
  </si>
  <si>
    <t>Future Story 179</t>
  </si>
  <si>
    <t>S1179</t>
  </si>
  <si>
    <t>Dark Line 180</t>
  </si>
  <si>
    <t>S1180</t>
  </si>
  <si>
    <t>Urban Dream 181</t>
  </si>
  <si>
    <t>S1181</t>
  </si>
  <si>
    <t>Hidden Files 182</t>
  </si>
  <si>
    <t>S1182</t>
  </si>
  <si>
    <t>Hidden Line 183</t>
  </si>
  <si>
    <t>173 min</t>
  </si>
  <si>
    <t>S1183</t>
  </si>
  <si>
    <t>Blue Edge 184</t>
  </si>
  <si>
    <t>120 min</t>
  </si>
  <si>
    <t>S1184</t>
  </si>
  <si>
    <t>Last Chronicles 185</t>
  </si>
  <si>
    <t>S1185</t>
  </si>
  <si>
    <t>Crimson Truth 186</t>
  </si>
  <si>
    <t>S1186</t>
  </si>
  <si>
    <t>last quest 187</t>
  </si>
  <si>
    <t>S1187</t>
  </si>
  <si>
    <t>Golden Files 188</t>
  </si>
  <si>
    <t>168 min</t>
  </si>
  <si>
    <t>S1188</t>
  </si>
  <si>
    <t>Shadow Edge 189</t>
  </si>
  <si>
    <t>S1189</t>
  </si>
  <si>
    <t>Fire Line 190</t>
  </si>
  <si>
    <t>S1190</t>
  </si>
  <si>
    <t>Last Rise 191</t>
  </si>
  <si>
    <t>S1191</t>
  </si>
  <si>
    <t>Shadow Valley 192</t>
  </si>
  <si>
    <t>S1192</t>
  </si>
  <si>
    <t>Blue Empire 193</t>
  </si>
  <si>
    <t>S1193</t>
  </si>
  <si>
    <t>Wild Truth 194</t>
  </si>
  <si>
    <t>S1194</t>
  </si>
  <si>
    <t>Broken Dream 195</t>
  </si>
  <si>
    <t>S1195</t>
  </si>
  <si>
    <t>Infinite Rise 196</t>
  </si>
  <si>
    <t>S1196</t>
  </si>
  <si>
    <t>Wild Signal 197</t>
  </si>
  <si>
    <t>S1197</t>
  </si>
  <si>
    <t>Beyond World 198</t>
  </si>
  <si>
    <t>S1198</t>
  </si>
  <si>
    <t>echo game 199</t>
  </si>
  <si>
    <t>S1199</t>
  </si>
  <si>
    <t>Crimson Legacy 200</t>
  </si>
  <si>
    <t>S1200</t>
  </si>
  <si>
    <t>Hidden Dream 201</t>
  </si>
  <si>
    <t>S1201</t>
  </si>
  <si>
    <t>S1202</t>
  </si>
  <si>
    <t>Broken Quest 203</t>
  </si>
  <si>
    <t>S1203</t>
  </si>
  <si>
    <t>S1204</t>
  </si>
  <si>
    <t>Beyond Chronicles 205</t>
  </si>
  <si>
    <t>S1205</t>
  </si>
  <si>
    <t>lost valley 206</t>
  </si>
  <si>
    <t>S1206</t>
  </si>
  <si>
    <t>Urban Story 207</t>
  </si>
  <si>
    <t>S1207</t>
  </si>
  <si>
    <t>S1208</t>
  </si>
  <si>
    <t>Secret Code 209</t>
  </si>
  <si>
    <t>S1209</t>
  </si>
  <si>
    <t>Future Quest 210</t>
  </si>
  <si>
    <t>S1210</t>
  </si>
  <si>
    <t>silent quest 211</t>
  </si>
  <si>
    <t>S1211</t>
  </si>
  <si>
    <t>Shadow Valley 212</t>
  </si>
  <si>
    <t>S1212</t>
  </si>
  <si>
    <t>Infinite Game 213</t>
  </si>
  <si>
    <t>S1213</t>
  </si>
  <si>
    <t>Ocean Chronicles 214</t>
  </si>
  <si>
    <t>S1214</t>
  </si>
  <si>
    <t>Royal Chronicles 215</t>
  </si>
  <si>
    <t>S1215</t>
  </si>
  <si>
    <t>Fire Empire 216</t>
  </si>
  <si>
    <t>145 min</t>
  </si>
  <si>
    <t>S1216</t>
  </si>
  <si>
    <t>Ocean Rise 217</t>
  </si>
  <si>
    <t>S1217</t>
  </si>
  <si>
    <t>Infinite Story 218</t>
  </si>
  <si>
    <t>S1218</t>
  </si>
  <si>
    <t>Silent Files 219</t>
  </si>
  <si>
    <t>S1219</t>
  </si>
  <si>
    <t>Echo Night 220</t>
  </si>
  <si>
    <t>S1220</t>
  </si>
  <si>
    <t>Last Quest 221</t>
  </si>
  <si>
    <t>S1221</t>
  </si>
  <si>
    <t>Ocean Line 222</t>
  </si>
  <si>
    <t>S1222</t>
  </si>
  <si>
    <t>royal legacy 223</t>
  </si>
  <si>
    <t>S1223</t>
  </si>
  <si>
    <t>Broken Truth 224</t>
  </si>
  <si>
    <t>S1224</t>
  </si>
  <si>
    <t>Hidden World 225</t>
  </si>
  <si>
    <t>S1225</t>
  </si>
  <si>
    <t>Lost Quest 226</t>
  </si>
  <si>
    <t>S1226</t>
  </si>
  <si>
    <t>Crimson Journey 227</t>
  </si>
  <si>
    <t>125 min</t>
  </si>
  <si>
    <t>S1227</t>
  </si>
  <si>
    <t>Future Truth 228</t>
  </si>
  <si>
    <t>S1228</t>
  </si>
  <si>
    <t>Broken Legacy 229</t>
  </si>
  <si>
    <t>S1229</t>
  </si>
  <si>
    <t>fire story 230</t>
  </si>
  <si>
    <t>75 min</t>
  </si>
  <si>
    <t>S1230</t>
  </si>
  <si>
    <t>Hidden Truth 231</t>
  </si>
  <si>
    <t>S1231</t>
  </si>
  <si>
    <t>Blue Rise 232</t>
  </si>
  <si>
    <t>S1232</t>
  </si>
  <si>
    <t>Fire Rise 233</t>
  </si>
  <si>
    <t>164 min</t>
  </si>
  <si>
    <t>S1233</t>
  </si>
  <si>
    <t>Fire Zone 234</t>
  </si>
  <si>
    <t>S1234</t>
  </si>
  <si>
    <t>Blue Mission 235</t>
  </si>
  <si>
    <t>S1235</t>
  </si>
  <si>
    <t>Beyond Dream 236</t>
  </si>
  <si>
    <t>S1236</t>
  </si>
  <si>
    <t>Last Dream 237</t>
  </si>
  <si>
    <t>S1237</t>
  </si>
  <si>
    <t>Hidden Rise 238</t>
  </si>
  <si>
    <t>S1238</t>
  </si>
  <si>
    <t>Crimson Mission 239</t>
  </si>
  <si>
    <t>S1239</t>
  </si>
  <si>
    <t>Beyond Truth 240</t>
  </si>
  <si>
    <t>S1240</t>
  </si>
  <si>
    <t>Ocean Mission 241</t>
  </si>
  <si>
    <t>S1241</t>
  </si>
  <si>
    <t>Blue Rise 242</t>
  </si>
  <si>
    <t>72 min</t>
  </si>
  <si>
    <t>S1242</t>
  </si>
  <si>
    <t>Shadow Chronicles 243</t>
  </si>
  <si>
    <t>S1243</t>
  </si>
  <si>
    <t>Golden Night 244</t>
  </si>
  <si>
    <t>S1244</t>
  </si>
  <si>
    <t>Broken Valley 245</t>
  </si>
  <si>
    <t>S1245</t>
  </si>
  <si>
    <t>Beyond Valley 246</t>
  </si>
  <si>
    <t>S1246</t>
  </si>
  <si>
    <t>Shadow Story 247</t>
  </si>
  <si>
    <t>S1247</t>
  </si>
  <si>
    <t>Echo Chronicles 248</t>
  </si>
  <si>
    <t>S1248</t>
  </si>
  <si>
    <t>Golden Empire 249</t>
  </si>
  <si>
    <t>S1249</t>
  </si>
  <si>
    <t>Beyond Night 250</t>
  </si>
  <si>
    <t>S1250</t>
  </si>
  <si>
    <t>Wild Signal 251</t>
  </si>
  <si>
    <t>S1251</t>
  </si>
  <si>
    <t>Beyond Chronicles 252</t>
  </si>
  <si>
    <t>S1252</t>
  </si>
  <si>
    <t>Hidden Files 253</t>
  </si>
  <si>
    <t>S1253</t>
  </si>
  <si>
    <t>Blue Empire 254</t>
  </si>
  <si>
    <t>S1254</t>
  </si>
  <si>
    <t>Broken Line 255</t>
  </si>
  <si>
    <t>S1255</t>
  </si>
  <si>
    <t>Dark Game 256</t>
  </si>
  <si>
    <t>104 min</t>
  </si>
  <si>
    <t>S1256</t>
  </si>
  <si>
    <t>Broken Empire 257</t>
  </si>
  <si>
    <t>S1257</t>
  </si>
  <si>
    <t>Echo Files 258</t>
  </si>
  <si>
    <t>87 min</t>
  </si>
  <si>
    <t>S1258</t>
  </si>
  <si>
    <t>Shadow Code 259</t>
  </si>
  <si>
    <t>S1259</t>
  </si>
  <si>
    <t>Broken Journey 260</t>
  </si>
  <si>
    <t>S1260</t>
  </si>
  <si>
    <t>Infinite Empire 261</t>
  </si>
  <si>
    <t>S1261</t>
  </si>
  <si>
    <t>future edge 262</t>
  </si>
  <si>
    <t>S1262</t>
  </si>
  <si>
    <t>Broken Chronicles 263</t>
  </si>
  <si>
    <t>S1263</t>
  </si>
  <si>
    <t>Fire Code 264</t>
  </si>
  <si>
    <t>S1264</t>
  </si>
  <si>
    <t>Lost Empire 265</t>
  </si>
  <si>
    <t>S1265</t>
  </si>
  <si>
    <t>Infinite World 266</t>
  </si>
  <si>
    <t>S1266</t>
  </si>
  <si>
    <t>Beyond Line 267</t>
  </si>
  <si>
    <t>S1267</t>
  </si>
  <si>
    <t>Shadow Chronicles 268</t>
  </si>
  <si>
    <t>S1268</t>
  </si>
  <si>
    <t>Golden World 269</t>
  </si>
  <si>
    <t>S1269</t>
  </si>
  <si>
    <t>Dark Empire 270</t>
  </si>
  <si>
    <t>S1270</t>
  </si>
  <si>
    <t>Future Mission 271</t>
  </si>
  <si>
    <t>S1271</t>
  </si>
  <si>
    <t>Future Empire 272</t>
  </si>
  <si>
    <t>S1272</t>
  </si>
  <si>
    <t>Ocean Truth 273</t>
  </si>
  <si>
    <t>S1273</t>
  </si>
  <si>
    <t>Royal Night 274</t>
  </si>
  <si>
    <t>S1274</t>
  </si>
  <si>
    <t>Crimson Journey 275</t>
  </si>
  <si>
    <t>116 min</t>
  </si>
  <si>
    <t>S1275</t>
  </si>
  <si>
    <t>Lost Signal 276</t>
  </si>
  <si>
    <t>S1276</t>
  </si>
  <si>
    <t>Beyond Legacy 277</t>
  </si>
  <si>
    <t>S1277</t>
  </si>
  <si>
    <t>Golden Story 278</t>
  </si>
  <si>
    <t>S1278</t>
  </si>
  <si>
    <t>Last Edge 279</t>
  </si>
  <si>
    <t>S1279</t>
  </si>
  <si>
    <t>Secret Valley 280</t>
  </si>
  <si>
    <t>S1280</t>
  </si>
  <si>
    <t>Lost Chronicles 281</t>
  </si>
  <si>
    <t>S1281</t>
  </si>
  <si>
    <t>Wild Truth 282</t>
  </si>
  <si>
    <t>S1282</t>
  </si>
  <si>
    <t>Royal Dream 283</t>
  </si>
  <si>
    <t>S1283</t>
  </si>
  <si>
    <t>Future Night 284</t>
  </si>
  <si>
    <t>S1284</t>
  </si>
  <si>
    <t>Ocean Signal 285</t>
  </si>
  <si>
    <t>117 min</t>
  </si>
  <si>
    <t>S1285</t>
  </si>
  <si>
    <t>Last Chronicles 286</t>
  </si>
  <si>
    <t>129 min</t>
  </si>
  <si>
    <t>S1286</t>
  </si>
  <si>
    <t>Echo Files 287</t>
  </si>
  <si>
    <t>S1287</t>
  </si>
  <si>
    <t>Echo Quest 288</t>
  </si>
  <si>
    <t>S1288</t>
  </si>
  <si>
    <t>Shadow Files 289</t>
  </si>
  <si>
    <t>99 min</t>
  </si>
  <si>
    <t>S1289</t>
  </si>
  <si>
    <t>Silent Valley 290</t>
  </si>
  <si>
    <t>S1290</t>
  </si>
  <si>
    <t>dark zone 291</t>
  </si>
  <si>
    <t>S1291</t>
  </si>
  <si>
    <t>Crimson Zone 292</t>
  </si>
  <si>
    <t>S1292</t>
  </si>
  <si>
    <t>Beyond Journey 293</t>
  </si>
  <si>
    <t>S1293</t>
  </si>
  <si>
    <t>Infinite Mission 294</t>
  </si>
  <si>
    <t>128 min</t>
  </si>
  <si>
    <t>S1294</t>
  </si>
  <si>
    <t>Royal Quest 295</t>
  </si>
  <si>
    <t>S1295</t>
  </si>
  <si>
    <t>Secret Truth 296</t>
  </si>
  <si>
    <t>S1296</t>
  </si>
  <si>
    <t>Wild Game 297</t>
  </si>
  <si>
    <t>S1297</t>
  </si>
  <si>
    <t>Echo Truth 298</t>
  </si>
  <si>
    <t>137 min</t>
  </si>
  <si>
    <t>S1298</t>
  </si>
  <si>
    <t>wild edge 299</t>
  </si>
  <si>
    <t>S1299</t>
  </si>
  <si>
    <t>Shadow Zone 300</t>
  </si>
  <si>
    <t>S1300</t>
  </si>
  <si>
    <t>Blue Code 301</t>
  </si>
  <si>
    <t>74 min</t>
  </si>
  <si>
    <t>S1301</t>
  </si>
  <si>
    <t>Golden Game 302</t>
  </si>
  <si>
    <t>S1302</t>
  </si>
  <si>
    <t>Hidden Zone 303</t>
  </si>
  <si>
    <t>S1303</t>
  </si>
  <si>
    <t>Urban Empire 304</t>
  </si>
  <si>
    <t>S1304</t>
  </si>
  <si>
    <t>Hidden Valley 305</t>
  </si>
  <si>
    <t>155 min</t>
  </si>
  <si>
    <t>S1305</t>
  </si>
  <si>
    <t>Shadow Night 306</t>
  </si>
  <si>
    <t>S1306</t>
  </si>
  <si>
    <t>Beyond Valley 307</t>
  </si>
  <si>
    <t>S1307</t>
  </si>
  <si>
    <t>Shadow Files 308</t>
  </si>
  <si>
    <t>S1308</t>
  </si>
  <si>
    <t>S1309</t>
  </si>
  <si>
    <t>Golden Valley 310</t>
  </si>
  <si>
    <t>S1310</t>
  </si>
  <si>
    <t>Silent Truth 311</t>
  </si>
  <si>
    <t>81 min</t>
  </si>
  <si>
    <t>S1311</t>
  </si>
  <si>
    <t>Wild Journey 312</t>
  </si>
  <si>
    <t>S1312</t>
  </si>
  <si>
    <t>Wild Empire 313</t>
  </si>
  <si>
    <t>S1313</t>
  </si>
  <si>
    <t>Blue Edge 314</t>
  </si>
  <si>
    <t>S1314</t>
  </si>
  <si>
    <t>Broken Journey 315</t>
  </si>
  <si>
    <t>S1315</t>
  </si>
  <si>
    <t>Fire Quest 316</t>
  </si>
  <si>
    <t>S1316</t>
  </si>
  <si>
    <t>Echo Night 317</t>
  </si>
  <si>
    <t>92 min</t>
  </si>
  <si>
    <t>S1317</t>
  </si>
  <si>
    <t>Urban Edge 318</t>
  </si>
  <si>
    <t>S1318</t>
  </si>
  <si>
    <t>Blue Files 319</t>
  </si>
  <si>
    <t>S1319</t>
  </si>
  <si>
    <t>158 min</t>
  </si>
  <si>
    <t>S1320</t>
  </si>
  <si>
    <t>Golden Edge 321</t>
  </si>
  <si>
    <t>S1321</t>
  </si>
  <si>
    <t>Golden Empire 322</t>
  </si>
  <si>
    <t>S1322</t>
  </si>
  <si>
    <t>Blue Dream 323</t>
  </si>
  <si>
    <t>S1323</t>
  </si>
  <si>
    <t>Royal Valley 324</t>
  </si>
  <si>
    <t>S1324</t>
  </si>
  <si>
    <t>Broken Signal 325</t>
  </si>
  <si>
    <t>S1325</t>
  </si>
  <si>
    <t>Infinite Journey 326</t>
  </si>
  <si>
    <t>S1326</t>
  </si>
  <si>
    <t>Echo World 327</t>
  </si>
  <si>
    <t>S1327</t>
  </si>
  <si>
    <t>Royal Game 328</t>
  </si>
  <si>
    <t>S1328</t>
  </si>
  <si>
    <t>Lost Legacy 329</t>
  </si>
  <si>
    <t>S1329</t>
  </si>
  <si>
    <t>Golden Rise 330</t>
  </si>
  <si>
    <t>S1330</t>
  </si>
  <si>
    <t>Shadow Journey 331</t>
  </si>
  <si>
    <t>76 min</t>
  </si>
  <si>
    <t>S1331</t>
  </si>
  <si>
    <t>infinite truth 332</t>
  </si>
  <si>
    <t>S1332</t>
  </si>
  <si>
    <t>Fire Night 333</t>
  </si>
  <si>
    <t>S1333</t>
  </si>
  <si>
    <t>dark story 334</t>
  </si>
  <si>
    <t>S1334</t>
  </si>
  <si>
    <t>Urban Zone 335</t>
  </si>
  <si>
    <t>S1335</t>
  </si>
  <si>
    <t>Beyond Empire 336</t>
  </si>
  <si>
    <t>S1336</t>
  </si>
  <si>
    <t>Blue Code 337</t>
  </si>
  <si>
    <t>S1337</t>
  </si>
  <si>
    <t>Blue Truth 338</t>
  </si>
  <si>
    <t>S1338</t>
  </si>
  <si>
    <t>Beyond Valley 339</t>
  </si>
  <si>
    <t>S1339</t>
  </si>
  <si>
    <t>Hidden Zone 340</t>
  </si>
  <si>
    <t>S1340</t>
  </si>
  <si>
    <t>Urban Line 341</t>
  </si>
  <si>
    <t>S1341</t>
  </si>
  <si>
    <t>Crimson Truth 342</t>
  </si>
  <si>
    <t>S1342</t>
  </si>
  <si>
    <t>Silent Legacy 343</t>
  </si>
  <si>
    <t>S1343</t>
  </si>
  <si>
    <t>Future Files 344</t>
  </si>
  <si>
    <t>S1344</t>
  </si>
  <si>
    <t>Dark Empire 345</t>
  </si>
  <si>
    <t>S1345</t>
  </si>
  <si>
    <t>Blue Code 346</t>
  </si>
  <si>
    <t>S1346</t>
  </si>
  <si>
    <t>Echo Line 347</t>
  </si>
  <si>
    <t>S1347</t>
  </si>
  <si>
    <t>infinite chronicles 348</t>
  </si>
  <si>
    <t>S1348</t>
  </si>
  <si>
    <t>Echo Line 349</t>
  </si>
  <si>
    <t>S1349</t>
  </si>
  <si>
    <t>Fire Mission 350</t>
  </si>
  <si>
    <t>S1350</t>
  </si>
  <si>
    <t>Hidden Dream 351</t>
  </si>
  <si>
    <t>S1351</t>
  </si>
  <si>
    <t>Future Chronicles 352</t>
  </si>
  <si>
    <t>S1352</t>
  </si>
  <si>
    <t>Secret Line 353</t>
  </si>
  <si>
    <t>S1353</t>
  </si>
  <si>
    <t>S1354</t>
  </si>
  <si>
    <t>Future Truth 355</t>
  </si>
  <si>
    <t>136 min</t>
  </si>
  <si>
    <t>S1355</t>
  </si>
  <si>
    <t>Silent Night 356</t>
  </si>
  <si>
    <t>S1356</t>
  </si>
  <si>
    <t>Future Signal 357</t>
  </si>
  <si>
    <t>S1357</t>
  </si>
  <si>
    <t>Silent Line 358</t>
  </si>
  <si>
    <t>S1358</t>
  </si>
  <si>
    <t>Echo Empire 359</t>
  </si>
  <si>
    <t>S1359</t>
  </si>
  <si>
    <t>Crimson Empire 360</t>
  </si>
  <si>
    <t>S1360</t>
  </si>
  <si>
    <t>S1361</t>
  </si>
  <si>
    <t>Secret Legacy 362</t>
  </si>
  <si>
    <t>S1362</t>
  </si>
  <si>
    <t>dark chronicles 363</t>
  </si>
  <si>
    <t>S1363</t>
  </si>
  <si>
    <t>Silent Signal 364</t>
  </si>
  <si>
    <t>S1364</t>
  </si>
  <si>
    <t>Hidden World 365</t>
  </si>
  <si>
    <t>S1365</t>
  </si>
  <si>
    <t>Ocean Zone 366</t>
  </si>
  <si>
    <t>S1366</t>
  </si>
  <si>
    <t>S1367</t>
  </si>
  <si>
    <t>Blue Legacy 368</t>
  </si>
  <si>
    <t>S1368</t>
  </si>
  <si>
    <t>Shadow World 369</t>
  </si>
  <si>
    <t>S1369</t>
  </si>
  <si>
    <t>Dark Night 370</t>
  </si>
  <si>
    <t>124 min</t>
  </si>
  <si>
    <t>S1370</t>
  </si>
  <si>
    <t>Last Rise 371</t>
  </si>
  <si>
    <t>S1371</t>
  </si>
  <si>
    <t>Fire Night 372</t>
  </si>
  <si>
    <t>S1372</t>
  </si>
  <si>
    <t>Royal Chronicles 373</t>
  </si>
  <si>
    <t>S1373</t>
  </si>
  <si>
    <t>Secret Story 374</t>
  </si>
  <si>
    <t>S1374</t>
  </si>
  <si>
    <t>Wild World 375</t>
  </si>
  <si>
    <t>S1375</t>
  </si>
  <si>
    <t>Broken Chronicles 376</t>
  </si>
  <si>
    <t>S1376</t>
  </si>
  <si>
    <t>Last Rise 377</t>
  </si>
  <si>
    <t>S1377</t>
  </si>
  <si>
    <t>Crimson Valley 378</t>
  </si>
  <si>
    <t>S1378</t>
  </si>
  <si>
    <t>Wild Chronicles 379</t>
  </si>
  <si>
    <t>S1379</t>
  </si>
  <si>
    <t>Infinite Empire 380</t>
  </si>
  <si>
    <t>S1380</t>
  </si>
  <si>
    <t>Secret World 381</t>
  </si>
  <si>
    <t>85 min</t>
  </si>
  <si>
    <t>S1381</t>
  </si>
  <si>
    <t>Golden Dream 382</t>
  </si>
  <si>
    <t>S1382</t>
  </si>
  <si>
    <t>Beyond Code 383</t>
  </si>
  <si>
    <t>S1383</t>
  </si>
  <si>
    <t>Fire Files 384</t>
  </si>
  <si>
    <t>S1384</t>
  </si>
  <si>
    <t>Shadow Line 385</t>
  </si>
  <si>
    <t>S1385</t>
  </si>
  <si>
    <t>Silent Files 386</t>
  </si>
  <si>
    <t>S1386</t>
  </si>
  <si>
    <t>Hidden Edge 387</t>
  </si>
  <si>
    <t>S1387</t>
  </si>
  <si>
    <t>Hidden Code 388</t>
  </si>
  <si>
    <t>S1388</t>
  </si>
  <si>
    <t>Shadow Empire 389</t>
  </si>
  <si>
    <t>S1389</t>
  </si>
  <si>
    <t>Urban Rise 390</t>
  </si>
  <si>
    <t>S1390</t>
  </si>
  <si>
    <t>Infinite Code 391</t>
  </si>
  <si>
    <t>S1391</t>
  </si>
  <si>
    <t>Fire Quest 392</t>
  </si>
  <si>
    <t>S1392</t>
  </si>
  <si>
    <t>Lost Mission 393</t>
  </si>
  <si>
    <t>S1393</t>
  </si>
  <si>
    <t>Lost Signal 394</t>
  </si>
  <si>
    <t>S1394</t>
  </si>
  <si>
    <t>Broken Files 395</t>
  </si>
  <si>
    <t>S1395</t>
  </si>
  <si>
    <t>Broken Code 396</t>
  </si>
  <si>
    <t>S1396</t>
  </si>
  <si>
    <t>Infinite Game 397</t>
  </si>
  <si>
    <t>S1397</t>
  </si>
  <si>
    <t>Infinite Legacy 398</t>
  </si>
  <si>
    <t>S1398</t>
  </si>
  <si>
    <t>Lost Code 399</t>
  </si>
  <si>
    <t>S1399</t>
  </si>
  <si>
    <t>Crimson Signal 400</t>
  </si>
  <si>
    <t>S1400</t>
  </si>
  <si>
    <t>Last Journey 401</t>
  </si>
  <si>
    <t>167 min</t>
  </si>
  <si>
    <t>S1401</t>
  </si>
  <si>
    <t>Broken Legacy 402</t>
  </si>
  <si>
    <t>S1402</t>
  </si>
  <si>
    <t>Dark Chronicles 403</t>
  </si>
  <si>
    <t>175 min</t>
  </si>
  <si>
    <t>S1403</t>
  </si>
  <si>
    <t>Hidden Signal 404</t>
  </si>
  <si>
    <t>80 min</t>
  </si>
  <si>
    <t>S1404</t>
  </si>
  <si>
    <t>Wild Valley 405</t>
  </si>
  <si>
    <t>S1405</t>
  </si>
  <si>
    <t>Hidden Game 406</t>
  </si>
  <si>
    <t>S1406</t>
  </si>
  <si>
    <t>Beyond Zone 407</t>
  </si>
  <si>
    <t>S1407</t>
  </si>
  <si>
    <t>Future Edge 408</t>
  </si>
  <si>
    <t>S1408</t>
  </si>
  <si>
    <t>Silent Empire 409</t>
  </si>
  <si>
    <t>S1409</t>
  </si>
  <si>
    <t>Blue Valley 410</t>
  </si>
  <si>
    <t>S1410</t>
  </si>
  <si>
    <t>Crimson Truth 411</t>
  </si>
  <si>
    <t>S1411</t>
  </si>
  <si>
    <t>Last Line 412</t>
  </si>
  <si>
    <t>S1412</t>
  </si>
  <si>
    <t>Last Valley 413</t>
  </si>
  <si>
    <t>S1413</t>
  </si>
  <si>
    <t>broken chronicles 414</t>
  </si>
  <si>
    <t>110 min</t>
  </si>
  <si>
    <t>S1414</t>
  </si>
  <si>
    <t>Blue Empire 415</t>
  </si>
  <si>
    <t>S1415</t>
  </si>
  <si>
    <t>Echo Chronicles 416</t>
  </si>
  <si>
    <t>S1416</t>
  </si>
  <si>
    <t>Beyond Rise 417</t>
  </si>
  <si>
    <t>141 min</t>
  </si>
  <si>
    <t>S1417</t>
  </si>
  <si>
    <t>Wild World 418</t>
  </si>
  <si>
    <t>S1418</t>
  </si>
  <si>
    <t>Royal Game 419</t>
  </si>
  <si>
    <t>S1419</t>
  </si>
  <si>
    <t>Shadow Chronicles 420</t>
  </si>
  <si>
    <t>S1420</t>
  </si>
  <si>
    <t>infinite journey 421</t>
  </si>
  <si>
    <t>S1421</t>
  </si>
  <si>
    <t>Fire Quest 422</t>
  </si>
  <si>
    <t>146 min</t>
  </si>
  <si>
    <t>S1422</t>
  </si>
  <si>
    <t>Crimson Chronicles 423</t>
  </si>
  <si>
    <t>178 min</t>
  </si>
  <si>
    <t>S1423</t>
  </si>
  <si>
    <t>Golden Empire 424</t>
  </si>
  <si>
    <t>S1424</t>
  </si>
  <si>
    <t>Dark Night 425</t>
  </si>
  <si>
    <t>S1425</t>
  </si>
  <si>
    <t>Lost Chronicles 426</t>
  </si>
  <si>
    <t>S1426</t>
  </si>
  <si>
    <t>Dark Chronicles 427</t>
  </si>
  <si>
    <t>S1427</t>
  </si>
  <si>
    <t>Ocean Night 428</t>
  </si>
  <si>
    <t>S1428</t>
  </si>
  <si>
    <t>Lost Dream 429</t>
  </si>
  <si>
    <t>S1429</t>
  </si>
  <si>
    <t>Silent Truth 430</t>
  </si>
  <si>
    <t>162 min</t>
  </si>
  <si>
    <t>S1430</t>
  </si>
  <si>
    <t>blue code 431</t>
  </si>
  <si>
    <t>S1431</t>
  </si>
  <si>
    <t>Secret Dream 432</t>
  </si>
  <si>
    <t>S1432</t>
  </si>
  <si>
    <t>Beyond Legacy 433</t>
  </si>
  <si>
    <t>S1433</t>
  </si>
  <si>
    <t>Fire Zone 434</t>
  </si>
  <si>
    <t>103 min</t>
  </si>
  <si>
    <t>S1434</t>
  </si>
  <si>
    <t>Last Quest 435</t>
  </si>
  <si>
    <t>S1435</t>
  </si>
  <si>
    <t>Silent Empire 436</t>
  </si>
  <si>
    <t>S1436</t>
  </si>
  <si>
    <t>Shadow Files 437</t>
  </si>
  <si>
    <t>S1437</t>
  </si>
  <si>
    <t>Shadow Files 438</t>
  </si>
  <si>
    <t>S1438</t>
  </si>
  <si>
    <t>Blue World 439</t>
  </si>
  <si>
    <t>S1439</t>
  </si>
  <si>
    <t>Lost Truth 440</t>
  </si>
  <si>
    <t>S1440</t>
  </si>
  <si>
    <t>Urban Night 441</t>
  </si>
  <si>
    <t>S1441</t>
  </si>
  <si>
    <t>Royal Story 442</t>
  </si>
  <si>
    <t>S1442</t>
  </si>
  <si>
    <t>Future World 443</t>
  </si>
  <si>
    <t>S1443</t>
  </si>
  <si>
    <t>Broken Chronicles 444</t>
  </si>
  <si>
    <t>S1444</t>
  </si>
  <si>
    <t>Dark Edge 445</t>
  </si>
  <si>
    <t>S1445</t>
  </si>
  <si>
    <t>Beyond Code 446</t>
  </si>
  <si>
    <t>S1446</t>
  </si>
  <si>
    <t>Echo Code 447</t>
  </si>
  <si>
    <t>S1447</t>
  </si>
  <si>
    <t>Royal Chronicles 448</t>
  </si>
  <si>
    <t>S1448</t>
  </si>
  <si>
    <t>Wild Quest 449</t>
  </si>
  <si>
    <t>S1449</t>
  </si>
  <si>
    <t>Ocean Journey 450</t>
  </si>
  <si>
    <t>138 min</t>
  </si>
  <si>
    <t>S1450</t>
  </si>
  <si>
    <t>echo zone 451</t>
  </si>
  <si>
    <t>S1451</t>
  </si>
  <si>
    <t>Blue Signal 452</t>
  </si>
  <si>
    <t>S1452</t>
  </si>
  <si>
    <t>Fire World 453</t>
  </si>
  <si>
    <t>S1453</t>
  </si>
  <si>
    <t>Dark Signal 454</t>
  </si>
  <si>
    <t>S1454</t>
  </si>
  <si>
    <t>S1455</t>
  </si>
  <si>
    <t>Hidden Journey 456</t>
  </si>
  <si>
    <t>S1456</t>
  </si>
  <si>
    <t>Secret Rise 457</t>
  </si>
  <si>
    <t>S1457</t>
  </si>
  <si>
    <t>S1458</t>
  </si>
  <si>
    <t>Blue Zone 459</t>
  </si>
  <si>
    <t>S1459</t>
  </si>
  <si>
    <t>Secret Night 460</t>
  </si>
  <si>
    <t>S1460</t>
  </si>
  <si>
    <t>Fire World 461</t>
  </si>
  <si>
    <t>S1461</t>
  </si>
  <si>
    <t>Future Story 462</t>
  </si>
  <si>
    <t>S1462</t>
  </si>
  <si>
    <t>Beyond Quest 463</t>
  </si>
  <si>
    <t>S1463</t>
  </si>
  <si>
    <t>Fire Night 464</t>
  </si>
  <si>
    <t>S1464</t>
  </si>
  <si>
    <t>Dark Code 465</t>
  </si>
  <si>
    <t>S1465</t>
  </si>
  <si>
    <t>Last Chronicles 466</t>
  </si>
  <si>
    <t>S1466</t>
  </si>
  <si>
    <t>Urban World 467</t>
  </si>
  <si>
    <t>S1467</t>
  </si>
  <si>
    <t>Lost Files 468</t>
  </si>
  <si>
    <t>S1468</t>
  </si>
  <si>
    <t>Crimson Valley 469</t>
  </si>
  <si>
    <t>S1469</t>
  </si>
  <si>
    <t>Broken Line 470</t>
  </si>
  <si>
    <t>S1470</t>
  </si>
  <si>
    <t>Last World 471</t>
  </si>
  <si>
    <t>S1471</t>
  </si>
  <si>
    <t>Wild Truth 472</t>
  </si>
  <si>
    <t>S1472</t>
  </si>
  <si>
    <t>Hidden Chronicles 473</t>
  </si>
  <si>
    <t>S1473</t>
  </si>
  <si>
    <t>Golden Valley 474</t>
  </si>
  <si>
    <t>S1474</t>
  </si>
  <si>
    <t>Crimson Line 475</t>
  </si>
  <si>
    <t>S1475</t>
  </si>
  <si>
    <t>Golden Quest 476</t>
  </si>
  <si>
    <t>S1476</t>
  </si>
  <si>
    <t>Echo Line 477</t>
  </si>
  <si>
    <t>S1477</t>
  </si>
  <si>
    <t>Urban Game 478</t>
  </si>
  <si>
    <t>91 min</t>
  </si>
  <si>
    <t>S1478</t>
  </si>
  <si>
    <t>Echo Rise 479</t>
  </si>
  <si>
    <t>S1479</t>
  </si>
  <si>
    <t>Infinite Quest 480</t>
  </si>
  <si>
    <t>S1480</t>
  </si>
  <si>
    <t>Broken World 481</t>
  </si>
  <si>
    <t>S1481</t>
  </si>
  <si>
    <t>Royal World 482</t>
  </si>
  <si>
    <t>S1482</t>
  </si>
  <si>
    <t>Ocean Code 483</t>
  </si>
  <si>
    <t>S1483</t>
  </si>
  <si>
    <t>silent mission 484</t>
  </si>
  <si>
    <t>S1484</t>
  </si>
  <si>
    <t>Broken Files 485</t>
  </si>
  <si>
    <t>S1485</t>
  </si>
  <si>
    <t>Shadow World 486</t>
  </si>
  <si>
    <t>S1486</t>
  </si>
  <si>
    <t>Crimson Story 487</t>
  </si>
  <si>
    <t>S1487</t>
  </si>
  <si>
    <t>Echo Line 488</t>
  </si>
  <si>
    <t>S1488</t>
  </si>
  <si>
    <t>Infinite Journey 489</t>
  </si>
  <si>
    <t>S1489</t>
  </si>
  <si>
    <t>Crimson Line 490</t>
  </si>
  <si>
    <t>S1490</t>
  </si>
  <si>
    <t>S1491</t>
  </si>
  <si>
    <t>Future Mission 492</t>
  </si>
  <si>
    <t>S1492</t>
  </si>
  <si>
    <t>Silent Edge 493</t>
  </si>
  <si>
    <t>S1493</t>
  </si>
  <si>
    <t>Golden Legacy 494</t>
  </si>
  <si>
    <t>S1494</t>
  </si>
  <si>
    <t>Broken Story 495</t>
  </si>
  <si>
    <t>S1495</t>
  </si>
  <si>
    <t>Dark Dream 496</t>
  </si>
  <si>
    <t>S1496</t>
  </si>
  <si>
    <t>S1497</t>
  </si>
  <si>
    <t>Silent Files 498</t>
  </si>
  <si>
    <t>S1498</t>
  </si>
  <si>
    <t>Wild Truth 499</t>
  </si>
  <si>
    <t>S1499</t>
  </si>
  <si>
    <t>Future Code 500</t>
  </si>
  <si>
    <t>S1500</t>
  </si>
  <si>
    <t>Golden Mission 501</t>
  </si>
  <si>
    <t>S1501</t>
  </si>
  <si>
    <t>Crimson Truth 502</t>
  </si>
  <si>
    <t>S1502</t>
  </si>
  <si>
    <t>Royal Chronicles 503</t>
  </si>
  <si>
    <t>S1503</t>
  </si>
  <si>
    <t>Wild Game 504</t>
  </si>
  <si>
    <t>160 min</t>
  </si>
  <si>
    <t>S1504</t>
  </si>
  <si>
    <t>Royal World 505</t>
  </si>
  <si>
    <t>S1505</t>
  </si>
  <si>
    <t>Future Chronicles 506</t>
  </si>
  <si>
    <t>S1506</t>
  </si>
  <si>
    <t>Last Mission 507</t>
  </si>
  <si>
    <t>S1507</t>
  </si>
  <si>
    <t>Echo Game 508</t>
  </si>
  <si>
    <t>S1508</t>
  </si>
  <si>
    <t>Wild Rise 509</t>
  </si>
  <si>
    <t>S1509</t>
  </si>
  <si>
    <t>Echo Quest 510</t>
  </si>
  <si>
    <t>S1510</t>
  </si>
  <si>
    <t>Lost Night 511</t>
  </si>
  <si>
    <t>S1511</t>
  </si>
  <si>
    <t>Lost Game 512</t>
  </si>
  <si>
    <t>S1512</t>
  </si>
  <si>
    <t>Royal Legacy 513</t>
  </si>
  <si>
    <t>S1513</t>
  </si>
  <si>
    <t>Echo Code 514</t>
  </si>
  <si>
    <t>S1514</t>
  </si>
  <si>
    <t>Dark Night 515</t>
  </si>
  <si>
    <t>S1515</t>
  </si>
  <si>
    <t>Hidden Night 516</t>
  </si>
  <si>
    <t>S1516</t>
  </si>
  <si>
    <t>Infinite Chronicles 517</t>
  </si>
  <si>
    <t>S1517</t>
  </si>
  <si>
    <t>S1518</t>
  </si>
  <si>
    <t>Lost Truth 519</t>
  </si>
  <si>
    <t>S1519</t>
  </si>
  <si>
    <t>Crimson Empire 520</t>
  </si>
  <si>
    <t>S1520</t>
  </si>
  <si>
    <t>Echo Rise 521</t>
  </si>
  <si>
    <t>S1521</t>
  </si>
  <si>
    <t>Beyond Game 522</t>
  </si>
  <si>
    <t>S1522</t>
  </si>
  <si>
    <t>Echo Code 523</t>
  </si>
  <si>
    <t>S1523</t>
  </si>
  <si>
    <t>Last Journey 524</t>
  </si>
  <si>
    <t>S1524</t>
  </si>
  <si>
    <t>Hidden Edge 525</t>
  </si>
  <si>
    <t>S1525</t>
  </si>
  <si>
    <t>Urban Zone 526</t>
  </si>
  <si>
    <t>S1526</t>
  </si>
  <si>
    <t>Secret Line 527</t>
  </si>
  <si>
    <t>S1527</t>
  </si>
  <si>
    <t>Echo Zone 528</t>
  </si>
  <si>
    <t>S1528</t>
  </si>
  <si>
    <t>Lost World 529</t>
  </si>
  <si>
    <t>S1529</t>
  </si>
  <si>
    <t>blue dream 530</t>
  </si>
  <si>
    <t>S1530</t>
  </si>
  <si>
    <t>Golden Dream 531</t>
  </si>
  <si>
    <t>109 min</t>
  </si>
  <si>
    <t>S1531</t>
  </si>
  <si>
    <t>Silent Game 532</t>
  </si>
  <si>
    <t>S1532</t>
  </si>
  <si>
    <t>Silent Signal 533</t>
  </si>
  <si>
    <t>S1533</t>
  </si>
  <si>
    <t>future journey 534</t>
  </si>
  <si>
    <t>S1534</t>
  </si>
  <si>
    <t>Blue Signal 535</t>
  </si>
  <si>
    <t>S1535</t>
  </si>
  <si>
    <t>Crimson Quest 536</t>
  </si>
  <si>
    <t>S1536</t>
  </si>
  <si>
    <t>Lost Empire 537</t>
  </si>
  <si>
    <t>S1537</t>
  </si>
  <si>
    <t>Ocean Files 538</t>
  </si>
  <si>
    <t>S1538</t>
  </si>
  <si>
    <t>Golden Edge 539</t>
  </si>
  <si>
    <t>130 min</t>
  </si>
  <si>
    <t>S1539</t>
  </si>
  <si>
    <t>Secret Story 540</t>
  </si>
  <si>
    <t>S1540</t>
  </si>
  <si>
    <t>Infinite Rise 541</t>
  </si>
  <si>
    <t>S1541</t>
  </si>
  <si>
    <t>Crimson World 542</t>
  </si>
  <si>
    <t>S1542</t>
  </si>
  <si>
    <t>Golden Empire 543</t>
  </si>
  <si>
    <t>S1543</t>
  </si>
  <si>
    <t>Shadow Files 544</t>
  </si>
  <si>
    <t>S1544</t>
  </si>
  <si>
    <t>Shadow Mission 545</t>
  </si>
  <si>
    <t>S1545</t>
  </si>
  <si>
    <t>Silent Journey 546</t>
  </si>
  <si>
    <t>S1546</t>
  </si>
  <si>
    <t>Lost Signal 547</t>
  </si>
  <si>
    <t>S1547</t>
  </si>
  <si>
    <t>Shadow Empire 548</t>
  </si>
  <si>
    <t>S1548</t>
  </si>
  <si>
    <t>Future Quest 549</t>
  </si>
  <si>
    <t>S1549</t>
  </si>
  <si>
    <t>Wild Signal 550</t>
  </si>
  <si>
    <t>S1550</t>
  </si>
  <si>
    <t>Golden Night 551</t>
  </si>
  <si>
    <t>S1551</t>
  </si>
  <si>
    <t>Dark Code 552</t>
  </si>
  <si>
    <t>S1552</t>
  </si>
  <si>
    <t>Echo Rise 553</t>
  </si>
  <si>
    <t>S1553</t>
  </si>
  <si>
    <t>Future Files 554</t>
  </si>
  <si>
    <t>S1554</t>
  </si>
  <si>
    <t>Beyond Empire 555</t>
  </si>
  <si>
    <t>S1555</t>
  </si>
  <si>
    <t>Royal Truth 556</t>
  </si>
  <si>
    <t>S1556</t>
  </si>
  <si>
    <t>Blue Journey 557</t>
  </si>
  <si>
    <t>140 min</t>
  </si>
  <si>
    <t>S1557</t>
  </si>
  <si>
    <t>Echo Rise 558</t>
  </si>
  <si>
    <t>S1558</t>
  </si>
  <si>
    <t>Broken Edge 559</t>
  </si>
  <si>
    <t>S1559</t>
  </si>
  <si>
    <t>Hidden Signal 560</t>
  </si>
  <si>
    <t>S1560</t>
  </si>
  <si>
    <t>Crimson Rise 561</t>
  </si>
  <si>
    <t>S1561</t>
  </si>
  <si>
    <t>Hidden Story 562</t>
  </si>
  <si>
    <t>S1562</t>
  </si>
  <si>
    <t>Lost Code 563</t>
  </si>
  <si>
    <t>S1563</t>
  </si>
  <si>
    <t>Silent Rise 564</t>
  </si>
  <si>
    <t>S1564</t>
  </si>
  <si>
    <t>Royal Game 565</t>
  </si>
  <si>
    <t>S1565</t>
  </si>
  <si>
    <t>Silent Game 566</t>
  </si>
  <si>
    <t>S1566</t>
  </si>
  <si>
    <t>Last Signal 567</t>
  </si>
  <si>
    <t>S1567</t>
  </si>
  <si>
    <t>Crimson Zone 568</t>
  </si>
  <si>
    <t>S1568</t>
  </si>
  <si>
    <t>Last Chronicles 569</t>
  </si>
  <si>
    <t>S1569</t>
  </si>
  <si>
    <t>Silent Signal 570</t>
  </si>
  <si>
    <t>S1570</t>
  </si>
  <si>
    <t>Secret Quest 571</t>
  </si>
  <si>
    <t>S1571</t>
  </si>
  <si>
    <t>Royal Quest 572</t>
  </si>
  <si>
    <t>S1572</t>
  </si>
  <si>
    <t>Shadow Valley 573</t>
  </si>
  <si>
    <t>S1573</t>
  </si>
  <si>
    <t>S1574</t>
  </si>
  <si>
    <t>Silent Quest 575</t>
  </si>
  <si>
    <t>S1575</t>
  </si>
  <si>
    <t>Secret Dream 576</t>
  </si>
  <si>
    <t>S1576</t>
  </si>
  <si>
    <t>Last Files 577</t>
  </si>
  <si>
    <t>S1577</t>
  </si>
  <si>
    <t>Beyond Empire 578</t>
  </si>
  <si>
    <t>S1578</t>
  </si>
  <si>
    <t>Fire Code 579</t>
  </si>
  <si>
    <t>S1579</t>
  </si>
  <si>
    <t>blue line 580</t>
  </si>
  <si>
    <t>S1580</t>
  </si>
  <si>
    <t>Echo Legacy 581</t>
  </si>
  <si>
    <t>S1581</t>
  </si>
  <si>
    <t>Crimson Files 582</t>
  </si>
  <si>
    <t>S1582</t>
  </si>
  <si>
    <t>Lost Code 583</t>
  </si>
  <si>
    <t>S1583</t>
  </si>
  <si>
    <t>hidden files 584</t>
  </si>
  <si>
    <t>148 min</t>
  </si>
  <si>
    <t>S1584</t>
  </si>
  <si>
    <t>Echo Truth 585</t>
  </si>
  <si>
    <t>S1585</t>
  </si>
  <si>
    <t>Wild Edge 586</t>
  </si>
  <si>
    <t>S1586</t>
  </si>
  <si>
    <t>Echo Line 587</t>
  </si>
  <si>
    <t>S1587</t>
  </si>
  <si>
    <t>Silent Chronicles 588</t>
  </si>
  <si>
    <t>S1588</t>
  </si>
  <si>
    <t>Wild Edge 589</t>
  </si>
  <si>
    <t>S1589</t>
  </si>
  <si>
    <t>Broken Journey 590</t>
  </si>
  <si>
    <t>S1590</t>
  </si>
  <si>
    <t>Last Game 591</t>
  </si>
  <si>
    <t>S1591</t>
  </si>
  <si>
    <t>Infinite Files 592</t>
  </si>
  <si>
    <t>S1592</t>
  </si>
  <si>
    <t>Broken Code 593</t>
  </si>
  <si>
    <t>S1593</t>
  </si>
  <si>
    <t>Silent Quest 594</t>
  </si>
  <si>
    <t>S1594</t>
  </si>
  <si>
    <t>Lost Mission 595</t>
  </si>
  <si>
    <t>S1595</t>
  </si>
  <si>
    <t>Secret Story 596</t>
  </si>
  <si>
    <t>S1596</t>
  </si>
  <si>
    <t>Ocean Legacy 597</t>
  </si>
  <si>
    <t>S1597</t>
  </si>
  <si>
    <t>infinite code 598</t>
  </si>
  <si>
    <t>98 min</t>
  </si>
  <si>
    <t>S1598</t>
  </si>
  <si>
    <t>Silent Game 599</t>
  </si>
  <si>
    <t>S1599</t>
  </si>
  <si>
    <t>Beyond Valley 600</t>
  </si>
  <si>
    <t>S1600</t>
  </si>
  <si>
    <t>Blue Code 601</t>
  </si>
  <si>
    <t>S1601</t>
  </si>
  <si>
    <t>Crimson Code 602</t>
  </si>
  <si>
    <t>S1602</t>
  </si>
  <si>
    <t>Secret Truth 603</t>
  </si>
  <si>
    <t>S1603</t>
  </si>
  <si>
    <t>Infinite Line 604</t>
  </si>
  <si>
    <t>S1604</t>
  </si>
  <si>
    <t>Silent Files 605</t>
  </si>
  <si>
    <t>S1605</t>
  </si>
  <si>
    <t>Urban Files 606</t>
  </si>
  <si>
    <t>S1606</t>
  </si>
  <si>
    <t>Dark Line 607</t>
  </si>
  <si>
    <t>S1607</t>
  </si>
  <si>
    <t>S1608</t>
  </si>
  <si>
    <t>Ocean Journey 609</t>
  </si>
  <si>
    <t>S1609</t>
  </si>
  <si>
    <t>Hidden Dream 610</t>
  </si>
  <si>
    <t>S1610</t>
  </si>
  <si>
    <t>Ocean Edge 611</t>
  </si>
  <si>
    <t>S1611</t>
  </si>
  <si>
    <t>beyond chronicles 612</t>
  </si>
  <si>
    <t>S1612</t>
  </si>
  <si>
    <t>Lost Valley 613</t>
  </si>
  <si>
    <t>S1613</t>
  </si>
  <si>
    <t>Ocean Quest 614</t>
  </si>
  <si>
    <t>S1614</t>
  </si>
  <si>
    <t>Echo Story 615</t>
  </si>
  <si>
    <t>S1615</t>
  </si>
  <si>
    <t>Echo Quest 616</t>
  </si>
  <si>
    <t>122 min</t>
  </si>
  <si>
    <t>S1616</t>
  </si>
  <si>
    <t>Dark Quest 617</t>
  </si>
  <si>
    <t>S1617</t>
  </si>
  <si>
    <t>Urban World 618</t>
  </si>
  <si>
    <t>S1618</t>
  </si>
  <si>
    <t>Broken Zone 619</t>
  </si>
  <si>
    <t>S1619</t>
  </si>
  <si>
    <t>Blue Mission 620</t>
  </si>
  <si>
    <t>S1620</t>
  </si>
  <si>
    <t>Golden Valley 621</t>
  </si>
  <si>
    <t>S1621</t>
  </si>
  <si>
    <t>Echo World 622</t>
  </si>
  <si>
    <t>S1622</t>
  </si>
  <si>
    <t>Blue Night 623</t>
  </si>
  <si>
    <t>S1623</t>
  </si>
  <si>
    <t>blue rise 624</t>
  </si>
  <si>
    <t>S1624</t>
  </si>
  <si>
    <t>Future Edge 625</t>
  </si>
  <si>
    <t>S1625</t>
  </si>
  <si>
    <t>Crimson Night 626</t>
  </si>
  <si>
    <t>S1626</t>
  </si>
  <si>
    <t>Crimson Legacy 627</t>
  </si>
  <si>
    <t>S1627</t>
  </si>
  <si>
    <t>Infinite Game 628</t>
  </si>
  <si>
    <t>S1628</t>
  </si>
  <si>
    <t>Future Truth 629</t>
  </si>
  <si>
    <t>S1629</t>
  </si>
  <si>
    <t>Royal Signal 630</t>
  </si>
  <si>
    <t>S1630</t>
  </si>
  <si>
    <t>S1631</t>
  </si>
  <si>
    <t>Infinite Story 632</t>
  </si>
  <si>
    <t>S1632</t>
  </si>
  <si>
    <t>Infinite Chronicles 633</t>
  </si>
  <si>
    <t>S1633</t>
  </si>
  <si>
    <t>Urban Rise 634</t>
  </si>
  <si>
    <t>S1634</t>
  </si>
  <si>
    <t>Dark Journey 635</t>
  </si>
  <si>
    <t>S1635</t>
  </si>
  <si>
    <t>Beyond World 636</t>
  </si>
  <si>
    <t>S1636</t>
  </si>
  <si>
    <t>Last Signal 637</t>
  </si>
  <si>
    <t>S1637</t>
  </si>
  <si>
    <t>Dark Code 638</t>
  </si>
  <si>
    <t>S1638</t>
  </si>
  <si>
    <t>Crimson Line 639</t>
  </si>
  <si>
    <t>S1639</t>
  </si>
  <si>
    <t>Crimson Empire 640</t>
  </si>
  <si>
    <t>S1640</t>
  </si>
  <si>
    <t>Broken Dream 641</t>
  </si>
  <si>
    <t>S1641</t>
  </si>
  <si>
    <t>Blue Line 642</t>
  </si>
  <si>
    <t>S1642</t>
  </si>
  <si>
    <t>Blue Files 643</t>
  </si>
  <si>
    <t>101 min</t>
  </si>
  <si>
    <t>S1643</t>
  </si>
  <si>
    <t>wild signal 644</t>
  </si>
  <si>
    <t>S1644</t>
  </si>
  <si>
    <t>Infinite Night 645</t>
  </si>
  <si>
    <t>S1645</t>
  </si>
  <si>
    <t>Lost Rise 646</t>
  </si>
  <si>
    <t>S1646</t>
  </si>
  <si>
    <t>Shadow Chronicles 647</t>
  </si>
  <si>
    <t>S1647</t>
  </si>
  <si>
    <t>Silent Zone 648</t>
  </si>
  <si>
    <t>S1648</t>
  </si>
  <si>
    <t>Crimson Truth 649</t>
  </si>
  <si>
    <t>S1649</t>
  </si>
  <si>
    <t>Lost Legacy 650</t>
  </si>
  <si>
    <t>S1650</t>
  </si>
  <si>
    <t>Broken Line 651</t>
  </si>
  <si>
    <t>S1651</t>
  </si>
  <si>
    <t>Royal World 652</t>
  </si>
  <si>
    <t>S1652</t>
  </si>
  <si>
    <t>Echo Journey 653</t>
  </si>
  <si>
    <t>S1653</t>
  </si>
  <si>
    <t>Golden Chronicles 654</t>
  </si>
  <si>
    <t>S1654</t>
  </si>
  <si>
    <t>echo story 655</t>
  </si>
  <si>
    <t>S1655</t>
  </si>
  <si>
    <t>Fire Journey 656</t>
  </si>
  <si>
    <t>S1656</t>
  </si>
  <si>
    <t>Silent Journey 657</t>
  </si>
  <si>
    <t>S1657</t>
  </si>
  <si>
    <t>Ocean Valley 658</t>
  </si>
  <si>
    <t>S1658</t>
  </si>
  <si>
    <t>S1659</t>
  </si>
  <si>
    <t>Shadow Night 660</t>
  </si>
  <si>
    <t>S1660</t>
  </si>
  <si>
    <t>Hidden Mission 661</t>
  </si>
  <si>
    <t>S1661</t>
  </si>
  <si>
    <t>Future Line 662</t>
  </si>
  <si>
    <t>S1662</t>
  </si>
  <si>
    <t>Golden Zone 663</t>
  </si>
  <si>
    <t>S1663</t>
  </si>
  <si>
    <t>Future World 664</t>
  </si>
  <si>
    <t>S1664</t>
  </si>
  <si>
    <t>Last Empire 665</t>
  </si>
  <si>
    <t>S1665</t>
  </si>
  <si>
    <t>Urban Dream 666</t>
  </si>
  <si>
    <t>S1666</t>
  </si>
  <si>
    <t>fire night 667</t>
  </si>
  <si>
    <t>S1667</t>
  </si>
  <si>
    <t>S1668</t>
  </si>
  <si>
    <t>Last Zone 669</t>
  </si>
  <si>
    <t>S1669</t>
  </si>
  <si>
    <t>Hidden Legacy 670</t>
  </si>
  <si>
    <t>S1670</t>
  </si>
  <si>
    <t>Future World 671</t>
  </si>
  <si>
    <t>S1671</t>
  </si>
  <si>
    <t>Silent Line 672</t>
  </si>
  <si>
    <t>S1672</t>
  </si>
  <si>
    <t>Crimson Truth 673</t>
  </si>
  <si>
    <t>S1673</t>
  </si>
  <si>
    <t>Hidden Dream 674</t>
  </si>
  <si>
    <t>S1674</t>
  </si>
  <si>
    <t>Broken Journey 675</t>
  </si>
  <si>
    <t>S1675</t>
  </si>
  <si>
    <t>Future Dream 676</t>
  </si>
  <si>
    <t>S1676</t>
  </si>
  <si>
    <t>Beyond Dream 677</t>
  </si>
  <si>
    <t>S1677</t>
  </si>
  <si>
    <t>Royal Zone 678</t>
  </si>
  <si>
    <t>S1678</t>
  </si>
  <si>
    <t>Royal Chronicles 679</t>
  </si>
  <si>
    <t>S1679</t>
  </si>
  <si>
    <t>S1680</t>
  </si>
  <si>
    <t>Urban World 681</t>
  </si>
  <si>
    <t>S1681</t>
  </si>
  <si>
    <t>Hidden World 682</t>
  </si>
  <si>
    <t>S1682</t>
  </si>
  <si>
    <t>Blue Files 683</t>
  </si>
  <si>
    <t>S1683</t>
  </si>
  <si>
    <t>Ocean Quest 684</t>
  </si>
  <si>
    <t>S1684</t>
  </si>
  <si>
    <t>Dark Quest 685</t>
  </si>
  <si>
    <t>S1685</t>
  </si>
  <si>
    <t>Hidden Files 686</t>
  </si>
  <si>
    <t>S1686</t>
  </si>
  <si>
    <t>Royal Zone 687</t>
  </si>
  <si>
    <t>S1687</t>
  </si>
  <si>
    <t>Secret Dream 688</t>
  </si>
  <si>
    <t>S1688</t>
  </si>
  <si>
    <t>Fire Chronicles 689</t>
  </si>
  <si>
    <t>S1689</t>
  </si>
  <si>
    <t>Future Files 690</t>
  </si>
  <si>
    <t>S1690</t>
  </si>
  <si>
    <t>Blue Story 691</t>
  </si>
  <si>
    <t>S1691</t>
  </si>
  <si>
    <t>S1692</t>
  </si>
  <si>
    <t>Lost Empire 693</t>
  </si>
  <si>
    <t>S1693</t>
  </si>
  <si>
    <t>Last Truth 694</t>
  </si>
  <si>
    <t>S1694</t>
  </si>
  <si>
    <t>Shadow Line 695</t>
  </si>
  <si>
    <t>S1695</t>
  </si>
  <si>
    <t>Dark Valley 696</t>
  </si>
  <si>
    <t>S1696</t>
  </si>
  <si>
    <t>Broken Game 697</t>
  </si>
  <si>
    <t>S1697</t>
  </si>
  <si>
    <t>Lost Code 698</t>
  </si>
  <si>
    <t>S1698</t>
  </si>
  <si>
    <t>Infinite Quest 699</t>
  </si>
  <si>
    <t>S1699</t>
  </si>
  <si>
    <t>Hidden Legacy 700</t>
  </si>
  <si>
    <t>S1700</t>
  </si>
  <si>
    <t>Last Game 701</t>
  </si>
  <si>
    <t>S1701</t>
  </si>
  <si>
    <t>Future Mission 702</t>
  </si>
  <si>
    <t>S1702</t>
  </si>
  <si>
    <t>Fire Chronicles 703</t>
  </si>
  <si>
    <t>S1703</t>
  </si>
  <si>
    <t>Urban Rise 704</t>
  </si>
  <si>
    <t>S1704</t>
  </si>
  <si>
    <t>Secret Chronicles 705</t>
  </si>
  <si>
    <t>S1705</t>
  </si>
  <si>
    <t>Golden Truth 706</t>
  </si>
  <si>
    <t>S1706</t>
  </si>
  <si>
    <t>Crimson Quest 707</t>
  </si>
  <si>
    <t>S1707</t>
  </si>
  <si>
    <t>Wild Truth 708</t>
  </si>
  <si>
    <t>S1708</t>
  </si>
  <si>
    <t>Shadow Dream 709</t>
  </si>
  <si>
    <t>S1709</t>
  </si>
  <si>
    <t>beyond files 710</t>
  </si>
  <si>
    <t>S1710</t>
  </si>
  <si>
    <t>Lost Quest 711</t>
  </si>
  <si>
    <t>S1711</t>
  </si>
  <si>
    <t>S1712</t>
  </si>
  <si>
    <t>Golden Chronicles 713</t>
  </si>
  <si>
    <t>S1713</t>
  </si>
  <si>
    <t>Wild Line 714</t>
  </si>
  <si>
    <t>S1714</t>
  </si>
  <si>
    <t>hidden empire 715</t>
  </si>
  <si>
    <t>S1715</t>
  </si>
  <si>
    <t>Lost Zone 716</t>
  </si>
  <si>
    <t>S1716</t>
  </si>
  <si>
    <t>Golden Story 717</t>
  </si>
  <si>
    <t>S1717</t>
  </si>
  <si>
    <t>Fire World 718</t>
  </si>
  <si>
    <t>S1718</t>
  </si>
  <si>
    <t>Shadow Night 719</t>
  </si>
  <si>
    <t>S1719</t>
  </si>
  <si>
    <t>Broken Mission 720</t>
  </si>
  <si>
    <t>S1720</t>
  </si>
  <si>
    <t>Echo Night 721</t>
  </si>
  <si>
    <t>S1721</t>
  </si>
  <si>
    <t>Beyond World 722</t>
  </si>
  <si>
    <t>107 min</t>
  </si>
  <si>
    <t>S1722</t>
  </si>
  <si>
    <t>Blue Night 723</t>
  </si>
  <si>
    <t>S1723</t>
  </si>
  <si>
    <t>Golden Rise 724</t>
  </si>
  <si>
    <t>S1724</t>
  </si>
  <si>
    <t>Dark Rise 725</t>
  </si>
  <si>
    <t>S1725</t>
  </si>
  <si>
    <t>Blue Game 726</t>
  </si>
  <si>
    <t>S1726</t>
  </si>
  <si>
    <t>Hidden Game 727</t>
  </si>
  <si>
    <t>S1727</t>
  </si>
  <si>
    <t>Silent Edge 728</t>
  </si>
  <si>
    <t>S1728</t>
  </si>
  <si>
    <t>Secret Dream 729</t>
  </si>
  <si>
    <t>S1729</t>
  </si>
  <si>
    <t>S1730</t>
  </si>
  <si>
    <t>Last Quest 731</t>
  </si>
  <si>
    <t>S1731</t>
  </si>
  <si>
    <t>Ocean Dream 732</t>
  </si>
  <si>
    <t>S1732</t>
  </si>
  <si>
    <t>Infinite Chronicles 733</t>
  </si>
  <si>
    <t>S1733</t>
  </si>
  <si>
    <t>Last Story 734</t>
  </si>
  <si>
    <t>S1734</t>
  </si>
  <si>
    <t>Silent Quest 735</t>
  </si>
  <si>
    <t>S1735</t>
  </si>
  <si>
    <t>Lost Dream 736</t>
  </si>
  <si>
    <t>S1736</t>
  </si>
  <si>
    <t>S1737</t>
  </si>
  <si>
    <t>Ocean Chronicles 738</t>
  </si>
  <si>
    <t>S1738</t>
  </si>
  <si>
    <t>wild rise 739</t>
  </si>
  <si>
    <t>S1739</t>
  </si>
  <si>
    <t>Beyond Story 740</t>
  </si>
  <si>
    <t>S1740</t>
  </si>
  <si>
    <t>Last Truth 741</t>
  </si>
  <si>
    <t>S1741</t>
  </si>
  <si>
    <t>Silent Legacy 742</t>
  </si>
  <si>
    <t>S1742</t>
  </si>
  <si>
    <t>Future Story 743</t>
  </si>
  <si>
    <t>S1743</t>
  </si>
  <si>
    <t>Fire Line 744</t>
  </si>
  <si>
    <t>S1744</t>
  </si>
  <si>
    <t>Echo Zone 745</t>
  </si>
  <si>
    <t>S1745</t>
  </si>
  <si>
    <t>Ocean Story 746</t>
  </si>
  <si>
    <t>S1746</t>
  </si>
  <si>
    <t>Blue Story 747</t>
  </si>
  <si>
    <t>S1747</t>
  </si>
  <si>
    <t>Golden Files 748</t>
  </si>
  <si>
    <t>S1748</t>
  </si>
  <si>
    <t>Ocean Empire 749</t>
  </si>
  <si>
    <t>S1749</t>
  </si>
  <si>
    <t>Royal Story 750</t>
  </si>
  <si>
    <t>S1750</t>
  </si>
  <si>
    <t>Shadow Signal 751</t>
  </si>
  <si>
    <t>S1751</t>
  </si>
  <si>
    <t>Royal Valley 752</t>
  </si>
  <si>
    <t>S1752</t>
  </si>
  <si>
    <t>Shadow Code 753</t>
  </si>
  <si>
    <t>S1753</t>
  </si>
  <si>
    <t>Wild Chronicles 754</t>
  </si>
  <si>
    <t>S1754</t>
  </si>
  <si>
    <t>Future Legacy 755</t>
  </si>
  <si>
    <t>S1755</t>
  </si>
  <si>
    <t>Shadow Mission 756</t>
  </si>
  <si>
    <t>S1756</t>
  </si>
  <si>
    <t>Silent Signal 757</t>
  </si>
  <si>
    <t>S1757</t>
  </si>
  <si>
    <t>Fire World 758</t>
  </si>
  <si>
    <t>S1758</t>
  </si>
  <si>
    <t>Last Dream 759</t>
  </si>
  <si>
    <t>S1759</t>
  </si>
  <si>
    <t>Hidden Journey 760</t>
  </si>
  <si>
    <t>S1760</t>
  </si>
  <si>
    <t>Shadow World 761</t>
  </si>
  <si>
    <t>S1761</t>
  </si>
  <si>
    <t>Fire Quest 762</t>
  </si>
  <si>
    <t>S1762</t>
  </si>
  <si>
    <t>Future Valley 763</t>
  </si>
  <si>
    <t>S1763</t>
  </si>
  <si>
    <t>Ocean Quest 764</t>
  </si>
  <si>
    <t>S1764</t>
  </si>
  <si>
    <t>Golden Code 765</t>
  </si>
  <si>
    <t>S1765</t>
  </si>
  <si>
    <t>Blue Game 766</t>
  </si>
  <si>
    <t>S1766</t>
  </si>
  <si>
    <t>S1767</t>
  </si>
  <si>
    <t>Hidden Mission 768</t>
  </si>
  <si>
    <t>S1768</t>
  </si>
  <si>
    <t>Secret Game 769</t>
  </si>
  <si>
    <t>S1769</t>
  </si>
  <si>
    <t>Wild Game 770</t>
  </si>
  <si>
    <t>S1770</t>
  </si>
  <si>
    <t>Secret Dream 771</t>
  </si>
  <si>
    <t>S1771</t>
  </si>
  <si>
    <t>Last Journey 772</t>
  </si>
  <si>
    <t>S1772</t>
  </si>
  <si>
    <t>Wild Zone 773</t>
  </si>
  <si>
    <t>S1773</t>
  </si>
  <si>
    <t>Infinite Line 774</t>
  </si>
  <si>
    <t>S1774</t>
  </si>
  <si>
    <t>Secret Chronicles 775</t>
  </si>
  <si>
    <t>S1775</t>
  </si>
  <si>
    <t>Blue Truth 776</t>
  </si>
  <si>
    <t>S1776</t>
  </si>
  <si>
    <t>Urban World 777</t>
  </si>
  <si>
    <t>S1777</t>
  </si>
  <si>
    <t>S1778</t>
  </si>
  <si>
    <t>Lost Edge 779</t>
  </si>
  <si>
    <t>S1779</t>
  </si>
  <si>
    <t>Shadow Zone 780</t>
  </si>
  <si>
    <t>S1780</t>
  </si>
  <si>
    <t>golden rise 781</t>
  </si>
  <si>
    <t>S1781</t>
  </si>
  <si>
    <t>Future Mission 782</t>
  </si>
  <si>
    <t>S1782</t>
  </si>
  <si>
    <t>Secret Code 783</t>
  </si>
  <si>
    <t>S1783</t>
  </si>
  <si>
    <t>Hidden Valley 784</t>
  </si>
  <si>
    <t>S1784</t>
  </si>
  <si>
    <t>Broken Dream 785</t>
  </si>
  <si>
    <t>S1785</t>
  </si>
  <si>
    <t>Future Empire 786</t>
  </si>
  <si>
    <t>S1786</t>
  </si>
  <si>
    <t>Dark Legacy 787</t>
  </si>
  <si>
    <t>S1787</t>
  </si>
  <si>
    <t>Crimson Edge 788</t>
  </si>
  <si>
    <t>S1788</t>
  </si>
  <si>
    <t>Secret Quest 789</t>
  </si>
  <si>
    <t>S1789</t>
  </si>
  <si>
    <t>Hidden World 790</t>
  </si>
  <si>
    <t>S1790</t>
  </si>
  <si>
    <t>Golden Line 791</t>
  </si>
  <si>
    <t>S1791</t>
  </si>
  <si>
    <t>Future World 792</t>
  </si>
  <si>
    <t>S1792</t>
  </si>
  <si>
    <t>Hidden Journey 793</t>
  </si>
  <si>
    <t>S1793</t>
  </si>
  <si>
    <t>Dark Dream 794</t>
  </si>
  <si>
    <t>S1794</t>
  </si>
  <si>
    <t>Royal Line 795</t>
  </si>
  <si>
    <t>S1795</t>
  </si>
  <si>
    <t>Urban Dream 796</t>
  </si>
  <si>
    <t>139 min</t>
  </si>
  <si>
    <t>S1796</t>
  </si>
  <si>
    <t>Ocean Chronicles 797</t>
  </si>
  <si>
    <t>S1797</t>
  </si>
  <si>
    <t>Secret Game 798</t>
  </si>
  <si>
    <t>S1798</t>
  </si>
  <si>
    <t>Crimson Signal 799</t>
  </si>
  <si>
    <t>S1799</t>
  </si>
  <si>
    <t>Infinite Line 800</t>
  </si>
  <si>
    <t>S1800</t>
  </si>
  <si>
    <t>S1801</t>
  </si>
  <si>
    <t>Beyond Mission 802</t>
  </si>
  <si>
    <t>S1802</t>
  </si>
  <si>
    <t>Ocean Files 803</t>
  </si>
  <si>
    <t>S1803</t>
  </si>
  <si>
    <t>Secret Quest 804</t>
  </si>
  <si>
    <t>S1804</t>
  </si>
  <si>
    <t>Wild Empire 805</t>
  </si>
  <si>
    <t>S1805</t>
  </si>
  <si>
    <t>Crimson World 806</t>
  </si>
  <si>
    <t>S1806</t>
  </si>
  <si>
    <t>Wild Night 807</t>
  </si>
  <si>
    <t>S1807</t>
  </si>
  <si>
    <t>Lost Line 808</t>
  </si>
  <si>
    <t>S1808</t>
  </si>
  <si>
    <t>Lost Rise 809</t>
  </si>
  <si>
    <t>94 min</t>
  </si>
  <si>
    <t>S1809</t>
  </si>
  <si>
    <t>Golden Rise 810</t>
  </si>
  <si>
    <t>S1810</t>
  </si>
  <si>
    <t>urban empire 811</t>
  </si>
  <si>
    <t>S1811</t>
  </si>
  <si>
    <t>Echo Line 812</t>
  </si>
  <si>
    <t>S1812</t>
  </si>
  <si>
    <t>Broken Mission 813</t>
  </si>
  <si>
    <t>S1813</t>
  </si>
  <si>
    <t>Broken Journey 814</t>
  </si>
  <si>
    <t>S1814</t>
  </si>
  <si>
    <t>hidden quest 815</t>
  </si>
  <si>
    <t>S1815</t>
  </si>
  <si>
    <t>Fire Files 816</t>
  </si>
  <si>
    <t>S1816</t>
  </si>
  <si>
    <t>Infinite World 817</t>
  </si>
  <si>
    <t>S1817</t>
  </si>
  <si>
    <t>Fire Quest 818</t>
  </si>
  <si>
    <t>S1818</t>
  </si>
  <si>
    <t>Crimson Signal 819</t>
  </si>
  <si>
    <t>S1819</t>
  </si>
  <si>
    <t>Dark Valley 820</t>
  </si>
  <si>
    <t>S1820</t>
  </si>
  <si>
    <t>Fire Quest 821</t>
  </si>
  <si>
    <t>S1821</t>
  </si>
  <si>
    <t>Royal Files 822</t>
  </si>
  <si>
    <t>S1822</t>
  </si>
  <si>
    <t>Lost Valley 823</t>
  </si>
  <si>
    <t>S1823</t>
  </si>
  <si>
    <t>Royal Empire 824</t>
  </si>
  <si>
    <t>S1824</t>
  </si>
  <si>
    <t>Shadow Rise 825</t>
  </si>
  <si>
    <t>S1825</t>
  </si>
  <si>
    <t>Urban Dream 826</t>
  </si>
  <si>
    <t>S1826</t>
  </si>
  <si>
    <t>Shadow Empire 827</t>
  </si>
  <si>
    <t>S1827</t>
  </si>
  <si>
    <t>Fire Code 828</t>
  </si>
  <si>
    <t>S1828</t>
  </si>
  <si>
    <t>Wild Truth 829</t>
  </si>
  <si>
    <t>S1829</t>
  </si>
  <si>
    <t>Secret Quest 830</t>
  </si>
  <si>
    <t>S1830</t>
  </si>
  <si>
    <t>Wild Story 831</t>
  </si>
  <si>
    <t>S1831</t>
  </si>
  <si>
    <t>Beyond Empire 832</t>
  </si>
  <si>
    <t>S1832</t>
  </si>
  <si>
    <t>Echo Chronicles 833</t>
  </si>
  <si>
    <t>S1833</t>
  </si>
  <si>
    <t>Shadow Files 834</t>
  </si>
  <si>
    <t>S1834</t>
  </si>
  <si>
    <t>Urban Legacy 835</t>
  </si>
  <si>
    <t>S1835</t>
  </si>
  <si>
    <t>Wild Line 836</t>
  </si>
  <si>
    <t>S1836</t>
  </si>
  <si>
    <t>beyond line 837</t>
  </si>
  <si>
    <t>S1837</t>
  </si>
  <si>
    <t>Broken Night 838</t>
  </si>
  <si>
    <t>S1838</t>
  </si>
  <si>
    <t>Shadow Zone 839</t>
  </si>
  <si>
    <t>S1839</t>
  </si>
  <si>
    <t>secret night 840</t>
  </si>
  <si>
    <t>S1840</t>
  </si>
  <si>
    <t>Hidden Line 841</t>
  </si>
  <si>
    <t>S1841</t>
  </si>
  <si>
    <t>Silent Story 842</t>
  </si>
  <si>
    <t>S1842</t>
  </si>
  <si>
    <t>Shadow Story 843</t>
  </si>
  <si>
    <t>S1843</t>
  </si>
  <si>
    <t>Broken Story 844</t>
  </si>
  <si>
    <t>S1844</t>
  </si>
  <si>
    <t>Dark Journey 845</t>
  </si>
  <si>
    <t>S1845</t>
  </si>
  <si>
    <t>Broken World 846</t>
  </si>
  <si>
    <t>S1846</t>
  </si>
  <si>
    <t>Royal Valley 847</t>
  </si>
  <si>
    <t>S1847</t>
  </si>
  <si>
    <t>Last Signal 848</t>
  </si>
  <si>
    <t>S1848</t>
  </si>
  <si>
    <t>Ocean Edge 849</t>
  </si>
  <si>
    <t>S1849</t>
  </si>
  <si>
    <t>Hidden Line 850</t>
  </si>
  <si>
    <t>S1850</t>
  </si>
  <si>
    <t>Crimson Code 851</t>
  </si>
  <si>
    <t>S1851</t>
  </si>
  <si>
    <t>Crimson Signal 852</t>
  </si>
  <si>
    <t>S1852</t>
  </si>
  <si>
    <t>Last Story 853</t>
  </si>
  <si>
    <t>S1853</t>
  </si>
  <si>
    <t>Future Empire 854</t>
  </si>
  <si>
    <t>S1854</t>
  </si>
  <si>
    <t>future rise 855</t>
  </si>
  <si>
    <t>S1855</t>
  </si>
  <si>
    <t>urban mission 856</t>
  </si>
  <si>
    <t>S1856</t>
  </si>
  <si>
    <t>Broken Empire 857</t>
  </si>
  <si>
    <t>S1857</t>
  </si>
  <si>
    <t>Lost Legacy 858</t>
  </si>
  <si>
    <t>S1858</t>
  </si>
  <si>
    <t>Crimson Mission 859</t>
  </si>
  <si>
    <t>S1859</t>
  </si>
  <si>
    <t>Crimson Mission 860</t>
  </si>
  <si>
    <t>S1860</t>
  </si>
  <si>
    <t>Echo Signal 861</t>
  </si>
  <si>
    <t>S1861</t>
  </si>
  <si>
    <t>Golden Game 862</t>
  </si>
  <si>
    <t>S1862</t>
  </si>
  <si>
    <t>Echo Rise 863</t>
  </si>
  <si>
    <t>S1863</t>
  </si>
  <si>
    <t>Beyond Truth 864</t>
  </si>
  <si>
    <t>S1864</t>
  </si>
  <si>
    <t>Shadow Mission 865</t>
  </si>
  <si>
    <t>S1865</t>
  </si>
  <si>
    <t>Echo Valley 866</t>
  </si>
  <si>
    <t>S1866</t>
  </si>
  <si>
    <t>shadow chronicles 867</t>
  </si>
  <si>
    <t>S1867</t>
  </si>
  <si>
    <t>Dark Valley 868</t>
  </si>
  <si>
    <t>S1868</t>
  </si>
  <si>
    <t>broken line 869</t>
  </si>
  <si>
    <t>S1869</t>
  </si>
  <si>
    <t>Wild Truth 870</t>
  </si>
  <si>
    <t>S1870</t>
  </si>
  <si>
    <t>Last Story 871</t>
  </si>
  <si>
    <t>S1871</t>
  </si>
  <si>
    <t>Urban Code 872</t>
  </si>
  <si>
    <t>135 min</t>
  </si>
  <si>
    <t>S1872</t>
  </si>
  <si>
    <t>Lost Files 873</t>
  </si>
  <si>
    <t>S1873</t>
  </si>
  <si>
    <t>Beyond Quest 874</t>
  </si>
  <si>
    <t>S1874</t>
  </si>
  <si>
    <t>Blue Signal 875</t>
  </si>
  <si>
    <t>S1875</t>
  </si>
  <si>
    <t>Beyond World 876</t>
  </si>
  <si>
    <t>S1876</t>
  </si>
  <si>
    <t>Golden Rise 877</t>
  </si>
  <si>
    <t>S1877</t>
  </si>
  <si>
    <t>Last Story 878</t>
  </si>
  <si>
    <t>S1878</t>
  </si>
  <si>
    <t>S1879</t>
  </si>
  <si>
    <t>Blue Empire 880</t>
  </si>
  <si>
    <t>S1880</t>
  </si>
  <si>
    <t>Fire Chronicles 881</t>
  </si>
  <si>
    <t>S1881</t>
  </si>
  <si>
    <t>Royal Quest 882</t>
  </si>
  <si>
    <t>S1882</t>
  </si>
  <si>
    <t>Ocean Legacy 883</t>
  </si>
  <si>
    <t>S1883</t>
  </si>
  <si>
    <t>Silent Dream 884</t>
  </si>
  <si>
    <t>S1884</t>
  </si>
  <si>
    <t>Echo Signal 885</t>
  </si>
  <si>
    <t>S1885</t>
  </si>
  <si>
    <t>Lost Story 886</t>
  </si>
  <si>
    <t>S1886</t>
  </si>
  <si>
    <t>ocean truth 887</t>
  </si>
  <si>
    <t>S1887</t>
  </si>
  <si>
    <t>Broken Code 888</t>
  </si>
  <si>
    <t>S1888</t>
  </si>
  <si>
    <t>Broken Edge 889</t>
  </si>
  <si>
    <t>S1889</t>
  </si>
  <si>
    <t>Lost Truth 890</t>
  </si>
  <si>
    <t>S1890</t>
  </si>
  <si>
    <t>Ocean Dream 891</t>
  </si>
  <si>
    <t>S1891</t>
  </si>
  <si>
    <t>Lost World 892</t>
  </si>
  <si>
    <t>S1892</t>
  </si>
  <si>
    <t>Shadow Valley 893</t>
  </si>
  <si>
    <t>S1893</t>
  </si>
  <si>
    <t>Silent Truth 894</t>
  </si>
  <si>
    <t>S1894</t>
  </si>
  <si>
    <t>Silent Edge 895</t>
  </si>
  <si>
    <t>S1895</t>
  </si>
  <si>
    <t>Shadow Journey 896</t>
  </si>
  <si>
    <t>S1896</t>
  </si>
  <si>
    <t>Golden Game 897</t>
  </si>
  <si>
    <t>S1897</t>
  </si>
  <si>
    <t>Secret Story 898</t>
  </si>
  <si>
    <t>S1898</t>
  </si>
  <si>
    <t>Blue Zone 899</t>
  </si>
  <si>
    <t>S1899</t>
  </si>
  <si>
    <t>Urban Line 900</t>
  </si>
  <si>
    <t>S1900</t>
  </si>
  <si>
    <t>Echo World 901</t>
  </si>
  <si>
    <t>S1901</t>
  </si>
  <si>
    <t>Fire Quest 902</t>
  </si>
  <si>
    <t>S1902</t>
  </si>
  <si>
    <t>Secret Signal 903</t>
  </si>
  <si>
    <t>S1903</t>
  </si>
  <si>
    <t>Crimson Night 904</t>
  </si>
  <si>
    <t>S1904</t>
  </si>
  <si>
    <t>Dark Signal 905</t>
  </si>
  <si>
    <t>S1905</t>
  </si>
  <si>
    <t>Broken Game 906</t>
  </si>
  <si>
    <t>S1906</t>
  </si>
  <si>
    <t>S1907</t>
  </si>
  <si>
    <t>Dark Zone 908</t>
  </si>
  <si>
    <t>151 min</t>
  </si>
  <si>
    <t>S1908</t>
  </si>
  <si>
    <t>Hidden Empire 909</t>
  </si>
  <si>
    <t>S1909</t>
  </si>
  <si>
    <t>Ocean Empire 910</t>
  </si>
  <si>
    <t>S1910</t>
  </si>
  <si>
    <t>Crimson Empire 911</t>
  </si>
  <si>
    <t>S1911</t>
  </si>
  <si>
    <t>Secret Empire 912</t>
  </si>
  <si>
    <t>S1912</t>
  </si>
  <si>
    <t>Last Line 913</t>
  </si>
  <si>
    <t>S1913</t>
  </si>
  <si>
    <t>Wild Night 914</t>
  </si>
  <si>
    <t>S1914</t>
  </si>
  <si>
    <t>Dark Dream 915</t>
  </si>
  <si>
    <t>S1915</t>
  </si>
  <si>
    <t>Wild Dream 916</t>
  </si>
  <si>
    <t>S1916</t>
  </si>
  <si>
    <t>Fire Truth 917</t>
  </si>
  <si>
    <t>S1917</t>
  </si>
  <si>
    <t>Crimson Truth 918</t>
  </si>
  <si>
    <t>S1918</t>
  </si>
  <si>
    <t>Hidden Journey 919</t>
  </si>
  <si>
    <t>S1919</t>
  </si>
  <si>
    <t>Beyond Valley 920</t>
  </si>
  <si>
    <t>S1920</t>
  </si>
  <si>
    <t>Beyond World 921</t>
  </si>
  <si>
    <t>S1921</t>
  </si>
  <si>
    <t>Shadow Dream 922</t>
  </si>
  <si>
    <t>S1922</t>
  </si>
  <si>
    <t>Shadow Legacy 923</t>
  </si>
  <si>
    <t>S1923</t>
  </si>
  <si>
    <t>Silent Journey 924</t>
  </si>
  <si>
    <t>S1924</t>
  </si>
  <si>
    <t>Infinite Night 925</t>
  </si>
  <si>
    <t>S1925</t>
  </si>
  <si>
    <t>Blue Zone 926</t>
  </si>
  <si>
    <t>S1926</t>
  </si>
  <si>
    <t>Secret Dream 927</t>
  </si>
  <si>
    <t>S1927</t>
  </si>
  <si>
    <t>Blue Edge 928</t>
  </si>
  <si>
    <t>S1928</t>
  </si>
  <si>
    <t>Wild Edge 929</t>
  </si>
  <si>
    <t>S1929</t>
  </si>
  <si>
    <t>Wild Code 930</t>
  </si>
  <si>
    <t>S1930</t>
  </si>
  <si>
    <t>Ocean Files 931</t>
  </si>
  <si>
    <t>S1931</t>
  </si>
  <si>
    <t>Infinite Quest 932</t>
  </si>
  <si>
    <t>S1932</t>
  </si>
  <si>
    <t>Blue Legacy 933</t>
  </si>
  <si>
    <t>S1933</t>
  </si>
  <si>
    <t>Silent Rise 934</t>
  </si>
  <si>
    <t>S1934</t>
  </si>
  <si>
    <t>Silent Valley 935</t>
  </si>
  <si>
    <t>S1935</t>
  </si>
  <si>
    <t>Echo Quest 936</t>
  </si>
  <si>
    <t>S1936</t>
  </si>
  <si>
    <t>Dark Quest 937</t>
  </si>
  <si>
    <t>S1937</t>
  </si>
  <si>
    <t>Dark Story 938</t>
  </si>
  <si>
    <t>S1938</t>
  </si>
  <si>
    <t>Last Journey 939</t>
  </si>
  <si>
    <t>S1939</t>
  </si>
  <si>
    <t>Ocean Legacy 940</t>
  </si>
  <si>
    <t>S1940</t>
  </si>
  <si>
    <t>Beyond World 941</t>
  </si>
  <si>
    <t>S1941</t>
  </si>
  <si>
    <t>Hidden Truth 942</t>
  </si>
  <si>
    <t>S1942</t>
  </si>
  <si>
    <t>Dark Chronicles 943</t>
  </si>
  <si>
    <t>S1943</t>
  </si>
  <si>
    <t>crimson code 944</t>
  </si>
  <si>
    <t>S1944</t>
  </si>
  <si>
    <t>Beyond Legacy 945</t>
  </si>
  <si>
    <t>S1945</t>
  </si>
  <si>
    <t>Broken Zone 946</t>
  </si>
  <si>
    <t>S1946</t>
  </si>
  <si>
    <t>Royal Dream 947</t>
  </si>
  <si>
    <t>S1947</t>
  </si>
  <si>
    <t>Hidden Zone 948</t>
  </si>
  <si>
    <t>S1948</t>
  </si>
  <si>
    <t>Secret Files 949</t>
  </si>
  <si>
    <t>S1949</t>
  </si>
  <si>
    <t>Shadow Journey 950</t>
  </si>
  <si>
    <t>S1950</t>
  </si>
  <si>
    <t>Dark Rise 951</t>
  </si>
  <si>
    <t>S1951</t>
  </si>
  <si>
    <t>Dark Files 952</t>
  </si>
  <si>
    <t>S1952</t>
  </si>
  <si>
    <t>blue legacy 953</t>
  </si>
  <si>
    <t>S1953</t>
  </si>
  <si>
    <t>Beyond Files 954</t>
  </si>
  <si>
    <t>S1954</t>
  </si>
  <si>
    <t>Infinite Files 955</t>
  </si>
  <si>
    <t>S1955</t>
  </si>
  <si>
    <t>Last Journey 956</t>
  </si>
  <si>
    <t>S1956</t>
  </si>
  <si>
    <t>royal empire 957</t>
  </si>
  <si>
    <t>S1957</t>
  </si>
  <si>
    <t>Hidden Valley 958</t>
  </si>
  <si>
    <t>S1958</t>
  </si>
  <si>
    <t>Wild Files 959</t>
  </si>
  <si>
    <t>S1959</t>
  </si>
  <si>
    <t>S1960</t>
  </si>
  <si>
    <t>Secret Legacy 961</t>
  </si>
  <si>
    <t>S1961</t>
  </si>
  <si>
    <t>Urban Legacy 962</t>
  </si>
  <si>
    <t>S1962</t>
  </si>
  <si>
    <t>Future Signal 963</t>
  </si>
  <si>
    <t>S1963</t>
  </si>
  <si>
    <t>Crimson Line 964</t>
  </si>
  <si>
    <t>S1964</t>
  </si>
  <si>
    <t>Blue Signal 965</t>
  </si>
  <si>
    <t>S1965</t>
  </si>
  <si>
    <t>royal mission 966</t>
  </si>
  <si>
    <t>S1966</t>
  </si>
  <si>
    <t>Fire Truth 967</t>
  </si>
  <si>
    <t>S1967</t>
  </si>
  <si>
    <t>fire world 968</t>
  </si>
  <si>
    <t>S1968</t>
  </si>
  <si>
    <t>Dark World 969</t>
  </si>
  <si>
    <t>S1969</t>
  </si>
  <si>
    <t>Blue Mission 970</t>
  </si>
  <si>
    <t>S1970</t>
  </si>
  <si>
    <t>Secret Zone 971</t>
  </si>
  <si>
    <t>S1971</t>
  </si>
  <si>
    <t>Dark Dream 972</t>
  </si>
  <si>
    <t>S1972</t>
  </si>
  <si>
    <t>golden story 973</t>
  </si>
  <si>
    <t>S1973</t>
  </si>
  <si>
    <t>Urban Rise 974</t>
  </si>
  <si>
    <t>S1974</t>
  </si>
  <si>
    <t>Dark Quest 975</t>
  </si>
  <si>
    <t>S1975</t>
  </si>
  <si>
    <t>Last World 976</t>
  </si>
  <si>
    <t>S1976</t>
  </si>
  <si>
    <t>Hidden Dream 977</t>
  </si>
  <si>
    <t>S1977</t>
  </si>
  <si>
    <t>Secret World 978</t>
  </si>
  <si>
    <t>S1978</t>
  </si>
  <si>
    <t>Future Valley 979</t>
  </si>
  <si>
    <t>S1979</t>
  </si>
  <si>
    <t>Broken Empire 980</t>
  </si>
  <si>
    <t>S1980</t>
  </si>
  <si>
    <t>Ocean Night 981</t>
  </si>
  <si>
    <t>S1981</t>
  </si>
  <si>
    <t>Lost Chronicles 982</t>
  </si>
  <si>
    <t>S1982</t>
  </si>
  <si>
    <t>Fire Game 983</t>
  </si>
  <si>
    <t>S1983</t>
  </si>
  <si>
    <t>Wild Empire 984</t>
  </si>
  <si>
    <t>S1984</t>
  </si>
  <si>
    <t>Hidden Empire 985</t>
  </si>
  <si>
    <t>S1985</t>
  </si>
  <si>
    <t>Urban Zone 986</t>
  </si>
  <si>
    <t>S1986</t>
  </si>
  <si>
    <t>Royal World 987</t>
  </si>
  <si>
    <t>S1987</t>
  </si>
  <si>
    <t>Dark Night 988</t>
  </si>
  <si>
    <t>S1988</t>
  </si>
  <si>
    <t>Future Edge 989</t>
  </si>
  <si>
    <t>S1989</t>
  </si>
  <si>
    <t>Royal Rise 990</t>
  </si>
  <si>
    <t>S1990</t>
  </si>
  <si>
    <t>Hidden Quest 991</t>
  </si>
  <si>
    <t>S1991</t>
  </si>
  <si>
    <t>Shadow Chronicles 992</t>
  </si>
  <si>
    <t>S1992</t>
  </si>
  <si>
    <t>Secret Files 993</t>
  </si>
  <si>
    <t>S1993</t>
  </si>
  <si>
    <t>Hidden Valley 994</t>
  </si>
  <si>
    <t>S1994</t>
  </si>
  <si>
    <t>Wild Line 995</t>
  </si>
  <si>
    <t>S1995</t>
  </si>
  <si>
    <t>Hidden Truth 996</t>
  </si>
  <si>
    <t>S1996</t>
  </si>
  <si>
    <t>S1997</t>
  </si>
  <si>
    <t>Hidden Line 998</t>
  </si>
  <si>
    <t>S1998</t>
  </si>
  <si>
    <t>Lost Quest 999</t>
  </si>
  <si>
    <t>S1999</t>
  </si>
  <si>
    <t>Crimson Quest 1000</t>
  </si>
  <si>
    <t>S2000</t>
  </si>
  <si>
    <t>royal valley 1001</t>
  </si>
  <si>
    <t>S2001</t>
  </si>
  <si>
    <t>future journey 1002</t>
  </si>
  <si>
    <t>S2002</t>
  </si>
  <si>
    <t>Broken Journey 1003</t>
  </si>
  <si>
    <t>S2003</t>
  </si>
  <si>
    <t>Lost Rise 1004</t>
  </si>
  <si>
    <t>S2004</t>
  </si>
  <si>
    <t>lost empire 1005</t>
  </si>
  <si>
    <t>S2005</t>
  </si>
  <si>
    <t>Infinite Journey 1006</t>
  </si>
  <si>
    <t>S2006</t>
  </si>
  <si>
    <t>Royal Files 1007</t>
  </si>
  <si>
    <t>S2007</t>
  </si>
  <si>
    <t>Golden Empire 1008</t>
  </si>
  <si>
    <t>S2008</t>
  </si>
  <si>
    <t>Urban Valley 1009</t>
  </si>
  <si>
    <t>S2009</t>
  </si>
  <si>
    <t>Royal Code 1010</t>
  </si>
  <si>
    <t>S2010</t>
  </si>
  <si>
    <t>Broken Edge 1011</t>
  </si>
  <si>
    <t>S2011</t>
  </si>
  <si>
    <t>Fire Chronicles 1012</t>
  </si>
  <si>
    <t>S2012</t>
  </si>
  <si>
    <t>ocean mission 1013</t>
  </si>
  <si>
    <t>S2013</t>
  </si>
  <si>
    <t>Infinite Edge 1014</t>
  </si>
  <si>
    <t>S2014</t>
  </si>
  <si>
    <t>Wild Journey 1015</t>
  </si>
  <si>
    <t>S2015</t>
  </si>
  <si>
    <t>Golden Truth 1016</t>
  </si>
  <si>
    <t>S2016</t>
  </si>
  <si>
    <t>Fire Journey 1017</t>
  </si>
  <si>
    <t>S2017</t>
  </si>
  <si>
    <t>Beyond World 1018</t>
  </si>
  <si>
    <t>S2018</t>
  </si>
  <si>
    <t>secret game 1019</t>
  </si>
  <si>
    <t>S2019</t>
  </si>
  <si>
    <t>Last Rise 1020</t>
  </si>
  <si>
    <t>S2020</t>
  </si>
  <si>
    <t>Infinite Rise 1021</t>
  </si>
  <si>
    <t>S2021</t>
  </si>
  <si>
    <t>Blue Legacy 1022</t>
  </si>
  <si>
    <t>S2022</t>
  </si>
  <si>
    <t>Wild Code 1023</t>
  </si>
  <si>
    <t>S2023</t>
  </si>
  <si>
    <t>Shadow Code 1024</t>
  </si>
  <si>
    <t>S2024</t>
  </si>
  <si>
    <t>Golden Rise 1025</t>
  </si>
  <si>
    <t>S2025</t>
  </si>
  <si>
    <t>Infinite Valley 1026</t>
  </si>
  <si>
    <t>S2026</t>
  </si>
  <si>
    <t>Shadow Mission 1027</t>
  </si>
  <si>
    <t>115 min</t>
  </si>
  <si>
    <t>S2027</t>
  </si>
  <si>
    <t>echo dream 1028</t>
  </si>
  <si>
    <t>S2028</t>
  </si>
  <si>
    <t>Infinite Signal 1029</t>
  </si>
  <si>
    <t>S2029</t>
  </si>
  <si>
    <t>Silent Edge 1030</t>
  </si>
  <si>
    <t>S2030</t>
  </si>
  <si>
    <t>Hidden Code 1031</t>
  </si>
  <si>
    <t>S2031</t>
  </si>
  <si>
    <t>Last Legacy 1032</t>
  </si>
  <si>
    <t>S2032</t>
  </si>
  <si>
    <t>Infinite Truth 1033</t>
  </si>
  <si>
    <t>S2033</t>
  </si>
  <si>
    <t>Last Empire 1034</t>
  </si>
  <si>
    <t>S2034</t>
  </si>
  <si>
    <t>Ocean Dream 1035</t>
  </si>
  <si>
    <t>S2035</t>
  </si>
  <si>
    <t>Broken World 1036</t>
  </si>
  <si>
    <t>S2036</t>
  </si>
  <si>
    <t>Hidden Valley 1037</t>
  </si>
  <si>
    <t>S2037</t>
  </si>
  <si>
    <t>Future Edge 1038</t>
  </si>
  <si>
    <t>S2038</t>
  </si>
  <si>
    <t>Wild Files 1039</t>
  </si>
  <si>
    <t>S2039</t>
  </si>
  <si>
    <t>Blue Night 1040</t>
  </si>
  <si>
    <t>S2040</t>
  </si>
  <si>
    <t>Urban Quest 1041</t>
  </si>
  <si>
    <t>S2041</t>
  </si>
  <si>
    <t>Golden Journey 1042</t>
  </si>
  <si>
    <t>S2042</t>
  </si>
  <si>
    <t>Ocean Valley 1043</t>
  </si>
  <si>
    <t>S2043</t>
  </si>
  <si>
    <t>Last Line 1044</t>
  </si>
  <si>
    <t>S2044</t>
  </si>
  <si>
    <t>Broken World 1045</t>
  </si>
  <si>
    <t>S2045</t>
  </si>
  <si>
    <t>Blue Chronicles 1046</t>
  </si>
  <si>
    <t>S2046</t>
  </si>
  <si>
    <t>Golden Quest 1047</t>
  </si>
  <si>
    <t>127 min</t>
  </si>
  <si>
    <t>S2047</t>
  </si>
  <si>
    <t>Last Legacy 1048</t>
  </si>
  <si>
    <t>S2048</t>
  </si>
  <si>
    <t>last zone 1049</t>
  </si>
  <si>
    <t>S2049</t>
  </si>
  <si>
    <t>Secret Zone 1050</t>
  </si>
  <si>
    <t>S2050</t>
  </si>
  <si>
    <t>Last Truth 1051</t>
  </si>
  <si>
    <t>S2051</t>
  </si>
  <si>
    <t>Golden Dream 1052</t>
  </si>
  <si>
    <t>S2052</t>
  </si>
  <si>
    <t>Secret Line 1053</t>
  </si>
  <si>
    <t>S2053</t>
  </si>
  <si>
    <t>Broken Mission 1054</t>
  </si>
  <si>
    <t>S2054</t>
  </si>
  <si>
    <t>Royal Code 1055</t>
  </si>
  <si>
    <t>S2055</t>
  </si>
  <si>
    <t>Future Code 1056</t>
  </si>
  <si>
    <t>S2056</t>
  </si>
  <si>
    <t>dark files 1057</t>
  </si>
  <si>
    <t>S2057</t>
  </si>
  <si>
    <t>Wild World 1058</t>
  </si>
  <si>
    <t>S2058</t>
  </si>
  <si>
    <t>Hidden Legacy 1059</t>
  </si>
  <si>
    <t>S2059</t>
  </si>
  <si>
    <t>Dark Legacy 1060</t>
  </si>
  <si>
    <t>S2060</t>
  </si>
  <si>
    <t>Lost Valley 1061</t>
  </si>
  <si>
    <t>S2061</t>
  </si>
  <si>
    <t>Broken Rise 1062</t>
  </si>
  <si>
    <t>S2062</t>
  </si>
  <si>
    <t>Future Files 1063</t>
  </si>
  <si>
    <t>S2063</t>
  </si>
  <si>
    <t>Fire Journey 1064</t>
  </si>
  <si>
    <t>S2064</t>
  </si>
  <si>
    <t>Golden Journey 1065</t>
  </si>
  <si>
    <t>S2065</t>
  </si>
  <si>
    <t>Lost Mission 1066</t>
  </si>
  <si>
    <t>S2066</t>
  </si>
  <si>
    <t>Future Files 1067</t>
  </si>
  <si>
    <t>S2067</t>
  </si>
  <si>
    <t>Crimson Story 1068</t>
  </si>
  <si>
    <t>S2068</t>
  </si>
  <si>
    <t>Broken Code 1069</t>
  </si>
  <si>
    <t>S2069</t>
  </si>
  <si>
    <t>Beyond Legacy 1070</t>
  </si>
  <si>
    <t>S2070</t>
  </si>
  <si>
    <t>Golden Code 1071</t>
  </si>
  <si>
    <t>S2071</t>
  </si>
  <si>
    <t>Lost Zone 1072</t>
  </si>
  <si>
    <t>S2072</t>
  </si>
  <si>
    <t>Beyond Quest 1073</t>
  </si>
  <si>
    <t>S2073</t>
  </si>
  <si>
    <t>Fire Zone 1074</t>
  </si>
  <si>
    <t>S2074</t>
  </si>
  <si>
    <t>Ocean Line 1075</t>
  </si>
  <si>
    <t>S2075</t>
  </si>
  <si>
    <t>Wild Line 1076</t>
  </si>
  <si>
    <t>S2076</t>
  </si>
  <si>
    <t>Shadow Chronicles 1077</t>
  </si>
  <si>
    <t>S2077</t>
  </si>
  <si>
    <t>Urban Chronicles 1078</t>
  </si>
  <si>
    <t>S2078</t>
  </si>
  <si>
    <t>Last Night 1079</t>
  </si>
  <si>
    <t>S2079</t>
  </si>
  <si>
    <t>Hidden Truth 1080</t>
  </si>
  <si>
    <t>S2080</t>
  </si>
  <si>
    <t>Broken Rise 1081</t>
  </si>
  <si>
    <t>S2081</t>
  </si>
  <si>
    <t>Broken Legacy 1082</t>
  </si>
  <si>
    <t>S2082</t>
  </si>
  <si>
    <t>Blue Dream 1083</t>
  </si>
  <si>
    <t>S2083</t>
  </si>
  <si>
    <t>Golden Empire 1084</t>
  </si>
  <si>
    <t>S2084</t>
  </si>
  <si>
    <t>Future Quest 1085</t>
  </si>
  <si>
    <t>S2085</t>
  </si>
  <si>
    <t>Silent World 1086</t>
  </si>
  <si>
    <t>S2086</t>
  </si>
  <si>
    <t>Future Line 1087</t>
  </si>
  <si>
    <t>S2087</t>
  </si>
  <si>
    <t>Infinite Signal 1088</t>
  </si>
  <si>
    <t>S2088</t>
  </si>
  <si>
    <t>Broken Valley 1089</t>
  </si>
  <si>
    <t>S2089</t>
  </si>
  <si>
    <t>Infinite Truth 1090</t>
  </si>
  <si>
    <t>S2090</t>
  </si>
  <si>
    <t>Silent World 1091</t>
  </si>
  <si>
    <t>S2091</t>
  </si>
  <si>
    <t>Beyond Valley 1092</t>
  </si>
  <si>
    <t>S2092</t>
  </si>
  <si>
    <t>Urban Night 1093</t>
  </si>
  <si>
    <t>S2093</t>
  </si>
  <si>
    <t>Silent Truth 1094</t>
  </si>
  <si>
    <t>S2094</t>
  </si>
  <si>
    <t>Golden Edge 1095</t>
  </si>
  <si>
    <t>S2095</t>
  </si>
  <si>
    <t>Lost Signal 1096</t>
  </si>
  <si>
    <t>S2096</t>
  </si>
  <si>
    <t>Crimson Dream 1097</t>
  </si>
  <si>
    <t>S2097</t>
  </si>
  <si>
    <t>Silent Rise 1098</t>
  </si>
  <si>
    <t>S2098</t>
  </si>
  <si>
    <t>Shadow World 1099</t>
  </si>
  <si>
    <t>S2099</t>
  </si>
  <si>
    <t>S2100</t>
  </si>
  <si>
    <t>Crimson Zone 1101</t>
  </si>
  <si>
    <t>S2101</t>
  </si>
  <si>
    <t>Broken Line 1102</t>
  </si>
  <si>
    <t>S2102</t>
  </si>
  <si>
    <t>beyond valley 1103</t>
  </si>
  <si>
    <t>S2103</t>
  </si>
  <si>
    <t>Urban Files 1104</t>
  </si>
  <si>
    <t>S2104</t>
  </si>
  <si>
    <t>Blue Night 1105</t>
  </si>
  <si>
    <t>S2105</t>
  </si>
  <si>
    <t>Blue Game 1106</t>
  </si>
  <si>
    <t>S2106</t>
  </si>
  <si>
    <t>Fire World 1107</t>
  </si>
  <si>
    <t>S2107</t>
  </si>
  <si>
    <t>Future Chronicles 1108</t>
  </si>
  <si>
    <t>S2108</t>
  </si>
  <si>
    <t>Dark Quest 1109</t>
  </si>
  <si>
    <t>S2109</t>
  </si>
  <si>
    <t>Shadow Line 1110</t>
  </si>
  <si>
    <t>S2110</t>
  </si>
  <si>
    <t>Silent Rise 1111</t>
  </si>
  <si>
    <t>S2111</t>
  </si>
  <si>
    <t>Wild Story 1112</t>
  </si>
  <si>
    <t>S2112</t>
  </si>
  <si>
    <t>Royal Mission 1113</t>
  </si>
  <si>
    <t>S2113</t>
  </si>
  <si>
    <t>S2114</t>
  </si>
  <si>
    <t>Fire Journey 1115</t>
  </si>
  <si>
    <t>S2115</t>
  </si>
  <si>
    <t>Golden Mission 1116</t>
  </si>
  <si>
    <t>S2116</t>
  </si>
  <si>
    <t>Shadow Edge 1117</t>
  </si>
  <si>
    <t>S2117</t>
  </si>
  <si>
    <t>Silent Zone 1118</t>
  </si>
  <si>
    <t>105 min</t>
  </si>
  <si>
    <t>S2118</t>
  </si>
  <si>
    <t>Crimson Edge 1119</t>
  </si>
  <si>
    <t>S2119</t>
  </si>
  <si>
    <t>Fire Legacy 1120</t>
  </si>
  <si>
    <t>S2120</t>
  </si>
  <si>
    <t>S2121</t>
  </si>
  <si>
    <t>Hidden Files 1122</t>
  </si>
  <si>
    <t>S2122</t>
  </si>
  <si>
    <t>Hidden World 1123</t>
  </si>
  <si>
    <t>S2123</t>
  </si>
  <si>
    <t>Silent Quest 1124</t>
  </si>
  <si>
    <t>S2124</t>
  </si>
  <si>
    <t>Future Valley 1125</t>
  </si>
  <si>
    <t>S2125</t>
  </si>
  <si>
    <t>Lost Story 1126</t>
  </si>
  <si>
    <t>S2126</t>
  </si>
  <si>
    <t>Ocean Empire 1127</t>
  </si>
  <si>
    <t>S2127</t>
  </si>
  <si>
    <t>Last Quest 1128</t>
  </si>
  <si>
    <t>S2128</t>
  </si>
  <si>
    <t>Hidden Rise 1129</t>
  </si>
  <si>
    <t>S2129</t>
  </si>
  <si>
    <t>Fire Chronicles 1130</t>
  </si>
  <si>
    <t>S2130</t>
  </si>
  <si>
    <t>Wild Game 1131</t>
  </si>
  <si>
    <t>S2131</t>
  </si>
  <si>
    <t>Hidden Empire 1132</t>
  </si>
  <si>
    <t>S2132</t>
  </si>
  <si>
    <t>Crimson Truth 1133</t>
  </si>
  <si>
    <t>S2133</t>
  </si>
  <si>
    <t>Wild Edge 1134</t>
  </si>
  <si>
    <t>S2134</t>
  </si>
  <si>
    <t>Broken Empire 1135</t>
  </si>
  <si>
    <t>S2135</t>
  </si>
  <si>
    <t>Beyond Zone 1136</t>
  </si>
  <si>
    <t>S2136</t>
  </si>
  <si>
    <t>Infinite Game 1137</t>
  </si>
  <si>
    <t>S2137</t>
  </si>
  <si>
    <t>Crimson Signal 1138</t>
  </si>
  <si>
    <t>S2138</t>
  </si>
  <si>
    <t>S2139</t>
  </si>
  <si>
    <t>shadow world 1140</t>
  </si>
  <si>
    <t>S2140</t>
  </si>
  <si>
    <t>Broken Legacy 1141</t>
  </si>
  <si>
    <t>S2141</t>
  </si>
  <si>
    <t>golden edge 1142</t>
  </si>
  <si>
    <t>S2142</t>
  </si>
  <si>
    <t>Blue Zone 1143</t>
  </si>
  <si>
    <t>S2143</t>
  </si>
  <si>
    <t>Echo Valley 1144</t>
  </si>
  <si>
    <t>S2144</t>
  </si>
  <si>
    <t>Crimson Signal 1145</t>
  </si>
  <si>
    <t>S2145</t>
  </si>
  <si>
    <t>Echo Story 1146</t>
  </si>
  <si>
    <t>S2146</t>
  </si>
  <si>
    <t>Future World 1147</t>
  </si>
  <si>
    <t>S2147</t>
  </si>
  <si>
    <t>Broken Mission 1148</t>
  </si>
  <si>
    <t>S2148</t>
  </si>
  <si>
    <t>Dark Story 1149</t>
  </si>
  <si>
    <t>S2149</t>
  </si>
  <si>
    <t>Ocean Legacy 1150</t>
  </si>
  <si>
    <t>S2150</t>
  </si>
  <si>
    <t>Secret Edge 1151</t>
  </si>
  <si>
    <t>S2151</t>
  </si>
  <si>
    <t>Infinite Quest 1152</t>
  </si>
  <si>
    <t>S2152</t>
  </si>
  <si>
    <t>Broken Files 1153</t>
  </si>
  <si>
    <t>S2153</t>
  </si>
  <si>
    <t>Hidden Quest 1154</t>
  </si>
  <si>
    <t>S2154</t>
  </si>
  <si>
    <t>Dark Quest 1155</t>
  </si>
  <si>
    <t>S2155</t>
  </si>
  <si>
    <t>Secret Dream 1156</t>
  </si>
  <si>
    <t>S2156</t>
  </si>
  <si>
    <t>Fire Chronicles 1157</t>
  </si>
  <si>
    <t>S2157</t>
  </si>
  <si>
    <t>Royal Chronicles 1158</t>
  </si>
  <si>
    <t>S2158</t>
  </si>
  <si>
    <t>Urban Code 1159</t>
  </si>
  <si>
    <t>S2159</t>
  </si>
  <si>
    <t>Urban Empire 1160</t>
  </si>
  <si>
    <t>S2160</t>
  </si>
  <si>
    <t>Golden Dream 1161</t>
  </si>
  <si>
    <t>S2161</t>
  </si>
  <si>
    <t>Beyond Zone 1162</t>
  </si>
  <si>
    <t>S2162</t>
  </si>
  <si>
    <t>Fire Zone 1163</t>
  </si>
  <si>
    <t>S2163</t>
  </si>
  <si>
    <t>Ocean Empire 1164</t>
  </si>
  <si>
    <t>S2164</t>
  </si>
  <si>
    <t>Hidden Edge 1165</t>
  </si>
  <si>
    <t>S2165</t>
  </si>
  <si>
    <t>Broken Valley 1166</t>
  </si>
  <si>
    <t>S2166</t>
  </si>
  <si>
    <t>Last Chronicles 1167</t>
  </si>
  <si>
    <t>S2167</t>
  </si>
  <si>
    <t>hidden legacy 1168</t>
  </si>
  <si>
    <t>S2168</t>
  </si>
  <si>
    <t>Silent Game 1169</t>
  </si>
  <si>
    <t>S2169</t>
  </si>
  <si>
    <t>Broken Code 1170</t>
  </si>
  <si>
    <t>S2170</t>
  </si>
  <si>
    <t>Fire Truth 1171</t>
  </si>
  <si>
    <t>S2171</t>
  </si>
  <si>
    <t>Future Edge 1172</t>
  </si>
  <si>
    <t>S2172</t>
  </si>
  <si>
    <t>Infinite Files 1173</t>
  </si>
  <si>
    <t>S2173</t>
  </si>
  <si>
    <t>secret valley 1174</t>
  </si>
  <si>
    <t>S2174</t>
  </si>
  <si>
    <t>Royal Zone 1175</t>
  </si>
  <si>
    <t>S2175</t>
  </si>
  <si>
    <t>Last Night 1176</t>
  </si>
  <si>
    <t>S2176</t>
  </si>
  <si>
    <t>Blue Zone 1177</t>
  </si>
  <si>
    <t>S2177</t>
  </si>
  <si>
    <t>Urban Legacy 1178</t>
  </si>
  <si>
    <t>S2178</t>
  </si>
  <si>
    <t>Urban Truth 1179</t>
  </si>
  <si>
    <t>S2179</t>
  </si>
  <si>
    <t>Infinite Valley 1180</t>
  </si>
  <si>
    <t>S2180</t>
  </si>
  <si>
    <t>Infinite Edge 1181</t>
  </si>
  <si>
    <t>S2181</t>
  </si>
  <si>
    <t>Silent Edge 1182</t>
  </si>
  <si>
    <t>S2182</t>
  </si>
  <si>
    <t>Urban Zone 1183</t>
  </si>
  <si>
    <t>S2183</t>
  </si>
  <si>
    <t>Beyond Night 1184</t>
  </si>
  <si>
    <t>S2184</t>
  </si>
  <si>
    <t>Dark Line 1185</t>
  </si>
  <si>
    <t>S2185</t>
  </si>
  <si>
    <t>Beyond Chronicles 1186</t>
  </si>
  <si>
    <t>S2186</t>
  </si>
  <si>
    <t>Beyond Line 1187</t>
  </si>
  <si>
    <t>S2187</t>
  </si>
  <si>
    <t>Urban Night 1188</t>
  </si>
  <si>
    <t>S2188</t>
  </si>
  <si>
    <t>Fire Signal 1189</t>
  </si>
  <si>
    <t>S2189</t>
  </si>
  <si>
    <t>Infinite Code 1190</t>
  </si>
  <si>
    <t>S2190</t>
  </si>
  <si>
    <t>Shadow Story 1191</t>
  </si>
  <si>
    <t>S2191</t>
  </si>
  <si>
    <t>Infinite Night 1192</t>
  </si>
  <si>
    <t>S2192</t>
  </si>
  <si>
    <t>Royal Empire 1193</t>
  </si>
  <si>
    <t>S2193</t>
  </si>
  <si>
    <t>beyond mission 1194</t>
  </si>
  <si>
    <t>S2194</t>
  </si>
  <si>
    <t>S2195</t>
  </si>
  <si>
    <t>Fire Code 1196</t>
  </si>
  <si>
    <t>S2196</t>
  </si>
  <si>
    <t>Silent Dream 1197</t>
  </si>
  <si>
    <t>S2197</t>
  </si>
  <si>
    <t>Fire Line 1198</t>
  </si>
  <si>
    <t>S2198</t>
  </si>
  <si>
    <t>Urban Edge 1199</t>
  </si>
  <si>
    <t>S2199</t>
  </si>
  <si>
    <t>Beyond Files 1200</t>
  </si>
  <si>
    <t>S2200</t>
  </si>
  <si>
    <t>Broken World 1201</t>
  </si>
  <si>
    <t>S2201</t>
  </si>
  <si>
    <t>Crimson Valley 1202</t>
  </si>
  <si>
    <t>S2202</t>
  </si>
  <si>
    <t>Last Quest 1203</t>
  </si>
  <si>
    <t>S2203</t>
  </si>
  <si>
    <t>Broken Zone 1204</t>
  </si>
  <si>
    <t>S2204</t>
  </si>
  <si>
    <t>Crimson Zone 1205</t>
  </si>
  <si>
    <t>S2205</t>
  </si>
  <si>
    <t>Future Journey 1206</t>
  </si>
  <si>
    <t>S2206</t>
  </si>
  <si>
    <t>Royal Rise 1207</t>
  </si>
  <si>
    <t>S2207</t>
  </si>
  <si>
    <t>Urban Night 1208</t>
  </si>
  <si>
    <t>S2208</t>
  </si>
  <si>
    <t>Golden World 1209</t>
  </si>
  <si>
    <t>S2209</t>
  </si>
  <si>
    <t>S2210</t>
  </si>
  <si>
    <t>Beyond Zone 1211</t>
  </si>
  <si>
    <t>S2211</t>
  </si>
  <si>
    <t>infinite quest 1212</t>
  </si>
  <si>
    <t>S2212</t>
  </si>
  <si>
    <t>Infinite Mission 1213</t>
  </si>
  <si>
    <t>S2213</t>
  </si>
  <si>
    <t>Fire Game 1214</t>
  </si>
  <si>
    <t>S2214</t>
  </si>
  <si>
    <t>Lost Night 1215</t>
  </si>
  <si>
    <t>S2215</t>
  </si>
  <si>
    <t>Echo Line 1216</t>
  </si>
  <si>
    <t>S2216</t>
  </si>
  <si>
    <t>Wild Mission 1217</t>
  </si>
  <si>
    <t>S2217</t>
  </si>
  <si>
    <t>Urban Game 1218</t>
  </si>
  <si>
    <t>S2218</t>
  </si>
  <si>
    <t>Fire Empire 1219</t>
  </si>
  <si>
    <t>S2219</t>
  </si>
  <si>
    <t>Ocean Valley 1220</t>
  </si>
  <si>
    <t>S2220</t>
  </si>
  <si>
    <t>Dark Edge 1221</t>
  </si>
  <si>
    <t>S2221</t>
  </si>
  <si>
    <t>Infinite Code 1222</t>
  </si>
  <si>
    <t>S2222</t>
  </si>
  <si>
    <t>Beyond Edge 1223</t>
  </si>
  <si>
    <t>S2223</t>
  </si>
  <si>
    <t>urban files 1224</t>
  </si>
  <si>
    <t>S2224</t>
  </si>
  <si>
    <t>Silent Rise 1225</t>
  </si>
  <si>
    <t>S2225</t>
  </si>
  <si>
    <t>Crimson Quest 1226</t>
  </si>
  <si>
    <t>S2226</t>
  </si>
  <si>
    <t>golden quest 1227</t>
  </si>
  <si>
    <t>S2227</t>
  </si>
  <si>
    <t>Dark Legacy 1228</t>
  </si>
  <si>
    <t>S2228</t>
  </si>
  <si>
    <t>Beyond Journey 1229</t>
  </si>
  <si>
    <t>S2229</t>
  </si>
  <si>
    <t>Last Code 1230</t>
  </si>
  <si>
    <t>S2230</t>
  </si>
  <si>
    <t>Infinite Quest 1231</t>
  </si>
  <si>
    <t>S2231</t>
  </si>
  <si>
    <t>Infinite Truth 1232</t>
  </si>
  <si>
    <t>S2232</t>
  </si>
  <si>
    <t>Broken Zone 1233</t>
  </si>
  <si>
    <t>S2233</t>
  </si>
  <si>
    <t>Blue Zone 1234</t>
  </si>
  <si>
    <t>S2234</t>
  </si>
  <si>
    <t>Lost Rise 1235</t>
  </si>
  <si>
    <t>S2235</t>
  </si>
  <si>
    <t>Golden Rise 1236</t>
  </si>
  <si>
    <t>S2236</t>
  </si>
  <si>
    <t>Crimson Files 1237</t>
  </si>
  <si>
    <t>S2237</t>
  </si>
  <si>
    <t>Royal Truth 1238</t>
  </si>
  <si>
    <t>S2238</t>
  </si>
  <si>
    <t>Lost Valley 1239</t>
  </si>
  <si>
    <t>S2239</t>
  </si>
  <si>
    <t>Silent Legacy 1240</t>
  </si>
  <si>
    <t>S2240</t>
  </si>
  <si>
    <t>Dark World 1241</t>
  </si>
  <si>
    <t>S2241</t>
  </si>
  <si>
    <t>Future Chronicles 1242</t>
  </si>
  <si>
    <t>S2242</t>
  </si>
  <si>
    <t>Urban Night 1243</t>
  </si>
  <si>
    <t>S2243</t>
  </si>
  <si>
    <t>Silent Journey 1244</t>
  </si>
  <si>
    <t>S2244</t>
  </si>
  <si>
    <t>Infinite Journey 1245</t>
  </si>
  <si>
    <t>S2245</t>
  </si>
  <si>
    <t>Blue Line 1246</t>
  </si>
  <si>
    <t>S2246</t>
  </si>
  <si>
    <t>Future Zone 1247</t>
  </si>
  <si>
    <t>S2247</t>
  </si>
  <si>
    <t>Hidden Night 1248</t>
  </si>
  <si>
    <t>S2248</t>
  </si>
  <si>
    <t>Broken Valley 1249</t>
  </si>
  <si>
    <t>S2249</t>
  </si>
  <si>
    <t>Infinite Game 1250</t>
  </si>
  <si>
    <t>S2250</t>
  </si>
  <si>
    <t>Golden World 1251</t>
  </si>
  <si>
    <t>S2251</t>
  </si>
  <si>
    <t>Fire World 1252</t>
  </si>
  <si>
    <t>S2252</t>
  </si>
  <si>
    <t>Crimson Legacy 1253</t>
  </si>
  <si>
    <t>S2253</t>
  </si>
  <si>
    <t>Fire Valley 1254</t>
  </si>
  <si>
    <t>S2254</t>
  </si>
  <si>
    <t>Dark Edge 1255</t>
  </si>
  <si>
    <t>S2255</t>
  </si>
  <si>
    <t>Broken Dream 1256</t>
  </si>
  <si>
    <t>S2256</t>
  </si>
  <si>
    <t>Last Rise 1257</t>
  </si>
  <si>
    <t>S2257</t>
  </si>
  <si>
    <t>Echo Files 1258</t>
  </si>
  <si>
    <t>S2258</t>
  </si>
  <si>
    <t>Lost Code 1259</t>
  </si>
  <si>
    <t>S2259</t>
  </si>
  <si>
    <t>Dark Valley 1260</t>
  </si>
  <si>
    <t>S2260</t>
  </si>
  <si>
    <t>crimson rise 1261</t>
  </si>
  <si>
    <t>S2261</t>
  </si>
  <si>
    <t>Silent Legacy 1262</t>
  </si>
  <si>
    <t>S2262</t>
  </si>
  <si>
    <t>Crimson Quest 1263</t>
  </si>
  <si>
    <t>S2263</t>
  </si>
  <si>
    <t>lost signal 1264</t>
  </si>
  <si>
    <t>S2264</t>
  </si>
  <si>
    <t>Golden Mission 1265</t>
  </si>
  <si>
    <t>S2265</t>
  </si>
  <si>
    <t>Silent Mission 1266</t>
  </si>
  <si>
    <t>S2266</t>
  </si>
  <si>
    <t>Wild Code 1267</t>
  </si>
  <si>
    <t>S2267</t>
  </si>
  <si>
    <t>Future Empire 1268</t>
  </si>
  <si>
    <t>S2268</t>
  </si>
  <si>
    <t>Hidden Night 1269</t>
  </si>
  <si>
    <t>S2269</t>
  </si>
  <si>
    <t>Beyond Files 1270</t>
  </si>
  <si>
    <t>S2270</t>
  </si>
  <si>
    <t>Lost Rise 1271</t>
  </si>
  <si>
    <t>S2271</t>
  </si>
  <si>
    <t>Echo Empire 1272</t>
  </si>
  <si>
    <t>S2272</t>
  </si>
  <si>
    <t>Royal Story 1273</t>
  </si>
  <si>
    <t>S2273</t>
  </si>
  <si>
    <t>Infinite World 1274</t>
  </si>
  <si>
    <t>S2274</t>
  </si>
  <si>
    <t>Echo World 1275</t>
  </si>
  <si>
    <t>S2275</t>
  </si>
  <si>
    <t>Urban Empire 1276</t>
  </si>
  <si>
    <t>S2276</t>
  </si>
  <si>
    <t>Echo Chronicles 1277</t>
  </si>
  <si>
    <t>S2277</t>
  </si>
  <si>
    <t>Echo Chronicles 1278</t>
  </si>
  <si>
    <t>S2278</t>
  </si>
  <si>
    <t>Future Quest 1279</t>
  </si>
  <si>
    <t>S2279</t>
  </si>
  <si>
    <t>Beyond Edge 1280</t>
  </si>
  <si>
    <t>S2280</t>
  </si>
  <si>
    <t>Crimson Valley 1281</t>
  </si>
  <si>
    <t>S2281</t>
  </si>
  <si>
    <t>Royal Line 1282</t>
  </si>
  <si>
    <t>S2282</t>
  </si>
  <si>
    <t>Future Signal 1283</t>
  </si>
  <si>
    <t>S2283</t>
  </si>
  <si>
    <t>Crimson Edge 1284</t>
  </si>
  <si>
    <t>S2284</t>
  </si>
  <si>
    <t>Lost Empire 1285</t>
  </si>
  <si>
    <t>S2285</t>
  </si>
  <si>
    <t>Infinite Journey 1286</t>
  </si>
  <si>
    <t>S2286</t>
  </si>
  <si>
    <t>Shadow Files 1287</t>
  </si>
  <si>
    <t>S2287</t>
  </si>
  <si>
    <t>S2288</t>
  </si>
  <si>
    <t>Infinite Legacy 1289</t>
  </si>
  <si>
    <t>S2289</t>
  </si>
  <si>
    <t>Future Mission 1290</t>
  </si>
  <si>
    <t>S2290</t>
  </si>
  <si>
    <t>Dark Line 1291</t>
  </si>
  <si>
    <t>S2291</t>
  </si>
  <si>
    <t>Last Files 1292</t>
  </si>
  <si>
    <t>S2292</t>
  </si>
  <si>
    <t>Crimson Edge 1293</t>
  </si>
  <si>
    <t>S2293</t>
  </si>
  <si>
    <t>Future Edge 1294</t>
  </si>
  <si>
    <t>S2294</t>
  </si>
  <si>
    <t>Secret Legacy 1295</t>
  </si>
  <si>
    <t>S2295</t>
  </si>
  <si>
    <t>Blue Truth 1296</t>
  </si>
  <si>
    <t>S2296</t>
  </si>
  <si>
    <t>Future Quest 1297</t>
  </si>
  <si>
    <t>S2297</t>
  </si>
  <si>
    <t>Royal Files 1298</t>
  </si>
  <si>
    <t>S2298</t>
  </si>
  <si>
    <t>Royal Chronicles 1299</t>
  </si>
  <si>
    <t>S2299</t>
  </si>
  <si>
    <t>Echo Mission 1300</t>
  </si>
  <si>
    <t>S2300</t>
  </si>
  <si>
    <t>Shadow Line 1301</t>
  </si>
  <si>
    <t>S2301</t>
  </si>
  <si>
    <t>Infinite Journey 1302</t>
  </si>
  <si>
    <t>S2302</t>
  </si>
  <si>
    <t>Hidden Journey 1303</t>
  </si>
  <si>
    <t>S2303</t>
  </si>
  <si>
    <t>Wild Files 1304</t>
  </si>
  <si>
    <t>S2304</t>
  </si>
  <si>
    <t>Dark Legacy 1305</t>
  </si>
  <si>
    <t>S2305</t>
  </si>
  <si>
    <t>Lost Game 1306</t>
  </si>
  <si>
    <t>S2306</t>
  </si>
  <si>
    <t>Dark Signal 1307</t>
  </si>
  <si>
    <t>S2307</t>
  </si>
  <si>
    <t>Wild Files 1308</t>
  </si>
  <si>
    <t>S2308</t>
  </si>
  <si>
    <t>Crimson Valley 1309</t>
  </si>
  <si>
    <t>S2309</t>
  </si>
  <si>
    <t>golden quest 1310</t>
  </si>
  <si>
    <t>S2310</t>
  </si>
  <si>
    <t>Ocean Code 1311</t>
  </si>
  <si>
    <t>S2311</t>
  </si>
  <si>
    <t>Infinite World 1312</t>
  </si>
  <si>
    <t>S2312</t>
  </si>
  <si>
    <t>Infinite Rise 1313</t>
  </si>
  <si>
    <t>S2313</t>
  </si>
  <si>
    <t>Shadow Story 1314</t>
  </si>
  <si>
    <t>S2314</t>
  </si>
  <si>
    <t>Blue Game 1315</t>
  </si>
  <si>
    <t>S2315</t>
  </si>
  <si>
    <t>Lost Zone 1316</t>
  </si>
  <si>
    <t>S2316</t>
  </si>
  <si>
    <t>Last Story 1317</t>
  </si>
  <si>
    <t>S2317</t>
  </si>
  <si>
    <t>Golden Chronicles 1318</t>
  </si>
  <si>
    <t>S2318</t>
  </si>
  <si>
    <t>Hidden Truth 1319</t>
  </si>
  <si>
    <t>S2319</t>
  </si>
  <si>
    <t>hidden mission 1320</t>
  </si>
  <si>
    <t>S2320</t>
  </si>
  <si>
    <t>Royal Code 1321</t>
  </si>
  <si>
    <t>S2321</t>
  </si>
  <si>
    <t>Lost Signal 1322</t>
  </si>
  <si>
    <t>S2322</t>
  </si>
  <si>
    <t>Golden Game 1323</t>
  </si>
  <si>
    <t>S2323</t>
  </si>
  <si>
    <t>Beyond Chronicles 1324</t>
  </si>
  <si>
    <t>S2324</t>
  </si>
  <si>
    <t>Hidden Story 1325</t>
  </si>
  <si>
    <t>S2325</t>
  </si>
  <si>
    <t>Fire Rise 1326</t>
  </si>
  <si>
    <t>S2326</t>
  </si>
  <si>
    <t>Wild Legacy 1327</t>
  </si>
  <si>
    <t>S2327</t>
  </si>
  <si>
    <t>Broken World 1328</t>
  </si>
  <si>
    <t>S2328</t>
  </si>
  <si>
    <t>Urban Night 1329</t>
  </si>
  <si>
    <t>S2329</t>
  </si>
  <si>
    <t>Wild Chronicles 1330</t>
  </si>
  <si>
    <t>S2330</t>
  </si>
  <si>
    <t>Infinite Zone 1331</t>
  </si>
  <si>
    <t>S2331</t>
  </si>
  <si>
    <t>Echo Line 1332</t>
  </si>
  <si>
    <t>S2332</t>
  </si>
  <si>
    <t>Dark Valley 1333</t>
  </si>
  <si>
    <t>S2333</t>
  </si>
  <si>
    <t>S2334</t>
  </si>
  <si>
    <t>Hidden Code 1335</t>
  </si>
  <si>
    <t>S2335</t>
  </si>
  <si>
    <t>Royal Rise 1336</t>
  </si>
  <si>
    <t>S2336</t>
  </si>
  <si>
    <t>Lost Night 1337</t>
  </si>
  <si>
    <t>S2337</t>
  </si>
  <si>
    <t>Broken Empire 1338</t>
  </si>
  <si>
    <t>S2338</t>
  </si>
  <si>
    <t>Golden Edge 1339</t>
  </si>
  <si>
    <t>S2339</t>
  </si>
  <si>
    <t>S2340</t>
  </si>
  <si>
    <t>Golden Files 1341</t>
  </si>
  <si>
    <t>S2341</t>
  </si>
  <si>
    <t>Ocean Empire 1342</t>
  </si>
  <si>
    <t>S2342</t>
  </si>
  <si>
    <t>Silent Line 1343</t>
  </si>
  <si>
    <t>S2343</t>
  </si>
  <si>
    <t>Beyond Night 1344</t>
  </si>
  <si>
    <t>S2344</t>
  </si>
  <si>
    <t>Royal Files 1345</t>
  </si>
  <si>
    <t>S2345</t>
  </si>
  <si>
    <t>Dark Dream 1346</t>
  </si>
  <si>
    <t>S2346</t>
  </si>
  <si>
    <t>Beyond Night 1347</t>
  </si>
  <si>
    <t>S2347</t>
  </si>
  <si>
    <t>Crimson Story 1348</t>
  </si>
  <si>
    <t>S2348</t>
  </si>
  <si>
    <t>Fire Dream 1349</t>
  </si>
  <si>
    <t>S2349</t>
  </si>
  <si>
    <t>Hidden Dream 1350</t>
  </si>
  <si>
    <t>S2350</t>
  </si>
  <si>
    <t>Silent Empire 1351</t>
  </si>
  <si>
    <t>S2351</t>
  </si>
  <si>
    <t>Beyond Truth 1352</t>
  </si>
  <si>
    <t>S2352</t>
  </si>
  <si>
    <t>Dark Zone 1353</t>
  </si>
  <si>
    <t>S2353</t>
  </si>
  <si>
    <t>Golden World 1354</t>
  </si>
  <si>
    <t>S2354</t>
  </si>
  <si>
    <t>Urban Rise 1355</t>
  </si>
  <si>
    <t>S2355</t>
  </si>
  <si>
    <t>S2356</t>
  </si>
  <si>
    <t>royal story 1357</t>
  </si>
  <si>
    <t>S2357</t>
  </si>
  <si>
    <t>Golden Code 1358</t>
  </si>
  <si>
    <t>S2358</t>
  </si>
  <si>
    <t>S2359</t>
  </si>
  <si>
    <t>Ocean Night 1360</t>
  </si>
  <si>
    <t>S2360</t>
  </si>
  <si>
    <t>Silent Empire 1361</t>
  </si>
  <si>
    <t>S2361</t>
  </si>
  <si>
    <t>Future Valley 1362</t>
  </si>
  <si>
    <t>S2362</t>
  </si>
  <si>
    <t>Fire Line 1363</t>
  </si>
  <si>
    <t>S2363</t>
  </si>
  <si>
    <t>Fire Night 1364</t>
  </si>
  <si>
    <t>S2364</t>
  </si>
  <si>
    <t>Silent Quest 1365</t>
  </si>
  <si>
    <t>S2365</t>
  </si>
  <si>
    <t>Urban Empire 1366</t>
  </si>
  <si>
    <t>S2366</t>
  </si>
  <si>
    <t>Future Journey 1367</t>
  </si>
  <si>
    <t>S2367</t>
  </si>
  <si>
    <t>Blue Mission 1368</t>
  </si>
  <si>
    <t>S2368</t>
  </si>
  <si>
    <t>Lost Truth 1369</t>
  </si>
  <si>
    <t>S2369</t>
  </si>
  <si>
    <t>Golden Chronicles 1370</t>
  </si>
  <si>
    <t>S2370</t>
  </si>
  <si>
    <t>Last Story 1371</t>
  </si>
  <si>
    <t>S2371</t>
  </si>
  <si>
    <t>Last Files 1372</t>
  </si>
  <si>
    <t>S2372</t>
  </si>
  <si>
    <t>Royal Signal 1373</t>
  </si>
  <si>
    <t>S2373</t>
  </si>
  <si>
    <t>Wild Chronicles 1374</t>
  </si>
  <si>
    <t>S2374</t>
  </si>
  <si>
    <t>Golden Files 1375</t>
  </si>
  <si>
    <t>S2375</t>
  </si>
  <si>
    <t>Lost Signal 1376</t>
  </si>
  <si>
    <t>S2376</t>
  </si>
  <si>
    <t>Royal Edge 1377</t>
  </si>
  <si>
    <t>S2377</t>
  </si>
  <si>
    <t>Royal Dream 1378</t>
  </si>
  <si>
    <t>S2378</t>
  </si>
  <si>
    <t>Hidden Story 1379</t>
  </si>
  <si>
    <t>S2379</t>
  </si>
  <si>
    <t>silent code 1380</t>
  </si>
  <si>
    <t>S2380</t>
  </si>
  <si>
    <t>Infinite Night 1381</t>
  </si>
  <si>
    <t>S2381</t>
  </si>
  <si>
    <t>Dark Signal 1382</t>
  </si>
  <si>
    <t>S2382</t>
  </si>
  <si>
    <t>Crimson Empire 1383</t>
  </si>
  <si>
    <t>S2383</t>
  </si>
  <si>
    <t>Ocean Signal 1384</t>
  </si>
  <si>
    <t>S2384</t>
  </si>
  <si>
    <t>Crimson Rise 1385</t>
  </si>
  <si>
    <t>S2385</t>
  </si>
  <si>
    <t>Lost Zone 1386</t>
  </si>
  <si>
    <t>S2386</t>
  </si>
  <si>
    <t>infinite world 1387</t>
  </si>
  <si>
    <t>S2387</t>
  </si>
  <si>
    <t>Urban Empire 1388</t>
  </si>
  <si>
    <t>S2388</t>
  </si>
  <si>
    <t>Golden Night 1389</t>
  </si>
  <si>
    <t>S2389</t>
  </si>
  <si>
    <t>Last World 1390</t>
  </si>
  <si>
    <t>S2390</t>
  </si>
  <si>
    <t>Wild Valley 1391</t>
  </si>
  <si>
    <t>S2391</t>
  </si>
  <si>
    <t>Dark Story 1392</t>
  </si>
  <si>
    <t>S2392</t>
  </si>
  <si>
    <t>Dark Code 1393</t>
  </si>
  <si>
    <t>S2393</t>
  </si>
  <si>
    <t>Last Code 1394</t>
  </si>
  <si>
    <t>S2394</t>
  </si>
  <si>
    <t>Blue Signal 1395</t>
  </si>
  <si>
    <t>S2395</t>
  </si>
  <si>
    <t>Silent Chronicles 1396</t>
  </si>
  <si>
    <t>S2396</t>
  </si>
  <si>
    <t>Secret Truth 1397</t>
  </si>
  <si>
    <t>S2397</t>
  </si>
  <si>
    <t>Golden Story 1398</t>
  </si>
  <si>
    <t>S2398</t>
  </si>
  <si>
    <t>Lost Night 1399</t>
  </si>
  <si>
    <t>S2399</t>
  </si>
  <si>
    <t>Crimson Quest 1400</t>
  </si>
  <si>
    <t>S2400</t>
  </si>
  <si>
    <t>Secret Mission 1401</t>
  </si>
  <si>
    <t>S2401</t>
  </si>
  <si>
    <t>Beyond Chronicles 1402</t>
  </si>
  <si>
    <t>S2402</t>
  </si>
  <si>
    <t>Beyond Night 1403</t>
  </si>
  <si>
    <t>S2403</t>
  </si>
  <si>
    <t>Beyond Story 1404</t>
  </si>
  <si>
    <t>S2404</t>
  </si>
  <si>
    <t>Blue Legacy 1405</t>
  </si>
  <si>
    <t>S2405</t>
  </si>
  <si>
    <t>Shadow Night 1406</t>
  </si>
  <si>
    <t>S2406</t>
  </si>
  <si>
    <t>S2407</t>
  </si>
  <si>
    <t>Dark Rise 1408</t>
  </si>
  <si>
    <t>S2408</t>
  </si>
  <si>
    <t>Crimson Truth 1409</t>
  </si>
  <si>
    <t>S2409</t>
  </si>
  <si>
    <t>Future Journey 1410</t>
  </si>
  <si>
    <t>S2410</t>
  </si>
  <si>
    <t>Infinite Quest 1411</t>
  </si>
  <si>
    <t>S2411</t>
  </si>
  <si>
    <t>Future Legacy 1412</t>
  </si>
  <si>
    <t>S2412</t>
  </si>
  <si>
    <t>Broken Truth 1413</t>
  </si>
  <si>
    <t>S2413</t>
  </si>
  <si>
    <t>Broken Chronicles 1414</t>
  </si>
  <si>
    <t>S2414</t>
  </si>
  <si>
    <t>Ocean Mission 1415</t>
  </si>
  <si>
    <t>S2415</t>
  </si>
  <si>
    <t>Shadow Legacy 1416</t>
  </si>
  <si>
    <t>S2416</t>
  </si>
  <si>
    <t>Golden Code 1417</t>
  </si>
  <si>
    <t>S2417</t>
  </si>
  <si>
    <t>Hidden Dream 1418</t>
  </si>
  <si>
    <t>S2418</t>
  </si>
  <si>
    <t>Shadow Legacy 1419</t>
  </si>
  <si>
    <t>S2419</t>
  </si>
  <si>
    <t>Beyond Empire 1420</t>
  </si>
  <si>
    <t>S2420</t>
  </si>
  <si>
    <t>Silent Valley 1421</t>
  </si>
  <si>
    <t>S2421</t>
  </si>
  <si>
    <t>Future Legacy 1422</t>
  </si>
  <si>
    <t>S2422</t>
  </si>
  <si>
    <t>Broken Story 1423</t>
  </si>
  <si>
    <t>S2423</t>
  </si>
  <si>
    <t>Silent Valley 1424</t>
  </si>
  <si>
    <t>S2424</t>
  </si>
  <si>
    <t>Dark Dream 1425</t>
  </si>
  <si>
    <t>S2425</t>
  </si>
  <si>
    <t>Crimson Line 1426</t>
  </si>
  <si>
    <t>S2426</t>
  </si>
  <si>
    <t>Dark Story 1427</t>
  </si>
  <si>
    <t>S2427</t>
  </si>
  <si>
    <t>Future Journey 1428</t>
  </si>
  <si>
    <t>S2428</t>
  </si>
  <si>
    <t>dark code 1429</t>
  </si>
  <si>
    <t>S2429</t>
  </si>
  <si>
    <t>Royal Journey 1430</t>
  </si>
  <si>
    <t>S2430</t>
  </si>
  <si>
    <t>Echo Edge 1431</t>
  </si>
  <si>
    <t>S2431</t>
  </si>
  <si>
    <t>Fire World 1432</t>
  </si>
  <si>
    <t>S2432</t>
  </si>
  <si>
    <t>Ocean Mission 1433</t>
  </si>
  <si>
    <t>S2433</t>
  </si>
  <si>
    <t>Dark Mission 1434</t>
  </si>
  <si>
    <t>S2434</t>
  </si>
  <si>
    <t>Future Rise 1435</t>
  </si>
  <si>
    <t>S2435</t>
  </si>
  <si>
    <t>Echo Journey 1436</t>
  </si>
  <si>
    <t>S2436</t>
  </si>
  <si>
    <t>Hidden Valley 1437</t>
  </si>
  <si>
    <t>S2437</t>
  </si>
  <si>
    <t>Crimson Code 1438</t>
  </si>
  <si>
    <t>S2438</t>
  </si>
  <si>
    <t>Beyond Night 1439</t>
  </si>
  <si>
    <t>S2439</t>
  </si>
  <si>
    <t>Lost Game 1440</t>
  </si>
  <si>
    <t>S2440</t>
  </si>
  <si>
    <t>Blue Zone 1441</t>
  </si>
  <si>
    <t>S2441</t>
  </si>
  <si>
    <t>Urban Code 1442</t>
  </si>
  <si>
    <t>S2442</t>
  </si>
  <si>
    <t>Golden Empire 1443</t>
  </si>
  <si>
    <t>S2443</t>
  </si>
  <si>
    <t>Secret Truth 1444</t>
  </si>
  <si>
    <t>S2444</t>
  </si>
  <si>
    <t>Shadow Journey 1445</t>
  </si>
  <si>
    <t>S2445</t>
  </si>
  <si>
    <t>Future Night 1446</t>
  </si>
  <si>
    <t>S2446</t>
  </si>
  <si>
    <t>Echo Game 1447</t>
  </si>
  <si>
    <t>S2447</t>
  </si>
  <si>
    <t>Blue Mission 1448</t>
  </si>
  <si>
    <t>S2448</t>
  </si>
  <si>
    <t>S2449</t>
  </si>
  <si>
    <t>Silent World 1450</t>
  </si>
  <si>
    <t>S2450</t>
  </si>
  <si>
    <t>Royal Line 1451</t>
  </si>
  <si>
    <t>S2451</t>
  </si>
  <si>
    <t>Beyond Signal 1452</t>
  </si>
  <si>
    <t>S2452</t>
  </si>
  <si>
    <t>Echo Valley 1453</t>
  </si>
  <si>
    <t>S2453</t>
  </si>
  <si>
    <t>Future Truth 1454</t>
  </si>
  <si>
    <t>S2454</t>
  </si>
  <si>
    <t>Broken Night 1455</t>
  </si>
  <si>
    <t>S2455</t>
  </si>
  <si>
    <t>Crimson World 1456</t>
  </si>
  <si>
    <t>S2456</t>
  </si>
  <si>
    <t>Golden Files 1457</t>
  </si>
  <si>
    <t>S2457</t>
  </si>
  <si>
    <t>Silent Files 1458</t>
  </si>
  <si>
    <t>S2458</t>
  </si>
  <si>
    <t>Dark Empire 1459</t>
  </si>
  <si>
    <t>S2459</t>
  </si>
  <si>
    <t>Echo Empire 1460</t>
  </si>
  <si>
    <t>S2460</t>
  </si>
  <si>
    <t>Fire Journey 1461</t>
  </si>
  <si>
    <t>S2461</t>
  </si>
  <si>
    <t>Royal Rise 1462</t>
  </si>
  <si>
    <t>S2462</t>
  </si>
  <si>
    <t>Dark World 1463</t>
  </si>
  <si>
    <t>S2463</t>
  </si>
  <si>
    <t>Fire Edge 1464</t>
  </si>
  <si>
    <t>S2464</t>
  </si>
  <si>
    <t>Future Rise 1465</t>
  </si>
  <si>
    <t>S2465</t>
  </si>
  <si>
    <t>Shadow Valley 1466</t>
  </si>
  <si>
    <t>S2466</t>
  </si>
  <si>
    <t>Ocean Code 1467</t>
  </si>
  <si>
    <t>S2467</t>
  </si>
  <si>
    <t>Last Game 1468</t>
  </si>
  <si>
    <t>S2468</t>
  </si>
  <si>
    <t>Lost Journey 1469</t>
  </si>
  <si>
    <t>S2469</t>
  </si>
  <si>
    <t>Broken Line 1470</t>
  </si>
  <si>
    <t>159 min</t>
  </si>
  <si>
    <t>S2470</t>
  </si>
  <si>
    <t>Infinite Game 1471</t>
  </si>
  <si>
    <t>S2471</t>
  </si>
  <si>
    <t>Lost Truth 1472</t>
  </si>
  <si>
    <t>S2472</t>
  </si>
  <si>
    <t>Crimson Zone 1473</t>
  </si>
  <si>
    <t>S2473</t>
  </si>
  <si>
    <t>Lost Valley 1474</t>
  </si>
  <si>
    <t>S2474</t>
  </si>
  <si>
    <t>Echo Mission 1475</t>
  </si>
  <si>
    <t>S2475</t>
  </si>
  <si>
    <t>Lost Legacy 1476</t>
  </si>
  <si>
    <t>S2476</t>
  </si>
  <si>
    <t>Golden Files 1477</t>
  </si>
  <si>
    <t>S2477</t>
  </si>
  <si>
    <t>Infinite Legacy 1478</t>
  </si>
  <si>
    <t>S2478</t>
  </si>
  <si>
    <t>Dark Night 1479</t>
  </si>
  <si>
    <t>S2479</t>
  </si>
  <si>
    <t>Fire Mission 1480</t>
  </si>
  <si>
    <t>S2480</t>
  </si>
  <si>
    <t>Broken Signal 1481</t>
  </si>
  <si>
    <t>S2481</t>
  </si>
  <si>
    <t>Royal Night 1482</t>
  </si>
  <si>
    <t>S2482</t>
  </si>
  <si>
    <t>Silent Journey 1483</t>
  </si>
  <si>
    <t>S2483</t>
  </si>
  <si>
    <t>Wild Zone 1484</t>
  </si>
  <si>
    <t>S2484</t>
  </si>
  <si>
    <t>Dark World 1485</t>
  </si>
  <si>
    <t>S2485</t>
  </si>
  <si>
    <t>Infinite Files 1486</t>
  </si>
  <si>
    <t>S2486</t>
  </si>
  <si>
    <t>Lost Files 1487</t>
  </si>
  <si>
    <t>S2487</t>
  </si>
  <si>
    <t>Secret Rise 1488</t>
  </si>
  <si>
    <t>S2488</t>
  </si>
  <si>
    <t>Beyond Valley 1489</t>
  </si>
  <si>
    <t>S2489</t>
  </si>
  <si>
    <t>Golden Mission 1490</t>
  </si>
  <si>
    <t>S2490</t>
  </si>
  <si>
    <t>Fire Valley 1491</t>
  </si>
  <si>
    <t>S2491</t>
  </si>
  <si>
    <t>Dark Zone 1492</t>
  </si>
  <si>
    <t>S2492</t>
  </si>
  <si>
    <t>Infinite Story 1493</t>
  </si>
  <si>
    <t>S2493</t>
  </si>
  <si>
    <t>Future Story 1494</t>
  </si>
  <si>
    <t>S2494</t>
  </si>
  <si>
    <t>Broken Line 1495</t>
  </si>
  <si>
    <t>S2495</t>
  </si>
  <si>
    <t>Infinite Rise 1496</t>
  </si>
  <si>
    <t>S2496</t>
  </si>
  <si>
    <t>Blue Journey 1497</t>
  </si>
  <si>
    <t>S2497</t>
  </si>
  <si>
    <t>Dark Journey 1498</t>
  </si>
  <si>
    <t>S2498</t>
  </si>
  <si>
    <t>Urban Edge 1499</t>
  </si>
  <si>
    <t>S2499</t>
  </si>
  <si>
    <t>Blue Legacy 1500</t>
  </si>
  <si>
    <t>S2500</t>
  </si>
  <si>
    <t>Infinite Empire 1501</t>
  </si>
  <si>
    <t>S2501</t>
  </si>
  <si>
    <t>Crimson Valley 1502</t>
  </si>
  <si>
    <t>S2502</t>
  </si>
  <si>
    <t>Silent Empire 1503</t>
  </si>
  <si>
    <t>S2503</t>
  </si>
  <si>
    <t>Royal Valley 1504</t>
  </si>
  <si>
    <t>S2504</t>
  </si>
  <si>
    <t>Blue Chronicles 1505</t>
  </si>
  <si>
    <t>S2505</t>
  </si>
  <si>
    <t>S2506</t>
  </si>
  <si>
    <t>Shadow Empire 1507</t>
  </si>
  <si>
    <t>S2507</t>
  </si>
  <si>
    <t>Blue Code 1508</t>
  </si>
  <si>
    <t>S2508</t>
  </si>
  <si>
    <t>wild legacy 1509</t>
  </si>
  <si>
    <t>S2509</t>
  </si>
  <si>
    <t>Infinite Story 1510</t>
  </si>
  <si>
    <t>S2510</t>
  </si>
  <si>
    <t>Fire Rise 1511</t>
  </si>
  <si>
    <t>S2511</t>
  </si>
  <si>
    <t>Crimson Chronicles 1512</t>
  </si>
  <si>
    <t>S2512</t>
  </si>
  <si>
    <t>Hidden Valley 1513</t>
  </si>
  <si>
    <t>S2513</t>
  </si>
  <si>
    <t>broken empire 1514</t>
  </si>
  <si>
    <t>S2514</t>
  </si>
  <si>
    <t>Dark Edge 1515</t>
  </si>
  <si>
    <t>S2515</t>
  </si>
  <si>
    <t>Echo Dream 1516</t>
  </si>
  <si>
    <t>S2516</t>
  </si>
  <si>
    <t>Royal Valley 1517</t>
  </si>
  <si>
    <t>S2517</t>
  </si>
  <si>
    <t>Hidden Rise 1518</t>
  </si>
  <si>
    <t>S2518</t>
  </si>
  <si>
    <t>Blue Chronicles 1519</t>
  </si>
  <si>
    <t>S2519</t>
  </si>
  <si>
    <t>Crimson Journey 1520</t>
  </si>
  <si>
    <t>S2520</t>
  </si>
  <si>
    <t>Hidden Code 1521</t>
  </si>
  <si>
    <t>S2521</t>
  </si>
  <si>
    <t>Shadow Mission 1522</t>
  </si>
  <si>
    <t>S2522</t>
  </si>
  <si>
    <t>Dark World 1523</t>
  </si>
  <si>
    <t>S2523</t>
  </si>
  <si>
    <t>Lost Dream 1524</t>
  </si>
  <si>
    <t>S2524</t>
  </si>
  <si>
    <t>Wild Truth 1525</t>
  </si>
  <si>
    <t>S2525</t>
  </si>
  <si>
    <t>Crimson Quest 1526</t>
  </si>
  <si>
    <t>S2526</t>
  </si>
  <si>
    <t>Wild Game 1527</t>
  </si>
  <si>
    <t>S2527</t>
  </si>
  <si>
    <t>Hidden Edge 1528</t>
  </si>
  <si>
    <t>S2528</t>
  </si>
  <si>
    <t>Wild Files 1529</t>
  </si>
  <si>
    <t>S2529</t>
  </si>
  <si>
    <t>Shadow Signal 1530</t>
  </si>
  <si>
    <t>S2530</t>
  </si>
  <si>
    <t>Broken Edge 1531</t>
  </si>
  <si>
    <t>S2531</t>
  </si>
  <si>
    <t>Dark Valley 1532</t>
  </si>
  <si>
    <t>S2532</t>
  </si>
  <si>
    <t>Echo Game 1533</t>
  </si>
  <si>
    <t>S2533</t>
  </si>
  <si>
    <t>Shadow Line 1534</t>
  </si>
  <si>
    <t>S2534</t>
  </si>
  <si>
    <t>Golden World 1535</t>
  </si>
  <si>
    <t>S2535</t>
  </si>
  <si>
    <t>Last World 1536</t>
  </si>
  <si>
    <t>S2536</t>
  </si>
  <si>
    <t>Ocean World 1537</t>
  </si>
  <si>
    <t>S2537</t>
  </si>
  <si>
    <t>Shadow Legacy 1538</t>
  </si>
  <si>
    <t>S2538</t>
  </si>
  <si>
    <t>Beyond Truth 1539</t>
  </si>
  <si>
    <t>S2539</t>
  </si>
  <si>
    <t>Crimson Truth 1540</t>
  </si>
  <si>
    <t>S2540</t>
  </si>
  <si>
    <t>Golden Zone 1541</t>
  </si>
  <si>
    <t>S2541</t>
  </si>
  <si>
    <t>Silent Code 1542</t>
  </si>
  <si>
    <t>S2542</t>
  </si>
  <si>
    <t>Royal Mission 1543</t>
  </si>
  <si>
    <t>S2543</t>
  </si>
  <si>
    <t>Fire Files 1544</t>
  </si>
  <si>
    <t>S2544</t>
  </si>
  <si>
    <t>Hidden Valley 1545</t>
  </si>
  <si>
    <t>S2545</t>
  </si>
  <si>
    <t>S2546</t>
  </si>
  <si>
    <t>Golden Edge 1547</t>
  </si>
  <si>
    <t>S2547</t>
  </si>
  <si>
    <t>Secret Truth 1548</t>
  </si>
  <si>
    <t>S2548</t>
  </si>
  <si>
    <t>echo dream 1549</t>
  </si>
  <si>
    <t>S2549</t>
  </si>
  <si>
    <t>Infinite Line 1550</t>
  </si>
  <si>
    <t>S2550</t>
  </si>
  <si>
    <t>Silent Files 1551</t>
  </si>
  <si>
    <t>S2551</t>
  </si>
  <si>
    <t>Urban Legacy 1552</t>
  </si>
  <si>
    <t>S2552</t>
  </si>
  <si>
    <t>Broken Rise 1553</t>
  </si>
  <si>
    <t>S2553</t>
  </si>
  <si>
    <t>Future Quest 1554</t>
  </si>
  <si>
    <t>S2554</t>
  </si>
  <si>
    <t>Secret Legacy 1555</t>
  </si>
  <si>
    <t>S2555</t>
  </si>
  <si>
    <t>Echo Valley 1556</t>
  </si>
  <si>
    <t>S2556</t>
  </si>
  <si>
    <t>Future Night 1557</t>
  </si>
  <si>
    <t>S2557</t>
  </si>
  <si>
    <t>Infinite Line 1558</t>
  </si>
  <si>
    <t>S2558</t>
  </si>
  <si>
    <t>Lost Rise 1559</t>
  </si>
  <si>
    <t>S2559</t>
  </si>
  <si>
    <t>Golden Empire 1560</t>
  </si>
  <si>
    <t>S2560</t>
  </si>
  <si>
    <t>Golden Mission 1561</t>
  </si>
  <si>
    <t>S2561</t>
  </si>
  <si>
    <t>Last Truth 1562</t>
  </si>
  <si>
    <t>S2562</t>
  </si>
  <si>
    <t>Blue Chronicles 1563</t>
  </si>
  <si>
    <t>S2563</t>
  </si>
  <si>
    <t>Hidden Game 1564</t>
  </si>
  <si>
    <t>S2564</t>
  </si>
  <si>
    <t>Infinite Zone 1565</t>
  </si>
  <si>
    <t>S2565</t>
  </si>
  <si>
    <t>Infinite Line 1566</t>
  </si>
  <si>
    <t>S2566</t>
  </si>
  <si>
    <t>Beyond Rise 1567</t>
  </si>
  <si>
    <t>S2567</t>
  </si>
  <si>
    <t>hidden empire 1568</t>
  </si>
  <si>
    <t>S2568</t>
  </si>
  <si>
    <t>Echo Rise 1569</t>
  </si>
  <si>
    <t>S2569</t>
  </si>
  <si>
    <t>Lost Night 1570</t>
  </si>
  <si>
    <t>S2570</t>
  </si>
  <si>
    <t>Golden Game 1571</t>
  </si>
  <si>
    <t>S2571</t>
  </si>
  <si>
    <t>Blue Zone 1572</t>
  </si>
  <si>
    <t>S2572</t>
  </si>
  <si>
    <t>Infinite Files 1573</t>
  </si>
  <si>
    <t>S2573</t>
  </si>
  <si>
    <t>Future Mission 1574</t>
  </si>
  <si>
    <t>S2574</t>
  </si>
  <si>
    <t>Hidden Empire 1575</t>
  </si>
  <si>
    <t>S2575</t>
  </si>
  <si>
    <t>Wild World 1576</t>
  </si>
  <si>
    <t>S2576</t>
  </si>
  <si>
    <t>Hidden Chronicles 1577</t>
  </si>
  <si>
    <t>S2577</t>
  </si>
  <si>
    <t>Dark Game 1578</t>
  </si>
  <si>
    <t>S2578</t>
  </si>
  <si>
    <t>Secret Quest 1579</t>
  </si>
  <si>
    <t>S2579</t>
  </si>
  <si>
    <t>Broken Night 1580</t>
  </si>
  <si>
    <t>S2580</t>
  </si>
  <si>
    <t>shadow files 1581</t>
  </si>
  <si>
    <t>S2581</t>
  </si>
  <si>
    <t>Beyond Signal 1582</t>
  </si>
  <si>
    <t>S2582</t>
  </si>
  <si>
    <t>Hidden World 1583</t>
  </si>
  <si>
    <t>S2583</t>
  </si>
  <si>
    <t>Shadow Truth 1584</t>
  </si>
  <si>
    <t>S2584</t>
  </si>
  <si>
    <t>Echo World 1585</t>
  </si>
  <si>
    <t>S2585</t>
  </si>
  <si>
    <t>Broken Truth 1586</t>
  </si>
  <si>
    <t>S2586</t>
  </si>
  <si>
    <t>Wild Quest 1587</t>
  </si>
  <si>
    <t>S2587</t>
  </si>
  <si>
    <t>Fire Signal 1588</t>
  </si>
  <si>
    <t>S2588</t>
  </si>
  <si>
    <t>Lost Zone 1589</t>
  </si>
  <si>
    <t>S2589</t>
  </si>
  <si>
    <t>Royal Chronicles 1590</t>
  </si>
  <si>
    <t>S2590</t>
  </si>
  <si>
    <t>Hidden Rise 1591</t>
  </si>
  <si>
    <t>S2591</t>
  </si>
  <si>
    <t>Silent Game 1592</t>
  </si>
  <si>
    <t>S2592</t>
  </si>
  <si>
    <t>Golden Rise 1593</t>
  </si>
  <si>
    <t>S2593</t>
  </si>
  <si>
    <t>Beyond Rise 1594</t>
  </si>
  <si>
    <t>S2594</t>
  </si>
  <si>
    <t>Secret Dream 1595</t>
  </si>
  <si>
    <t>S2595</t>
  </si>
  <si>
    <t>Ocean Story 1596</t>
  </si>
  <si>
    <t>S2596</t>
  </si>
  <si>
    <t>Future Game 1597</t>
  </si>
  <si>
    <t>S2597</t>
  </si>
  <si>
    <t>Shadow Journey 1598</t>
  </si>
  <si>
    <t>S2598</t>
  </si>
  <si>
    <t>Crimson Night 1599</t>
  </si>
  <si>
    <t>S2599</t>
  </si>
  <si>
    <t>Broken Chronicles 1600</t>
  </si>
  <si>
    <t>S2600</t>
  </si>
  <si>
    <t>Ocean Truth 1601</t>
  </si>
  <si>
    <t>S2601</t>
  </si>
  <si>
    <t>Silent Rise 1602</t>
  </si>
  <si>
    <t>S2602</t>
  </si>
  <si>
    <t>Infinite Signal 1603</t>
  </si>
  <si>
    <t>S2603</t>
  </si>
  <si>
    <t>Silent Valley 1604</t>
  </si>
  <si>
    <t>S2604</t>
  </si>
  <si>
    <t>Silent Rise 1605</t>
  </si>
  <si>
    <t>S2605</t>
  </si>
  <si>
    <t>Secret World 1606</t>
  </si>
  <si>
    <t>S2606</t>
  </si>
  <si>
    <t>Lost World 1607</t>
  </si>
  <si>
    <t>S2607</t>
  </si>
  <si>
    <t>Infinite Edge 1608</t>
  </si>
  <si>
    <t>S2608</t>
  </si>
  <si>
    <t>Fire World 1609</t>
  </si>
  <si>
    <t>S2609</t>
  </si>
  <si>
    <t>Blue Empire 1610</t>
  </si>
  <si>
    <t>S2610</t>
  </si>
  <si>
    <t>Last Story 1611</t>
  </si>
  <si>
    <t>S2611</t>
  </si>
  <si>
    <t>Shadow Code 1612</t>
  </si>
  <si>
    <t>S2612</t>
  </si>
  <si>
    <t>Last Edge 1613</t>
  </si>
  <si>
    <t>S2613</t>
  </si>
  <si>
    <t>broken truth 1614</t>
  </si>
  <si>
    <t>S2614</t>
  </si>
  <si>
    <t>crimson files 1615</t>
  </si>
  <si>
    <t>S2615</t>
  </si>
  <si>
    <t>Fire Empire 1616</t>
  </si>
  <si>
    <t>S2616</t>
  </si>
  <si>
    <t>Urban Signal 1617</t>
  </si>
  <si>
    <t>S2617</t>
  </si>
  <si>
    <t>Shadow Signal 1618</t>
  </si>
  <si>
    <t>S2618</t>
  </si>
  <si>
    <t>Ocean Game 1619</t>
  </si>
  <si>
    <t>S2619</t>
  </si>
  <si>
    <t>Royal Valley 1620</t>
  </si>
  <si>
    <t>S2620</t>
  </si>
  <si>
    <t>echo rise 1621</t>
  </si>
  <si>
    <t>S2621</t>
  </si>
  <si>
    <t>Future Legacy 1622</t>
  </si>
  <si>
    <t>S2622</t>
  </si>
  <si>
    <t>Silent Story 1623</t>
  </si>
  <si>
    <t>S2623</t>
  </si>
  <si>
    <t>Silent Legacy 1624</t>
  </si>
  <si>
    <t>S2624</t>
  </si>
  <si>
    <t>Future Truth 1625</t>
  </si>
  <si>
    <t>S2625</t>
  </si>
  <si>
    <t>Infinite Night 1626</t>
  </si>
  <si>
    <t>S2626</t>
  </si>
  <si>
    <t>Last Chronicles 1627</t>
  </si>
  <si>
    <t>S2627</t>
  </si>
  <si>
    <t>Infinite Quest 1628</t>
  </si>
  <si>
    <t>S2628</t>
  </si>
  <si>
    <t>Infinite World 1629</t>
  </si>
  <si>
    <t>S2629</t>
  </si>
  <si>
    <t>Shadow Mission 1630</t>
  </si>
  <si>
    <t>S2630</t>
  </si>
  <si>
    <t>Broken Dream 1631</t>
  </si>
  <si>
    <t>S2631</t>
  </si>
  <si>
    <t>Broken Chronicles 1632</t>
  </si>
  <si>
    <t>S2632</t>
  </si>
  <si>
    <t>Hidden Mission 1633</t>
  </si>
  <si>
    <t>S2633</t>
  </si>
  <si>
    <t>Future Signal 1634</t>
  </si>
  <si>
    <t>S2634</t>
  </si>
  <si>
    <t>Silent Game 1635</t>
  </si>
  <si>
    <t>S2635</t>
  </si>
  <si>
    <t>Echo Quest 1636</t>
  </si>
  <si>
    <t>S2636</t>
  </si>
  <si>
    <t>Silent Signal 1637</t>
  </si>
  <si>
    <t>S2637</t>
  </si>
  <si>
    <t>Secret Legacy 1638</t>
  </si>
  <si>
    <t>S2638</t>
  </si>
  <si>
    <t>Royal Files 1639</t>
  </si>
  <si>
    <t>S2639</t>
  </si>
  <si>
    <t>Shadow Zone 1640</t>
  </si>
  <si>
    <t>S2640</t>
  </si>
  <si>
    <t>Ocean Edge 1641</t>
  </si>
  <si>
    <t>S2641</t>
  </si>
  <si>
    <t>Golden Truth 1642</t>
  </si>
  <si>
    <t>S2642</t>
  </si>
  <si>
    <t>Lost Files 1643</t>
  </si>
  <si>
    <t>S2643</t>
  </si>
  <si>
    <t>Hidden Dream 1644</t>
  </si>
  <si>
    <t>S2644</t>
  </si>
  <si>
    <t>Lost Edge 1645</t>
  </si>
  <si>
    <t>S2645</t>
  </si>
  <si>
    <t>Hidden Dream 1646</t>
  </si>
  <si>
    <t>S2646</t>
  </si>
  <si>
    <t>Echo Rise 1647</t>
  </si>
  <si>
    <t>S2647</t>
  </si>
  <si>
    <t>Crimson Quest 1648</t>
  </si>
  <si>
    <t>S2648</t>
  </si>
  <si>
    <t>Infinite Files 1649</t>
  </si>
  <si>
    <t>S2649</t>
  </si>
  <si>
    <t>Broken Night 1650</t>
  </si>
  <si>
    <t>S2650</t>
  </si>
  <si>
    <t>S2651</t>
  </si>
  <si>
    <t>Silent Line 1652</t>
  </si>
  <si>
    <t>S2652</t>
  </si>
  <si>
    <t>Secret Night 1653</t>
  </si>
  <si>
    <t>S2653</t>
  </si>
  <si>
    <t>Secret Journey 1654</t>
  </si>
  <si>
    <t>S2654</t>
  </si>
  <si>
    <t>Broken Legacy 1655</t>
  </si>
  <si>
    <t>S2655</t>
  </si>
  <si>
    <t>Hidden Edge 1656</t>
  </si>
  <si>
    <t>S2656</t>
  </si>
  <si>
    <t>Beyond Empire 1657</t>
  </si>
  <si>
    <t>S2657</t>
  </si>
  <si>
    <t>Royal Edge 1658</t>
  </si>
  <si>
    <t>S2658</t>
  </si>
  <si>
    <t>Golden Valley 1659</t>
  </si>
  <si>
    <t>S2659</t>
  </si>
  <si>
    <t>Echo Rise 1660</t>
  </si>
  <si>
    <t>S2660</t>
  </si>
  <si>
    <t>Beyond Truth 1661</t>
  </si>
  <si>
    <t>S2661</t>
  </si>
  <si>
    <t>Last Code 1662</t>
  </si>
  <si>
    <t>S2662</t>
  </si>
  <si>
    <t>hidden world 1663</t>
  </si>
  <si>
    <t>S2663</t>
  </si>
  <si>
    <t>Ocean Chronicles 1664</t>
  </si>
  <si>
    <t>S2664</t>
  </si>
  <si>
    <t>Future Chronicles 1665</t>
  </si>
  <si>
    <t>S2665</t>
  </si>
  <si>
    <t>Golden Chronicles 1666</t>
  </si>
  <si>
    <t>S2666</t>
  </si>
  <si>
    <t>Beyond World 1667</t>
  </si>
  <si>
    <t>S2667</t>
  </si>
  <si>
    <t>Beyond Journey 1668</t>
  </si>
  <si>
    <t>S2668</t>
  </si>
  <si>
    <t>Crimson Mission 1669</t>
  </si>
  <si>
    <t>S2669</t>
  </si>
  <si>
    <t>shadow game 1670</t>
  </si>
  <si>
    <t>S2670</t>
  </si>
  <si>
    <t>Broken Valley 1671</t>
  </si>
  <si>
    <t>S2671</t>
  </si>
  <si>
    <t>Echo Night 1672</t>
  </si>
  <si>
    <t>S2672</t>
  </si>
  <si>
    <t>last chronicles 1673</t>
  </si>
  <si>
    <t>S2673</t>
  </si>
  <si>
    <t>Wild Files 1674</t>
  </si>
  <si>
    <t>S2674</t>
  </si>
  <si>
    <t>Golden Quest 1675</t>
  </si>
  <si>
    <t>S2675</t>
  </si>
  <si>
    <t>Hidden World 1676</t>
  </si>
  <si>
    <t>S2676</t>
  </si>
  <si>
    <t>Secret Rise 1677</t>
  </si>
  <si>
    <t>S2677</t>
  </si>
  <si>
    <t>Urban Valley 1678</t>
  </si>
  <si>
    <t>S2678</t>
  </si>
  <si>
    <t>Royal World 1679</t>
  </si>
  <si>
    <t>S2679</t>
  </si>
  <si>
    <t>Fire Chronicles 1680</t>
  </si>
  <si>
    <t>S2680</t>
  </si>
  <si>
    <t>Golden Files 1681</t>
  </si>
  <si>
    <t>S2681</t>
  </si>
  <si>
    <t>Hidden Valley 1682</t>
  </si>
  <si>
    <t>S2682</t>
  </si>
  <si>
    <t>Future World 1683</t>
  </si>
  <si>
    <t>S2683</t>
  </si>
  <si>
    <t>Royal Chronicles 1684</t>
  </si>
  <si>
    <t>S2684</t>
  </si>
  <si>
    <t>Royal Mission 1685</t>
  </si>
  <si>
    <t>S2685</t>
  </si>
  <si>
    <t>Wild Game 1686</t>
  </si>
  <si>
    <t>S2686</t>
  </si>
  <si>
    <t>Dark Edge 1687</t>
  </si>
  <si>
    <t>S2687</t>
  </si>
  <si>
    <t>Urban Signal 1688</t>
  </si>
  <si>
    <t>S2688</t>
  </si>
  <si>
    <t>Blue Dream 1689</t>
  </si>
  <si>
    <t>S2689</t>
  </si>
  <si>
    <t>Echo Valley 1690</t>
  </si>
  <si>
    <t>S2690</t>
  </si>
  <si>
    <t>Ocean Files 1691</t>
  </si>
  <si>
    <t>S2691</t>
  </si>
  <si>
    <t>Echo World 1692</t>
  </si>
  <si>
    <t>S2692</t>
  </si>
  <si>
    <t>Crimson Empire 1693</t>
  </si>
  <si>
    <t>S2693</t>
  </si>
  <si>
    <t>Royal Night 1694</t>
  </si>
  <si>
    <t>S2694</t>
  </si>
  <si>
    <t>S2695</t>
  </si>
  <si>
    <t>Urban Rise 1696</t>
  </si>
  <si>
    <t>S2696</t>
  </si>
  <si>
    <t>Broken Quest 1697</t>
  </si>
  <si>
    <t>S2697</t>
  </si>
  <si>
    <t>urban rise 1698</t>
  </si>
  <si>
    <t>S2698</t>
  </si>
  <si>
    <t>Lost Truth 1699</t>
  </si>
  <si>
    <t>S2699</t>
  </si>
  <si>
    <t>future world 1700</t>
  </si>
  <si>
    <t>S2700</t>
  </si>
  <si>
    <t>Shadow Signal 1701</t>
  </si>
  <si>
    <t>S2701</t>
  </si>
  <si>
    <t>Golden Story 1702</t>
  </si>
  <si>
    <t>S2702</t>
  </si>
  <si>
    <t>Royal Signal 1703</t>
  </si>
  <si>
    <t>S2703</t>
  </si>
  <si>
    <t>Urban World 1704</t>
  </si>
  <si>
    <t>S2704</t>
  </si>
  <si>
    <t>Ocean Rise 1705</t>
  </si>
  <si>
    <t>S2705</t>
  </si>
  <si>
    <t>Shadow Valley 1706</t>
  </si>
  <si>
    <t>S2706</t>
  </si>
  <si>
    <t>Hidden Zone 1707</t>
  </si>
  <si>
    <t>S2707</t>
  </si>
  <si>
    <t>Secret Files 1708</t>
  </si>
  <si>
    <t>S2708</t>
  </si>
  <si>
    <t>Golden Signal 1709</t>
  </si>
  <si>
    <t>S2709</t>
  </si>
  <si>
    <t>Royal Zone 1710</t>
  </si>
  <si>
    <t>S2710</t>
  </si>
  <si>
    <t>Last Journey 1711</t>
  </si>
  <si>
    <t>S2711</t>
  </si>
  <si>
    <t>Lost Rise 1712</t>
  </si>
  <si>
    <t>S2712</t>
  </si>
  <si>
    <t>Future Code 1713</t>
  </si>
  <si>
    <t>S2713</t>
  </si>
  <si>
    <t>Ocean Edge 1714</t>
  </si>
  <si>
    <t>S2714</t>
  </si>
  <si>
    <t>Lost Code 1715</t>
  </si>
  <si>
    <t>S2715</t>
  </si>
  <si>
    <t>Fire Edge 1716</t>
  </si>
  <si>
    <t>S2716</t>
  </si>
  <si>
    <t>Beyond Mission 1717</t>
  </si>
  <si>
    <t>S2717</t>
  </si>
  <si>
    <t>S2718</t>
  </si>
  <si>
    <t>Blue Journey 1719</t>
  </si>
  <si>
    <t>S2719</t>
  </si>
  <si>
    <t>crimson edge 1720</t>
  </si>
  <si>
    <t>S2720</t>
  </si>
  <si>
    <t>Lost Legacy 1721</t>
  </si>
  <si>
    <t>S2721</t>
  </si>
  <si>
    <t>Broken Night 1722</t>
  </si>
  <si>
    <t>S2722</t>
  </si>
  <si>
    <t>Golden Chronicles 1723</t>
  </si>
  <si>
    <t>S2723</t>
  </si>
  <si>
    <t>Crimson Zone 1724</t>
  </si>
  <si>
    <t>S2724</t>
  </si>
  <si>
    <t>Echo Chronicles 1725</t>
  </si>
  <si>
    <t>S2725</t>
  </si>
  <si>
    <t>Wild Valley 1726</t>
  </si>
  <si>
    <t>S2726</t>
  </si>
  <si>
    <t>wild rise 1727</t>
  </si>
  <si>
    <t>S2727</t>
  </si>
  <si>
    <t>Fire Chronicles 1728</t>
  </si>
  <si>
    <t>S2728</t>
  </si>
  <si>
    <t>Blue Files 1729</t>
  </si>
  <si>
    <t>S2729</t>
  </si>
  <si>
    <t>Blue Code 1730</t>
  </si>
  <si>
    <t>S2730</t>
  </si>
  <si>
    <t>Last Signal 1731</t>
  </si>
  <si>
    <t>S2731</t>
  </si>
  <si>
    <t>Secret Empire 1732</t>
  </si>
  <si>
    <t>S2732</t>
  </si>
  <si>
    <t>Shadow Empire 1733</t>
  </si>
  <si>
    <t>S2733</t>
  </si>
  <si>
    <t>Dark Valley 1734</t>
  </si>
  <si>
    <t>S2734</t>
  </si>
  <si>
    <t>Dark Rise 1735</t>
  </si>
  <si>
    <t>S2735</t>
  </si>
  <si>
    <t>Urban Chronicles 1736</t>
  </si>
  <si>
    <t>S2736</t>
  </si>
  <si>
    <t>Golden Game 1737</t>
  </si>
  <si>
    <t>S2737</t>
  </si>
  <si>
    <t>Shadow Quest 1738</t>
  </si>
  <si>
    <t>S2738</t>
  </si>
  <si>
    <t>Future Empire 1739</t>
  </si>
  <si>
    <t>S2739</t>
  </si>
  <si>
    <t>Wild Files 1740</t>
  </si>
  <si>
    <t>S2740</t>
  </si>
  <si>
    <t>Hidden Truth 1741</t>
  </si>
  <si>
    <t>S2741</t>
  </si>
  <si>
    <t>Blue Signal 1742</t>
  </si>
  <si>
    <t>S2742</t>
  </si>
  <si>
    <t>Dark Edge 1743</t>
  </si>
  <si>
    <t>S2743</t>
  </si>
  <si>
    <t>Lost Story 1744</t>
  </si>
  <si>
    <t>S2744</t>
  </si>
  <si>
    <t>Wild Rise 1745</t>
  </si>
  <si>
    <t>S2745</t>
  </si>
  <si>
    <t>Silent Dream 1746</t>
  </si>
  <si>
    <t>S2746</t>
  </si>
  <si>
    <t>Hidden Truth 1747</t>
  </si>
  <si>
    <t>S2747</t>
  </si>
  <si>
    <t>Infinite Mission 1748</t>
  </si>
  <si>
    <t>S2748</t>
  </si>
  <si>
    <t>Blue Code 1749</t>
  </si>
  <si>
    <t>S2749</t>
  </si>
  <si>
    <t>Fire Rise 1750</t>
  </si>
  <si>
    <t>S2750</t>
  </si>
  <si>
    <t>Wild Rise 1751</t>
  </si>
  <si>
    <t>S2751</t>
  </si>
  <si>
    <t>Urban Quest 1752</t>
  </si>
  <si>
    <t>S2752</t>
  </si>
  <si>
    <t>Fire Mission 1753</t>
  </si>
  <si>
    <t>S2753</t>
  </si>
  <si>
    <t>Blue Rise 1754</t>
  </si>
  <si>
    <t>S2754</t>
  </si>
  <si>
    <t>silent signal 1755</t>
  </si>
  <si>
    <t>S2755</t>
  </si>
  <si>
    <t>S2756</t>
  </si>
  <si>
    <t>Broken Line 1757</t>
  </si>
  <si>
    <t>S2757</t>
  </si>
  <si>
    <t>Blue Edge 1758</t>
  </si>
  <si>
    <t>S2758</t>
  </si>
  <si>
    <t>Ocean Truth 1759</t>
  </si>
  <si>
    <t>S2759</t>
  </si>
  <si>
    <t>Broken Signal 1760</t>
  </si>
  <si>
    <t>S2760</t>
  </si>
  <si>
    <t>Fire Chronicles 1761</t>
  </si>
  <si>
    <t>S2761</t>
  </si>
  <si>
    <t>shadow night 1762</t>
  </si>
  <si>
    <t>S2762</t>
  </si>
  <si>
    <t>Shadow Edge 1763</t>
  </si>
  <si>
    <t>S2763</t>
  </si>
  <si>
    <t>Future Rise 1764</t>
  </si>
  <si>
    <t>S2764</t>
  </si>
  <si>
    <t>Blue Dream 1765</t>
  </si>
  <si>
    <t>S2765</t>
  </si>
  <si>
    <t>Golden Night 1766</t>
  </si>
  <si>
    <t>S2766</t>
  </si>
  <si>
    <t>Silent Quest 1767</t>
  </si>
  <si>
    <t>S2767</t>
  </si>
  <si>
    <t>Crimson Quest 1768</t>
  </si>
  <si>
    <t>S2768</t>
  </si>
  <si>
    <t>Dark Edge 1769</t>
  </si>
  <si>
    <t>S2769</t>
  </si>
  <si>
    <t>Blue Empire 1770</t>
  </si>
  <si>
    <t>S2770</t>
  </si>
  <si>
    <t>Infinite Valley 1771</t>
  </si>
  <si>
    <t>S2771</t>
  </si>
  <si>
    <t>Echo Files 1772</t>
  </si>
  <si>
    <t>S2772</t>
  </si>
  <si>
    <t>Fire Empire 1773</t>
  </si>
  <si>
    <t>S2773</t>
  </si>
  <si>
    <t>Broken Night 1774</t>
  </si>
  <si>
    <t>S2774</t>
  </si>
  <si>
    <t>Ocean Valley 1775</t>
  </si>
  <si>
    <t>S2775</t>
  </si>
  <si>
    <t>Fire Line 1776</t>
  </si>
  <si>
    <t>S2776</t>
  </si>
  <si>
    <t>Blue Signal 1777</t>
  </si>
  <si>
    <t>S2777</t>
  </si>
  <si>
    <t>Blue Rise 1778</t>
  </si>
  <si>
    <t>S2778</t>
  </si>
  <si>
    <t>Dark World 1779</t>
  </si>
  <si>
    <t>S2779</t>
  </si>
  <si>
    <t>Wild Signal 1780</t>
  </si>
  <si>
    <t>S2780</t>
  </si>
  <si>
    <t>Royal Mission 1781</t>
  </si>
  <si>
    <t>S2781</t>
  </si>
  <si>
    <t>Ocean Empire 1782</t>
  </si>
  <si>
    <t>S2782</t>
  </si>
  <si>
    <t>Blue Night 1783</t>
  </si>
  <si>
    <t>S2783</t>
  </si>
  <si>
    <t>Golden World 1784</t>
  </si>
  <si>
    <t>S2784</t>
  </si>
  <si>
    <t>Urban Files 1785</t>
  </si>
  <si>
    <t>S2785</t>
  </si>
  <si>
    <t>Dark Game 1786</t>
  </si>
  <si>
    <t>S2786</t>
  </si>
  <si>
    <t>Dark Night 1787</t>
  </si>
  <si>
    <t>S2787</t>
  </si>
  <si>
    <t>Ocean Valley 1788</t>
  </si>
  <si>
    <t>S2788</t>
  </si>
  <si>
    <t>Hidden Code 1789</t>
  </si>
  <si>
    <t>S2789</t>
  </si>
  <si>
    <t>Royal Game 1790</t>
  </si>
  <si>
    <t>S2790</t>
  </si>
  <si>
    <t>Royal Chronicles 1791</t>
  </si>
  <si>
    <t>S2791</t>
  </si>
  <si>
    <t>Beyond Valley 1792</t>
  </si>
  <si>
    <t>S2792</t>
  </si>
  <si>
    <t>lost game 1793</t>
  </si>
  <si>
    <t>S2793</t>
  </si>
  <si>
    <t>Infinite Zone 1794</t>
  </si>
  <si>
    <t>S2794</t>
  </si>
  <si>
    <t>Dark Chronicles 1795</t>
  </si>
  <si>
    <t>S2795</t>
  </si>
  <si>
    <t>Beyond Legacy 1796</t>
  </si>
  <si>
    <t>S2796</t>
  </si>
  <si>
    <t>Lost World 1797</t>
  </si>
  <si>
    <t>S2797</t>
  </si>
  <si>
    <t>Dark Valley 1798</t>
  </si>
  <si>
    <t>S2798</t>
  </si>
  <si>
    <t>Silent World 1799</t>
  </si>
  <si>
    <t>S2799</t>
  </si>
  <si>
    <t>Ocean Files 1800</t>
  </si>
  <si>
    <t>S2800</t>
  </si>
  <si>
    <t>Golden Dream 1801</t>
  </si>
  <si>
    <t>S2801</t>
  </si>
  <si>
    <t>Beyond Line 1802</t>
  </si>
  <si>
    <t>S2802</t>
  </si>
  <si>
    <t>Future Signal 1803</t>
  </si>
  <si>
    <t>S2803</t>
  </si>
  <si>
    <t>Blue Signal 1804</t>
  </si>
  <si>
    <t>S2804</t>
  </si>
  <si>
    <t>Royal Code 1805</t>
  </si>
  <si>
    <t>S2805</t>
  </si>
  <si>
    <t>Golden Rise 1806</t>
  </si>
  <si>
    <t>S2806</t>
  </si>
  <si>
    <t>Blue Edge 1807</t>
  </si>
  <si>
    <t>S2807</t>
  </si>
  <si>
    <t>Urban Line 1808</t>
  </si>
  <si>
    <t>S2808</t>
  </si>
  <si>
    <t>secret dream 1809</t>
  </si>
  <si>
    <t>S2809</t>
  </si>
  <si>
    <t>Last Edge 1810</t>
  </si>
  <si>
    <t>S2810</t>
  </si>
  <si>
    <t>Broken Truth 1811</t>
  </si>
  <si>
    <t>S2811</t>
  </si>
  <si>
    <t>Fire Edge 1812</t>
  </si>
  <si>
    <t>S2812</t>
  </si>
  <si>
    <t>Fire Quest 1813</t>
  </si>
  <si>
    <t>S2813</t>
  </si>
  <si>
    <t>Dark Rise 1814</t>
  </si>
  <si>
    <t>S2814</t>
  </si>
  <si>
    <t>Beyond Chronicles 1815</t>
  </si>
  <si>
    <t>S2815</t>
  </si>
  <si>
    <t>Last Journey 1816</t>
  </si>
  <si>
    <t>S2816</t>
  </si>
  <si>
    <t>Future Truth 1817</t>
  </si>
  <si>
    <t>S2817</t>
  </si>
  <si>
    <t>Future Empire 1818</t>
  </si>
  <si>
    <t>S2818</t>
  </si>
  <si>
    <t>Ocean Game 1819</t>
  </si>
  <si>
    <t>S2819</t>
  </si>
  <si>
    <t>Future World 1820</t>
  </si>
  <si>
    <t>S2820</t>
  </si>
  <si>
    <t>Shadow Valley 1821</t>
  </si>
  <si>
    <t>S2821</t>
  </si>
  <si>
    <t>Royal Signal 1822</t>
  </si>
  <si>
    <t>S2822</t>
  </si>
  <si>
    <t>Crimson Zone 1823</t>
  </si>
  <si>
    <t>S2823</t>
  </si>
  <si>
    <t>Secret Chronicles 1824</t>
  </si>
  <si>
    <t>S2824</t>
  </si>
  <si>
    <t>Crimson Empire 1825</t>
  </si>
  <si>
    <t>S2825</t>
  </si>
  <si>
    <t>Silent Edge 1826</t>
  </si>
  <si>
    <t>S2826</t>
  </si>
  <si>
    <t>Last Empire 1827</t>
  </si>
  <si>
    <t>S2827</t>
  </si>
  <si>
    <t>S2828</t>
  </si>
  <si>
    <t>Broken Mission 1829</t>
  </si>
  <si>
    <t>S2829</t>
  </si>
  <si>
    <t>Dark Valley 1830</t>
  </si>
  <si>
    <t>S2830</t>
  </si>
  <si>
    <t>Fire Edge 1831</t>
  </si>
  <si>
    <t>S2831</t>
  </si>
  <si>
    <t>Silent Truth 1832</t>
  </si>
  <si>
    <t>S2832</t>
  </si>
  <si>
    <t>Future Story 1833</t>
  </si>
  <si>
    <t>S2833</t>
  </si>
  <si>
    <t>Blue Journey 1834</t>
  </si>
  <si>
    <t>S2834</t>
  </si>
  <si>
    <t>Broken Story 1835</t>
  </si>
  <si>
    <t>S2835</t>
  </si>
  <si>
    <t>Future Quest 1836</t>
  </si>
  <si>
    <t>S2836</t>
  </si>
  <si>
    <t>Silent Dream 1837</t>
  </si>
  <si>
    <t>S2837</t>
  </si>
  <si>
    <t>broken legacy 1838</t>
  </si>
  <si>
    <t>S2838</t>
  </si>
  <si>
    <t>Secret Journey 1839</t>
  </si>
  <si>
    <t>S2839</t>
  </si>
  <si>
    <t>Ocean Chronicles 1840</t>
  </si>
  <si>
    <t>S2840</t>
  </si>
  <si>
    <t>ocean zone 1841</t>
  </si>
  <si>
    <t>S2841</t>
  </si>
  <si>
    <t>Wild Night 1842</t>
  </si>
  <si>
    <t>S2842</t>
  </si>
  <si>
    <t>Broken World 1843</t>
  </si>
  <si>
    <t>S2843</t>
  </si>
  <si>
    <t>Lost Line 1844</t>
  </si>
  <si>
    <t>S2844</t>
  </si>
  <si>
    <t>Echo Journey 1845</t>
  </si>
  <si>
    <t>S2845</t>
  </si>
  <si>
    <t>blue files 1846</t>
  </si>
  <si>
    <t>S2846</t>
  </si>
  <si>
    <t>Echo Edge 1847</t>
  </si>
  <si>
    <t>S2847</t>
  </si>
  <si>
    <t>Shadow Empire 1848</t>
  </si>
  <si>
    <t>S2848</t>
  </si>
  <si>
    <t>Echo Truth 1849</t>
  </si>
  <si>
    <t>S2849</t>
  </si>
  <si>
    <t>Blue World 1850</t>
  </si>
  <si>
    <t>S2850</t>
  </si>
  <si>
    <t>Future Legacy 1851</t>
  </si>
  <si>
    <t>S2851</t>
  </si>
  <si>
    <t>Wild Legacy 1852</t>
  </si>
  <si>
    <t>S2852</t>
  </si>
  <si>
    <t>Echo Code 1853</t>
  </si>
  <si>
    <t>S2853</t>
  </si>
  <si>
    <t>Crimson Game 1854</t>
  </si>
  <si>
    <t>S2854</t>
  </si>
  <si>
    <t>Ocean Code 1855</t>
  </si>
  <si>
    <t>S2855</t>
  </si>
  <si>
    <t>Golden Legacy 1856</t>
  </si>
  <si>
    <t>S2856</t>
  </si>
  <si>
    <t>Infinite Dream 1857</t>
  </si>
  <si>
    <t>S2857</t>
  </si>
  <si>
    <t>Shadow World 1858</t>
  </si>
  <si>
    <t>S2858</t>
  </si>
  <si>
    <t>Blue Truth 1859</t>
  </si>
  <si>
    <t>S2859</t>
  </si>
  <si>
    <t>Broken World 1860</t>
  </si>
  <si>
    <t>S2860</t>
  </si>
  <si>
    <t>Last Edge 1861</t>
  </si>
  <si>
    <t>S2861</t>
  </si>
  <si>
    <t>Blue Story 1862</t>
  </si>
  <si>
    <t>S2862</t>
  </si>
  <si>
    <t>Fire Journey 1863</t>
  </si>
  <si>
    <t>S2863</t>
  </si>
  <si>
    <t>Silent Valley 1864</t>
  </si>
  <si>
    <t>S2864</t>
  </si>
  <si>
    <t>Last World 1865</t>
  </si>
  <si>
    <t>S2865</t>
  </si>
  <si>
    <t>lost dream 1866</t>
  </si>
  <si>
    <t>S2866</t>
  </si>
  <si>
    <t>urban night 1867</t>
  </si>
  <si>
    <t>S2867</t>
  </si>
  <si>
    <t>Lost Night 1868</t>
  </si>
  <si>
    <t>S2868</t>
  </si>
  <si>
    <t>Echo Empire 1869</t>
  </si>
  <si>
    <t>S2869</t>
  </si>
  <si>
    <t>Fire Truth 1870</t>
  </si>
  <si>
    <t>S2870</t>
  </si>
  <si>
    <t>Secret Zone 1871</t>
  </si>
  <si>
    <t>S2871</t>
  </si>
  <si>
    <t>last code 1872</t>
  </si>
  <si>
    <t>S2872</t>
  </si>
  <si>
    <t>Urban Line 1873</t>
  </si>
  <si>
    <t>S2873</t>
  </si>
  <si>
    <t>Secret Mission 1874</t>
  </si>
  <si>
    <t>S2874</t>
  </si>
  <si>
    <t>S2875</t>
  </si>
  <si>
    <t>S2876</t>
  </si>
  <si>
    <t>Infinite Chronicles 1877</t>
  </si>
  <si>
    <t>S2877</t>
  </si>
  <si>
    <t>Crimson Zone 1878</t>
  </si>
  <si>
    <t>S2878</t>
  </si>
  <si>
    <t>Secret Edge 1879</t>
  </si>
  <si>
    <t>S2879</t>
  </si>
  <si>
    <t>Ocean Edge 1880</t>
  </si>
  <si>
    <t>S2880</t>
  </si>
  <si>
    <t>infinite night 1881</t>
  </si>
  <si>
    <t>S2881</t>
  </si>
  <si>
    <t>Secret Truth 1882</t>
  </si>
  <si>
    <t>S2882</t>
  </si>
  <si>
    <t>beyond legacy 1883</t>
  </si>
  <si>
    <t>S2883</t>
  </si>
  <si>
    <t>Infinite Line 1884</t>
  </si>
  <si>
    <t>S2884</t>
  </si>
  <si>
    <t>Echo Legacy 1885</t>
  </si>
  <si>
    <t>S2885</t>
  </si>
  <si>
    <t>Blue Mission 1886</t>
  </si>
  <si>
    <t>S2886</t>
  </si>
  <si>
    <t>Broken Signal 1887</t>
  </si>
  <si>
    <t>S2887</t>
  </si>
  <si>
    <t>Shadow Line 1888</t>
  </si>
  <si>
    <t>S2888</t>
  </si>
  <si>
    <t>Echo Dream 1889</t>
  </si>
  <si>
    <t>S2889</t>
  </si>
  <si>
    <t>Echo Chronicles 1890</t>
  </si>
  <si>
    <t>S2890</t>
  </si>
  <si>
    <t>Hidden Line 1891</t>
  </si>
  <si>
    <t>S2891</t>
  </si>
  <si>
    <t>Future Zone 1892</t>
  </si>
  <si>
    <t>S2892</t>
  </si>
  <si>
    <t>Royal Edge 1893</t>
  </si>
  <si>
    <t>S2893</t>
  </si>
  <si>
    <t>Wild Game 1894</t>
  </si>
  <si>
    <t>S2894</t>
  </si>
  <si>
    <t>Crimson Zone 1895</t>
  </si>
  <si>
    <t>S2895</t>
  </si>
  <si>
    <t>Dark Mission 1896</t>
  </si>
  <si>
    <t>S2896</t>
  </si>
  <si>
    <t>Broken Code 1897</t>
  </si>
  <si>
    <t>S2897</t>
  </si>
  <si>
    <t>Ocean Zone 1898</t>
  </si>
  <si>
    <t>S2898</t>
  </si>
  <si>
    <t>Urban Zone 1899</t>
  </si>
  <si>
    <t>S2899</t>
  </si>
  <si>
    <t>Infinite Game 1900</t>
  </si>
  <si>
    <t>S2900</t>
  </si>
  <si>
    <t>blue code 1901</t>
  </si>
  <si>
    <t>S2901</t>
  </si>
  <si>
    <t>Golden Files 1902</t>
  </si>
  <si>
    <t>S2902</t>
  </si>
  <si>
    <t>Secret Night 1903</t>
  </si>
  <si>
    <t>S2903</t>
  </si>
  <si>
    <t>Echo Signal 1904</t>
  </si>
  <si>
    <t>S2904</t>
  </si>
  <si>
    <t>Hidden Files 1905</t>
  </si>
  <si>
    <t>S2905</t>
  </si>
  <si>
    <t>Crimson Game 1906</t>
  </si>
  <si>
    <t>S2906</t>
  </si>
  <si>
    <t>Broken Valley 1907</t>
  </si>
  <si>
    <t>S2907</t>
  </si>
  <si>
    <t>Crimson Quest 1908</t>
  </si>
  <si>
    <t>S2908</t>
  </si>
  <si>
    <t>Secret Edge 1909</t>
  </si>
  <si>
    <t>S2909</t>
  </si>
  <si>
    <t>Ocean Files 1910</t>
  </si>
  <si>
    <t>S2910</t>
  </si>
  <si>
    <t>Echo Files 1911</t>
  </si>
  <si>
    <t>S2911</t>
  </si>
  <si>
    <t>Royal Night 1912</t>
  </si>
  <si>
    <t>S2912</t>
  </si>
  <si>
    <t>Ocean Legacy 1913</t>
  </si>
  <si>
    <t>S2913</t>
  </si>
  <si>
    <t>shadow chronicles 1914</t>
  </si>
  <si>
    <t>S2914</t>
  </si>
  <si>
    <t>Last Chronicles 1915</t>
  </si>
  <si>
    <t>S2915</t>
  </si>
  <si>
    <t>Future Story 1916</t>
  </si>
  <si>
    <t>S2916</t>
  </si>
  <si>
    <t>Beyond Mission 1917</t>
  </si>
  <si>
    <t>S2917</t>
  </si>
  <si>
    <t>Fire Files 1918</t>
  </si>
  <si>
    <t>S2918</t>
  </si>
  <si>
    <t>Last Line 1919</t>
  </si>
  <si>
    <t>S2919</t>
  </si>
  <si>
    <t>Wild Line 1920</t>
  </si>
  <si>
    <t>S2920</t>
  </si>
  <si>
    <t>Ocean Game 1921</t>
  </si>
  <si>
    <t>S2921</t>
  </si>
  <si>
    <t>Beyond Dream 1922</t>
  </si>
  <si>
    <t>S2922</t>
  </si>
  <si>
    <t>Dark Mission 1923</t>
  </si>
  <si>
    <t>S2923</t>
  </si>
  <si>
    <t>Crimson Edge 1924</t>
  </si>
  <si>
    <t>S2924</t>
  </si>
  <si>
    <t>Hidden Game 1925</t>
  </si>
  <si>
    <t>S2925</t>
  </si>
  <si>
    <t>Urban Legacy 1926</t>
  </si>
  <si>
    <t>S2926</t>
  </si>
  <si>
    <t>Royal Zone 1927</t>
  </si>
  <si>
    <t>S2927</t>
  </si>
  <si>
    <t>Secret Edge 1928</t>
  </si>
  <si>
    <t>S2928</t>
  </si>
  <si>
    <t>Ocean Dream 1929</t>
  </si>
  <si>
    <t>S2929</t>
  </si>
  <si>
    <t>Last Zone 1930</t>
  </si>
  <si>
    <t>S2930</t>
  </si>
  <si>
    <t>Urban Empire 1931</t>
  </si>
  <si>
    <t>S2931</t>
  </si>
  <si>
    <t>Urban Legacy 1932</t>
  </si>
  <si>
    <t>S2932</t>
  </si>
  <si>
    <t>Royal Code 1933</t>
  </si>
  <si>
    <t>S2933</t>
  </si>
  <si>
    <t>Fire Night 1934</t>
  </si>
  <si>
    <t>S2934</t>
  </si>
  <si>
    <t>S2935</t>
  </si>
  <si>
    <t>Infinite Story 1936</t>
  </si>
  <si>
    <t>S2936</t>
  </si>
  <si>
    <t>Hidden Edge 1937</t>
  </si>
  <si>
    <t>S2937</t>
  </si>
  <si>
    <t>Hidden Rise 1938</t>
  </si>
  <si>
    <t>S2938</t>
  </si>
  <si>
    <t>Broken Zone 1939</t>
  </si>
  <si>
    <t>S2939</t>
  </si>
  <si>
    <t>last rise 1940</t>
  </si>
  <si>
    <t>S2940</t>
  </si>
  <si>
    <t>Broken Line 1941</t>
  </si>
  <si>
    <t>S2941</t>
  </si>
  <si>
    <t>Crimson Signal 1942</t>
  </si>
  <si>
    <t>S2942</t>
  </si>
  <si>
    <t>Secret Journey 1943</t>
  </si>
  <si>
    <t>S2943</t>
  </si>
  <si>
    <t>Hidden Story 1944</t>
  </si>
  <si>
    <t>S2944</t>
  </si>
  <si>
    <t>Royal Code 1945</t>
  </si>
  <si>
    <t>S2945</t>
  </si>
  <si>
    <t>Hidden World 1946</t>
  </si>
  <si>
    <t>S2946</t>
  </si>
  <si>
    <t>Fire Mission 1947</t>
  </si>
  <si>
    <t>S2947</t>
  </si>
  <si>
    <t>Fire Journey 1948</t>
  </si>
  <si>
    <t>S2948</t>
  </si>
  <si>
    <t>S2949</t>
  </si>
  <si>
    <t>Infinite World 1950</t>
  </si>
  <si>
    <t>S2950</t>
  </si>
  <si>
    <t>broken journey 1951</t>
  </si>
  <si>
    <t>S2951</t>
  </si>
  <si>
    <t>S2952</t>
  </si>
  <si>
    <t>Wild Files 1953</t>
  </si>
  <si>
    <t>S2953</t>
  </si>
  <si>
    <t>Fire World 1954</t>
  </si>
  <si>
    <t>S2954</t>
  </si>
  <si>
    <t>Secret World 1955</t>
  </si>
  <si>
    <t>S2955</t>
  </si>
  <si>
    <t>Crimson Story 1956</t>
  </si>
  <si>
    <t>S2956</t>
  </si>
  <si>
    <t>Dark Truth 1957</t>
  </si>
  <si>
    <t>S2957</t>
  </si>
  <si>
    <t>Dark Line 1958</t>
  </si>
  <si>
    <t>S2958</t>
  </si>
  <si>
    <t>Lost Zone 1959</t>
  </si>
  <si>
    <t>S2959</t>
  </si>
  <si>
    <t>Last Night 1960</t>
  </si>
  <si>
    <t>S2960</t>
  </si>
  <si>
    <t>Future Edge 1961</t>
  </si>
  <si>
    <t>S2961</t>
  </si>
  <si>
    <t>Golden Code 1962</t>
  </si>
  <si>
    <t>S2962</t>
  </si>
  <si>
    <t>Blue Legacy 1963</t>
  </si>
  <si>
    <t>S2963</t>
  </si>
  <si>
    <t>Infinite Files 1964</t>
  </si>
  <si>
    <t>S2964</t>
  </si>
  <si>
    <t>Silent Game 1965</t>
  </si>
  <si>
    <t>S2965</t>
  </si>
  <si>
    <t>Royal Zone 1966</t>
  </si>
  <si>
    <t>S2966</t>
  </si>
  <si>
    <t>Secret Rise 1967</t>
  </si>
  <si>
    <t>S2967</t>
  </si>
  <si>
    <t>Blue Files 1968</t>
  </si>
  <si>
    <t>S2968</t>
  </si>
  <si>
    <t>Blue Chronicles 1969</t>
  </si>
  <si>
    <t>S2969</t>
  </si>
  <si>
    <t>Royal Journey 1970</t>
  </si>
  <si>
    <t>S2970</t>
  </si>
  <si>
    <t>Urban Dream 1971</t>
  </si>
  <si>
    <t>S2971</t>
  </si>
  <si>
    <t>Fire Legacy 1972</t>
  </si>
  <si>
    <t>S2972</t>
  </si>
  <si>
    <t>Infinite Zone 1973</t>
  </si>
  <si>
    <t>S2973</t>
  </si>
  <si>
    <t>Secret Quest 1974</t>
  </si>
  <si>
    <t>S2974</t>
  </si>
  <si>
    <t>Ocean Quest 1975</t>
  </si>
  <si>
    <t>S2975</t>
  </si>
  <si>
    <t>Wild Rise 1976</t>
  </si>
  <si>
    <t>S2976</t>
  </si>
  <si>
    <t>Lost Truth 1977</t>
  </si>
  <si>
    <t>S2977</t>
  </si>
  <si>
    <t>Silent Legacy 1978</t>
  </si>
  <si>
    <t>S2978</t>
  </si>
  <si>
    <t>Secret World 1979</t>
  </si>
  <si>
    <t>S2979</t>
  </si>
  <si>
    <t>Hidden Zone 1980</t>
  </si>
  <si>
    <t>S2980</t>
  </si>
  <si>
    <t>Future Dream 1981</t>
  </si>
  <si>
    <t>S2981</t>
  </si>
  <si>
    <t>Shadow Edge 1982</t>
  </si>
  <si>
    <t>S2982</t>
  </si>
  <si>
    <t>Ocean Empire 1983</t>
  </si>
  <si>
    <t>S2983</t>
  </si>
  <si>
    <t>golden valley 1984</t>
  </si>
  <si>
    <t>S2984</t>
  </si>
  <si>
    <t>Hidden Story 1985</t>
  </si>
  <si>
    <t>S2985</t>
  </si>
  <si>
    <t>Broken World 1986</t>
  </si>
  <si>
    <t>S2986</t>
  </si>
  <si>
    <t>Urban Zone 1987</t>
  </si>
  <si>
    <t>S2987</t>
  </si>
  <si>
    <t>Blue Journey 1988</t>
  </si>
  <si>
    <t>S2988</t>
  </si>
  <si>
    <t>Shadow Edge 1989</t>
  </si>
  <si>
    <t>S2989</t>
  </si>
  <si>
    <t>Secret Night 1990</t>
  </si>
  <si>
    <t>S2990</t>
  </si>
  <si>
    <t>Lost Rise 1991</t>
  </si>
  <si>
    <t>S2991</t>
  </si>
  <si>
    <t>Golden Signal 1992</t>
  </si>
  <si>
    <t>S2992</t>
  </si>
  <si>
    <t>Lost World 1993</t>
  </si>
  <si>
    <t>S2993</t>
  </si>
  <si>
    <t>Golden Valley 1994</t>
  </si>
  <si>
    <t>S2994</t>
  </si>
  <si>
    <t>Echo World 1995</t>
  </si>
  <si>
    <t>S2995</t>
  </si>
  <si>
    <t>Infinite Empire 1996</t>
  </si>
  <si>
    <t>S2996</t>
  </si>
  <si>
    <t>Urban Empire 1997</t>
  </si>
  <si>
    <t>S2997</t>
  </si>
  <si>
    <t>Blue Dream 1998</t>
  </si>
  <si>
    <t>S2998</t>
  </si>
  <si>
    <t>Beyond Legacy 1999</t>
  </si>
  <si>
    <t>S2999</t>
  </si>
  <si>
    <t>Wild Line 2000</t>
  </si>
  <si>
    <t>Question</t>
  </si>
  <si>
    <t>Response</t>
  </si>
  <si>
    <t>Total Records</t>
  </si>
  <si>
    <t>Total Columns</t>
  </si>
  <si>
    <t>Missing Values Found</t>
  </si>
  <si>
    <t>Duplicate Records</t>
  </si>
  <si>
    <t>Dataset Description</t>
  </si>
  <si>
    <t>Column Name</t>
  </si>
  <si>
    <t>Data Type</t>
  </si>
  <si>
    <t>Text</t>
  </si>
  <si>
    <t>Date</t>
  </si>
  <si>
    <t>Whole Number</t>
  </si>
  <si>
    <t>Decimal Number</t>
  </si>
  <si>
    <t>Whole Number (%)</t>
  </si>
  <si>
    <t>Item</t>
  </si>
  <si>
    <t>Yes</t>
  </si>
  <si>
    <t>Netflix Movies and TV Shows Dataset containing information such as title, type, director, country, release year, ratings, duration, genre, IMDb rating, views, watch hours, completion rate, language, and device type. The dataset contains intentionally inserted missing values, duplicates, inconsistent text, and invalid values for data cleaning and analysis.</t>
  </si>
  <si>
    <t>BEFORE CLEANING</t>
  </si>
  <si>
    <t>S.No</t>
  </si>
  <si>
    <t>Data Quality Issue</t>
  </si>
  <si>
    <t>Action to Perform</t>
  </si>
  <si>
    <t>Missing Values</t>
  </si>
  <si>
    <t>Handle blank values</t>
  </si>
  <si>
    <t>Remove duplicates</t>
  </si>
  <si>
    <t>Inconsistent Text</t>
  </si>
  <si>
    <t>Convert to Proper Case/Standardize values</t>
  </si>
  <si>
    <t>Extra Spaces</t>
  </si>
  <si>
    <t>Trim spaces</t>
  </si>
  <si>
    <t>Incorrect Country Names</t>
  </si>
  <si>
    <t>Standardize (e.g., USA, U.S., United States → United States)</t>
  </si>
  <si>
    <t>Invalid Values</t>
  </si>
  <si>
    <t>Correct or remove invalid values</t>
  </si>
  <si>
    <t>Incorrect Data Types</t>
  </si>
  <si>
    <t>Assign correct data types</t>
  </si>
  <si>
    <t>Empty Strings</t>
  </si>
  <si>
    <t>Replace with null values</t>
  </si>
  <si>
    <t>Special Characters (if any)</t>
  </si>
  <si>
    <t>Clean if required</t>
  </si>
  <si>
    <t>Standardize Categories</t>
  </si>
  <si>
    <t>Use consistent naming</t>
  </si>
  <si>
    <t>82 Min</t>
  </si>
  <si>
    <t>Unknown</t>
  </si>
  <si>
    <t>Fire Files 2</t>
  </si>
  <si>
    <t>179 Min</t>
  </si>
  <si>
    <t>Tv</t>
  </si>
  <si>
    <t>Infinite Night 4</t>
  </si>
  <si>
    <t>143 Min</t>
  </si>
  <si>
    <t>Wild Story 5</t>
  </si>
  <si>
    <t>152 Min</t>
  </si>
  <si>
    <t>171 Min</t>
  </si>
  <si>
    <t>Secret Line 15</t>
  </si>
  <si>
    <t>126 Min</t>
  </si>
  <si>
    <t>121 Min</t>
  </si>
  <si>
    <t>180 Min</t>
  </si>
  <si>
    <t>174 Min</t>
  </si>
  <si>
    <t>118 Min</t>
  </si>
  <si>
    <t>83 Min</t>
  </si>
  <si>
    <t>Broken Journey 31</t>
  </si>
  <si>
    <t>96 Min</t>
  </si>
  <si>
    <t>Usa</t>
  </si>
  <si>
    <t>157 Min</t>
  </si>
  <si>
    <t>112 Min</t>
  </si>
  <si>
    <t>111 Min</t>
  </si>
  <si>
    <t>102 Min</t>
  </si>
  <si>
    <t>Hidden Empire 45</t>
  </si>
  <si>
    <t>88 Min</t>
  </si>
  <si>
    <t>89 Min</t>
  </si>
  <si>
    <t>119 Min</t>
  </si>
  <si>
    <t>153 Min</t>
  </si>
  <si>
    <t>100 Min</t>
  </si>
  <si>
    <t>149 Min</t>
  </si>
  <si>
    <t>78 Min</t>
  </si>
  <si>
    <t>161 Min</t>
  </si>
  <si>
    <t>73 Min</t>
  </si>
  <si>
    <t>170 Min</t>
  </si>
  <si>
    <t>123 Min</t>
  </si>
  <si>
    <t>71 Min</t>
  </si>
  <si>
    <t>131 Min</t>
  </si>
  <si>
    <t>147 Min</t>
  </si>
  <si>
    <t>93 Min</t>
  </si>
  <si>
    <t>163 Min</t>
  </si>
  <si>
    <t>106 Min</t>
  </si>
  <si>
    <t>Beyond Valley 89</t>
  </si>
  <si>
    <t>132 Min</t>
  </si>
  <si>
    <t>Future Truth 91</t>
  </si>
  <si>
    <t>77 Min</t>
  </si>
  <si>
    <t>177 Min</t>
  </si>
  <si>
    <t>79 Min</t>
  </si>
  <si>
    <t>84 Min</t>
  </si>
  <si>
    <t>113 Min</t>
  </si>
  <si>
    <t>90 Min</t>
  </si>
  <si>
    <t>133 Min</t>
  </si>
  <si>
    <t>108 Min</t>
  </si>
  <si>
    <t>86 Min</t>
  </si>
  <si>
    <t>114 Min</t>
  </si>
  <si>
    <t>142 Min</t>
  </si>
  <si>
    <t>150 Min</t>
  </si>
  <si>
    <t>156 Min</t>
  </si>
  <si>
    <t>97 Min</t>
  </si>
  <si>
    <t>144 Min</t>
  </si>
  <si>
    <t>169 Min</t>
  </si>
  <si>
    <t>134 Min</t>
  </si>
  <si>
    <t>Lost Truth 152</t>
  </si>
  <si>
    <t>95 Min</t>
  </si>
  <si>
    <t>70 Min</t>
  </si>
  <si>
    <t>176 Min</t>
  </si>
  <si>
    <t>172 Min</t>
  </si>
  <si>
    <t>166 Min</t>
  </si>
  <si>
    <t>165 Min</t>
  </si>
  <si>
    <t>154 Min</t>
  </si>
  <si>
    <t>173 Min</t>
  </si>
  <si>
    <t>120 Min</t>
  </si>
  <si>
    <t>Last Quest 187</t>
  </si>
  <si>
    <t>168 Min</t>
  </si>
  <si>
    <t>Echo Game 199</t>
  </si>
  <si>
    <t>Lost Valley 206</t>
  </si>
  <si>
    <t>Silent Quest 211</t>
  </si>
  <si>
    <t>145 Min</t>
  </si>
  <si>
    <t>Royal Legacy 223</t>
  </si>
  <si>
    <t>125 Min</t>
  </si>
  <si>
    <t>Fire Story 230</t>
  </si>
  <si>
    <t>75 Min</t>
  </si>
  <si>
    <t>164 Min</t>
  </si>
  <si>
    <t>72 Min</t>
  </si>
  <si>
    <t>104 Min</t>
  </si>
  <si>
    <t>87 Min</t>
  </si>
  <si>
    <t>Future Edge 262</t>
  </si>
  <si>
    <t>116 Min</t>
  </si>
  <si>
    <t>117 Min</t>
  </si>
  <si>
    <t>129 Min</t>
  </si>
  <si>
    <t>99 Min</t>
  </si>
  <si>
    <t>Dark Zone 291</t>
  </si>
  <si>
    <t>128 Min</t>
  </si>
  <si>
    <t>137 Min</t>
  </si>
  <si>
    <t>Wild Edge 299</t>
  </si>
  <si>
    <t>74 Min</t>
  </si>
  <si>
    <t>155 Min</t>
  </si>
  <si>
    <t>81 Min</t>
  </si>
  <si>
    <t>92 Min</t>
  </si>
  <si>
    <t>158 Min</t>
  </si>
  <si>
    <t>76 Min</t>
  </si>
  <si>
    <t>Infinite Truth 332</t>
  </si>
  <si>
    <t>Dark Story 334</t>
  </si>
  <si>
    <t>Infinite Chronicles 348</t>
  </si>
  <si>
    <t>136 Min</t>
  </si>
  <si>
    <t>Dark Chronicles 363</t>
  </si>
  <si>
    <t>124 Min</t>
  </si>
  <si>
    <t>85 Min</t>
  </si>
  <si>
    <t>167 Min</t>
  </si>
  <si>
    <t>175 Min</t>
  </si>
  <si>
    <t>80 Min</t>
  </si>
  <si>
    <t>Broken Chronicles 414</t>
  </si>
  <si>
    <t>110 Min</t>
  </si>
  <si>
    <t>141 Min</t>
  </si>
  <si>
    <t>Infinite Journey 421</t>
  </si>
  <si>
    <t>146 Min</t>
  </si>
  <si>
    <t>178 Min</t>
  </si>
  <si>
    <t>162 Min</t>
  </si>
  <si>
    <t>Blue Code 431</t>
  </si>
  <si>
    <t>103 Min</t>
  </si>
  <si>
    <t>138 Min</t>
  </si>
  <si>
    <t>Echo Zone 451</t>
  </si>
  <si>
    <t>91 Min</t>
  </si>
  <si>
    <t>Silent Mission 484</t>
  </si>
  <si>
    <t>160 Min</t>
  </si>
  <si>
    <t>Blue Dream 530</t>
  </si>
  <si>
    <t>109 Min</t>
  </si>
  <si>
    <t>Future Journey 534</t>
  </si>
  <si>
    <t>130 Min</t>
  </si>
  <si>
    <t>140 Min</t>
  </si>
  <si>
    <t>Blue Line 580</t>
  </si>
  <si>
    <t>Hidden Files 584</t>
  </si>
  <si>
    <t>148 Min</t>
  </si>
  <si>
    <t>Infinite Code 598</t>
  </si>
  <si>
    <t>98 Min</t>
  </si>
  <si>
    <t>Beyond Chronicles 612</t>
  </si>
  <si>
    <t>122 Min</t>
  </si>
  <si>
    <t>Blue Rise 624</t>
  </si>
  <si>
    <t>101 Min</t>
  </si>
  <si>
    <t>Wild Signal 644</t>
  </si>
  <si>
    <t>Echo Story 655</t>
  </si>
  <si>
    <t>Fire Night 667</t>
  </si>
  <si>
    <t>Beyond Files 710</t>
  </si>
  <si>
    <t>Hidden Empire 715</t>
  </si>
  <si>
    <t>107 Min</t>
  </si>
  <si>
    <t>Wild Rise 739</t>
  </si>
  <si>
    <t>Golden Rise 781</t>
  </si>
  <si>
    <t>139 Min</t>
  </si>
  <si>
    <t>94 Min</t>
  </si>
  <si>
    <t>Urban Empire 811</t>
  </si>
  <si>
    <t>Hidden Quest 815</t>
  </si>
  <si>
    <t>Beyond Line 837</t>
  </si>
  <si>
    <t>Secret Night 840</t>
  </si>
  <si>
    <t>Future Rise 855</t>
  </si>
  <si>
    <t>Urban Mission 856</t>
  </si>
  <si>
    <t>Shadow Chronicles 867</t>
  </si>
  <si>
    <t>Broken Line 869</t>
  </si>
  <si>
    <t>135 Min</t>
  </si>
  <si>
    <t>Ocean Truth 887</t>
  </si>
  <si>
    <t>151 Min</t>
  </si>
  <si>
    <t>Crimson Code 944</t>
  </si>
  <si>
    <t>Blue Legacy 953</t>
  </si>
  <si>
    <t>Royal Empire 957</t>
  </si>
  <si>
    <t>Royal Mission 966</t>
  </si>
  <si>
    <t>Fire World 968</t>
  </si>
  <si>
    <t>Golden Story 973</t>
  </si>
  <si>
    <t>Royal Valley 1001</t>
  </si>
  <si>
    <t>Future Journey 1002</t>
  </si>
  <si>
    <t>Lost Empire 1005</t>
  </si>
  <si>
    <t>Ocean Mission 1013</t>
  </si>
  <si>
    <t>Secret Game 1019</t>
  </si>
  <si>
    <t>115 Min</t>
  </si>
  <si>
    <t>Echo Dream 1028</t>
  </si>
  <si>
    <t>127 Min</t>
  </si>
  <si>
    <t>Last Zone 1049</t>
  </si>
  <si>
    <t>Dark Files 1057</t>
  </si>
  <si>
    <t>Beyond Valley 1103</t>
  </si>
  <si>
    <t>105 Min</t>
  </si>
  <si>
    <t>Shadow World 1140</t>
  </si>
  <si>
    <t>Golden Edge 1142</t>
  </si>
  <si>
    <t>Hidden Legacy 1168</t>
  </si>
  <si>
    <t>Secret Valley 1174</t>
  </si>
  <si>
    <t>Beyond Mission 1194</t>
  </si>
  <si>
    <t>Infinite Quest 1212</t>
  </si>
  <si>
    <t>Urban Files 1224</t>
  </si>
  <si>
    <t>Golden Quest 1227</t>
  </si>
  <si>
    <t>Crimson Rise 1261</t>
  </si>
  <si>
    <t>Lost Signal 1264</t>
  </si>
  <si>
    <t>Golden Quest 1310</t>
  </si>
  <si>
    <t>Hidden Mission 1320</t>
  </si>
  <si>
    <t>Royal Story 1357</t>
  </si>
  <si>
    <t>Silent Code 1380</t>
  </si>
  <si>
    <t>Infinite World 1387</t>
  </si>
  <si>
    <t>Dark Code 1429</t>
  </si>
  <si>
    <t>159 Min</t>
  </si>
  <si>
    <t>Wild Legacy 1509</t>
  </si>
  <si>
    <t>Broken Empire 1514</t>
  </si>
  <si>
    <t>Echo Dream 1549</t>
  </si>
  <si>
    <t>Hidden Empire 1568</t>
  </si>
  <si>
    <t>Shadow Files 1581</t>
  </si>
  <si>
    <t>Broken Truth 1614</t>
  </si>
  <si>
    <t>Crimson Files 1615</t>
  </si>
  <si>
    <t>Echo Rise 1621</t>
  </si>
  <si>
    <t>Hidden World 1663</t>
  </si>
  <si>
    <t>Shadow Game 1670</t>
  </si>
  <si>
    <t>Last Chronicles 1673</t>
  </si>
  <si>
    <t>Urban Rise 1698</t>
  </si>
  <si>
    <t>Future World 1700</t>
  </si>
  <si>
    <t>Crimson Edge 1720</t>
  </si>
  <si>
    <t>Wild Rise 1727</t>
  </si>
  <si>
    <t>Silent Signal 1755</t>
  </si>
  <si>
    <t>Shadow Night 1762</t>
  </si>
  <si>
    <t>Lost Game 1793</t>
  </si>
  <si>
    <t>Secret Dream 1809</t>
  </si>
  <si>
    <t>Broken Legacy 1838</t>
  </si>
  <si>
    <t>Ocean Zone 1841</t>
  </si>
  <si>
    <t>Blue Files 1846</t>
  </si>
  <si>
    <t>Lost Dream 1866</t>
  </si>
  <si>
    <t>Urban Night 1867</t>
  </si>
  <si>
    <t>Last Code 1872</t>
  </si>
  <si>
    <t>Infinite Night 1881</t>
  </si>
  <si>
    <t>Beyond Legacy 1883</t>
  </si>
  <si>
    <t>Blue Code 1901</t>
  </si>
  <si>
    <t>Shadow Chronicles 1914</t>
  </si>
  <si>
    <t>Last Rise 1940</t>
  </si>
  <si>
    <t>Broken Journey 1951</t>
  </si>
  <si>
    <t>Golden Valley 1984</t>
  </si>
  <si>
    <t>After Cleaning</t>
  </si>
  <si>
    <t>Date Range</t>
  </si>
  <si>
    <t>Number of Movies</t>
  </si>
  <si>
    <t>Number of TV Shows</t>
  </si>
  <si>
    <t>Number of Countries</t>
  </si>
  <si>
    <t>Number of Genres</t>
  </si>
  <si>
    <t>Duplicate Records Removed</t>
  </si>
  <si>
    <t>No (0)</t>
  </si>
  <si>
    <t>02-01-2015 to  01-07-2026</t>
  </si>
  <si>
    <t>Count of show_id</t>
  </si>
  <si>
    <t>Row Labels</t>
  </si>
  <si>
    <t>Grand Total</t>
  </si>
  <si>
    <t>Netflix Content Analysis Dashboard</t>
  </si>
  <si>
    <t>Total Titles</t>
  </si>
  <si>
    <t>Movies</t>
  </si>
  <si>
    <t>TV Shows</t>
  </si>
  <si>
    <t>Countries</t>
  </si>
  <si>
    <t>Genre</t>
  </si>
  <si>
    <t>Average IMDb Rating</t>
  </si>
  <si>
    <t>Total Views</t>
  </si>
  <si>
    <t>Total Watch Hours</t>
  </si>
  <si>
    <t>Average Completion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</si>
</sst>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theme="9" tint="0.39997558519241921"/>
      </top>
      <bottom style="thin">
        <color theme="9" tint="0.39997558519241921"/>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12"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6" xfId="0" applyFont="1" applyBorder="1" applyAlignment="1">
      <alignment horizontal="center" vertical="center" wrapText="1"/>
    </xf>
    <xf numFmtId="0" fontId="0" fillId="0" borderId="16" xfId="0" applyBorder="1" applyAlignment="1">
      <alignment vertical="center" wrapText="1"/>
    </xf>
    <xf numFmtId="0" fontId="16" fillId="0" borderId="0" xfId="0" applyFont="1"/>
    <xf numFmtId="0" fontId="16" fillId="0" borderId="17" xfId="0" applyFont="1" applyBorder="1" applyAlignment="1">
      <alignment horizontal="center" vertical="center" wrapText="1"/>
    </xf>
    <xf numFmtId="0" fontId="16" fillId="0" borderId="18" xfId="0" applyFont="1" applyBorder="1" applyAlignment="1">
      <alignment horizontal="center" vertical="center" wrapText="1"/>
    </xf>
    <xf numFmtId="0" fontId="16" fillId="0" borderId="19" xfId="0" applyFont="1" applyBorder="1" applyAlignment="1">
      <alignment horizontal="center" vertical="center" wrapText="1"/>
    </xf>
    <xf numFmtId="0" fontId="0" fillId="0" borderId="20" xfId="0" applyBorder="1"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0" fillId="0" borderId="0" xfId="0" pivotButton="1"/>
    <xf numFmtId="0" fontId="0" fillId="0" borderId="0" xfId="0" applyAlignment="1">
      <alignment horizontal="left"/>
    </xf>
    <xf numFmtId="14" fontId="0" fillId="33" borderId="25" xfId="0" applyNumberFormat="1" applyFill="1" applyBorder="1"/>
    <xf numFmtId="0" fontId="18" fillId="0" borderId="0" xfId="0" applyFont="1"/>
    <xf numFmtId="0" fontId="0" fillId="0" borderId="26"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[Cleaned_Netflix_Data.xlsx]Dataset Overview2!PivotTable11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'Dataset Overview2'!$G$3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10-4A4E-93E4-B7300111F0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10-4A4E-93E4-B7300111F0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10-4A4E-93E4-B7300111F0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10-4A4E-93E4-B7300111F0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10-4A4E-93E4-B7300111F00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010-4A4E-93E4-B7300111F00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010-4A4E-93E4-B7300111F00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010-4A4E-93E4-B7300111F00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010-4A4E-93E4-B7300111F00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010-4A4E-93E4-B7300111F00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010-4A4E-93E4-B7300111F00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010-4A4E-93E4-B7300111F00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010-4A4E-93E4-B7300111F008}"/>
              </c:ext>
            </c:extLst>
          </c:dPt>
          <c:cat>
            <c:strRef>
              <c:f>'Dataset Overview2'!$F$4:$F$17</c:f>
              <c:strCache>
                <c:ptCount val="13"/>
                <c:pt idx="0">
                  <c:v>Australia</c:v>
                </c:pt>
                <c:pt idx="1">
                  <c:v>Canada</c:v>
                </c:pt>
                <c:pt idx="2">
                  <c:v>France</c:v>
                </c:pt>
                <c:pt idx="3">
                  <c:v>Germany</c:v>
                </c:pt>
                <c:pt idx="4">
                  <c:v>India</c:v>
                </c:pt>
                <c:pt idx="5">
                  <c:v>Japan</c:v>
                </c:pt>
                <c:pt idx="6">
                  <c:v>South Korea</c:v>
                </c:pt>
                <c:pt idx="7">
                  <c:v>Spain</c:v>
                </c:pt>
                <c:pt idx="8">
                  <c:v>U.S.</c:v>
                </c:pt>
                <c:pt idx="9">
                  <c:v>United Kingdom</c:v>
                </c:pt>
                <c:pt idx="10">
                  <c:v>United States</c:v>
                </c:pt>
                <c:pt idx="11">
                  <c:v>Unknown</c:v>
                </c:pt>
                <c:pt idx="12">
                  <c:v>Usa</c:v>
                </c:pt>
              </c:strCache>
            </c:strRef>
          </c:cat>
          <c:val>
            <c:numRef>
              <c:f>'Dataset Overview2'!$G$4:$G$17</c:f>
              <c:numCache>
                <c:formatCode>General</c:formatCode>
                <c:ptCount val="13"/>
                <c:pt idx="0">
                  <c:v>133</c:v>
                </c:pt>
                <c:pt idx="1">
                  <c:v>112</c:v>
                </c:pt>
                <c:pt idx="2">
                  <c:v>173</c:v>
                </c:pt>
                <c:pt idx="3">
                  <c:v>152</c:v>
                </c:pt>
                <c:pt idx="4">
                  <c:v>136</c:v>
                </c:pt>
                <c:pt idx="5">
                  <c:v>163</c:v>
                </c:pt>
                <c:pt idx="6">
                  <c:v>120</c:v>
                </c:pt>
                <c:pt idx="7">
                  <c:v>162</c:v>
                </c:pt>
                <c:pt idx="8">
                  <c:v>135</c:v>
                </c:pt>
                <c:pt idx="9">
                  <c:v>152</c:v>
                </c:pt>
                <c:pt idx="10">
                  <c:v>133</c:v>
                </c:pt>
                <c:pt idx="11">
                  <c:v>274</c:v>
                </c:pt>
                <c:pt idx="12">
                  <c:v>155</c:v>
                </c:pt>
              </c:numCache>
            </c:numRef>
          </c:val>
          <c:extLst>
            <c:ext xmlns:c16="http://schemas.microsoft.com/office/drawing/2014/chart" uri="{C3380CC4-5D6E-409C-BE32-E72D297353CC}">
              <c16:uniqueId val="{00000000-5A95-4AE2-B8BA-0EC2A9F84C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[Cleaned_Netflix_Data.xlsx]Dataset Overview2!PivotTable10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'Dataset Overview2'!$J$3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65-402C-84EE-767A7EDA6E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65-402C-84EE-767A7EDA6E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65-402C-84EE-767A7EDA6E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65-402C-84EE-767A7EDA6E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65-402C-84EE-767A7EDA6EEE}"/>
              </c:ext>
            </c:extLst>
          </c:dPt>
          <c:cat>
            <c:strRef>
              <c:f>'Dataset Overview2'!$I$4:$I$9</c:f>
              <c:strCache>
                <c:ptCount val="5"/>
                <c:pt idx="0">
                  <c:v>Laptop</c:v>
                </c:pt>
                <c:pt idx="1">
                  <c:v>Mobile</c:v>
                </c:pt>
                <c:pt idx="2">
                  <c:v>Tablet</c:v>
                </c:pt>
                <c:pt idx="3">
                  <c:v>Tv</c:v>
                </c:pt>
                <c:pt idx="4">
                  <c:v>Unknown</c:v>
                </c:pt>
              </c:strCache>
            </c:strRef>
          </c:cat>
          <c:val>
            <c:numRef>
              <c:f>'Dataset Overview2'!$J$4:$J$9</c:f>
              <c:numCache>
                <c:formatCode>General</c:formatCode>
                <c:ptCount val="5"/>
                <c:pt idx="0">
                  <c:v>424</c:v>
                </c:pt>
                <c:pt idx="1">
                  <c:v>388</c:v>
                </c:pt>
                <c:pt idx="2">
                  <c:v>388</c:v>
                </c:pt>
                <c:pt idx="3">
                  <c:v>403</c:v>
                </c:pt>
                <c:pt idx="4">
                  <c:v>397</c:v>
                </c:pt>
              </c:numCache>
            </c:numRef>
          </c:val>
          <c:extLst>
            <c:ext xmlns:c16="http://schemas.microsoft.com/office/drawing/2014/chart" uri="{C3380CC4-5D6E-409C-BE32-E72D297353CC}">
              <c16:uniqueId val="{00000000-DDD4-43A0-AA45-04EE266C1A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[Cleaned_Netflix_Data.xlsx]Dataset Overview2!PivotTable15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wise content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pieChart>
        <c:varyColors val="1"/>
        <c:ser>
          <c:idx val="0"/>
          <c:order val="0"/>
          <c:tx>
            <c:strRef>
              <c:f>'Dataset Overview2'!$P$3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98-46CA-A1A8-3EE0987108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98-46CA-A1A8-3EE0987108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98-46CA-A1A8-3EE0987108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D98-46CA-A1A8-3EE0987108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D98-46CA-A1A8-3EE0987108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D98-46CA-A1A8-3EE09871087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D98-46CA-A1A8-3EE09871087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D98-46CA-A1A8-3EE09871087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D98-46CA-A1A8-3EE09871087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D98-46CA-A1A8-3EE09871087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D98-46CA-A1A8-3EE09871087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D98-46CA-A1A8-3EE09871087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D98-46CA-A1A8-3EE09871087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D98-46CA-A1A8-3EE09871087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D98-46CA-A1A8-3EE09871087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D98-46CA-A1A8-3EE09871087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D98-46CA-A1A8-3EE09871087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D98-46CA-A1A8-3EE09871087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D98-46CA-A1A8-3EE09871087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D98-46CA-A1A8-3EE09871087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D98-46CA-A1A8-3EE09871087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7D98-46CA-A1A8-3EE09871087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7D98-46CA-A1A8-3EE09871087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7D98-46CA-A1A8-3EE09871087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7D98-46CA-A1A8-3EE09871087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7D98-46CA-A1A8-3EE09871087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7D98-46CA-A1A8-3EE09871087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7D98-46CA-A1A8-3EE09871087F}"/>
              </c:ext>
            </c:extLst>
          </c:dPt>
          <c:cat>
            <c:strRef>
              <c:f>'Dataset Overview2'!$O$4:$O$32</c:f>
              <c:strCache>
                <c:ptCount val="28"/>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2032</c:v>
                </c:pt>
              </c:strCache>
            </c:strRef>
          </c:cat>
          <c:val>
            <c:numRef>
              <c:f>'Dataset Overview2'!$P$4:$P$32</c:f>
              <c:numCache>
                <c:formatCode>General</c:formatCode>
                <c:ptCount val="28"/>
                <c:pt idx="0">
                  <c:v>63</c:v>
                </c:pt>
                <c:pt idx="1">
                  <c:v>68</c:v>
                </c:pt>
                <c:pt idx="2">
                  <c:v>72</c:v>
                </c:pt>
                <c:pt idx="3">
                  <c:v>81</c:v>
                </c:pt>
                <c:pt idx="4">
                  <c:v>75</c:v>
                </c:pt>
                <c:pt idx="5">
                  <c:v>75</c:v>
                </c:pt>
                <c:pt idx="6">
                  <c:v>82</c:v>
                </c:pt>
                <c:pt idx="7">
                  <c:v>80</c:v>
                </c:pt>
                <c:pt idx="8">
                  <c:v>67</c:v>
                </c:pt>
                <c:pt idx="9">
                  <c:v>71</c:v>
                </c:pt>
                <c:pt idx="10">
                  <c:v>71</c:v>
                </c:pt>
                <c:pt idx="11">
                  <c:v>82</c:v>
                </c:pt>
                <c:pt idx="12">
                  <c:v>69</c:v>
                </c:pt>
                <c:pt idx="13">
                  <c:v>72</c:v>
                </c:pt>
                <c:pt idx="14">
                  <c:v>71</c:v>
                </c:pt>
                <c:pt idx="15">
                  <c:v>72</c:v>
                </c:pt>
                <c:pt idx="16">
                  <c:v>80</c:v>
                </c:pt>
                <c:pt idx="17">
                  <c:v>80</c:v>
                </c:pt>
                <c:pt idx="18">
                  <c:v>77</c:v>
                </c:pt>
                <c:pt idx="19">
                  <c:v>75</c:v>
                </c:pt>
                <c:pt idx="20">
                  <c:v>83</c:v>
                </c:pt>
                <c:pt idx="21">
                  <c:v>54</c:v>
                </c:pt>
                <c:pt idx="22">
                  <c:v>48</c:v>
                </c:pt>
                <c:pt idx="23">
                  <c:v>75</c:v>
                </c:pt>
                <c:pt idx="24">
                  <c:v>71</c:v>
                </c:pt>
                <c:pt idx="25">
                  <c:v>72</c:v>
                </c:pt>
                <c:pt idx="26">
                  <c:v>69</c:v>
                </c:pt>
                <c:pt idx="27">
                  <c:v>45</c:v>
                </c:pt>
              </c:numCache>
            </c:numRef>
          </c:val>
          <c:extLst>
            <c:ext xmlns:c16="http://schemas.microsoft.com/office/drawing/2014/chart" uri="{C3380CC4-5D6E-409C-BE32-E72D297353CC}">
              <c16:uniqueId val="{00000000-7D5A-42B9-B4E8-0695CF1A1B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[Cleaned_Netflix_Data.xlsx]Dataset Overview2!PivotTable13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'Dataset Overview2'!$M$12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59-4305-963D-0D5CC467F4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59-4305-963D-0D5CC467F4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59-4305-963D-0D5CC467F4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859-4305-963D-0D5CC467F4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859-4305-963D-0D5CC467F4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859-4305-963D-0D5CC467F4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859-4305-963D-0D5CC467F4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859-4305-963D-0D5CC467F4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859-4305-963D-0D5CC467F4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859-4305-963D-0D5CC467F4CB}"/>
              </c:ext>
            </c:extLst>
          </c:dPt>
          <c:cat>
            <c:strRef>
              <c:f>'Dataset Overview2'!$L$13:$L$23</c:f>
              <c:strCache>
                <c:ptCount val="10"/>
                <c:pt idx="0">
                  <c:v>G</c:v>
                </c:pt>
                <c:pt idx="1">
                  <c:v>PG</c:v>
                </c:pt>
                <c:pt idx="2">
                  <c:v>PG-13</c:v>
                </c:pt>
                <c:pt idx="3">
                  <c:v>R</c:v>
                </c:pt>
                <c:pt idx="4">
                  <c:v>TV-14</c:v>
                </c:pt>
                <c:pt idx="5">
                  <c:v>TV-G</c:v>
                </c:pt>
                <c:pt idx="6">
                  <c:v>TV-MA</c:v>
                </c:pt>
                <c:pt idx="7">
                  <c:v>TV-PG</c:v>
                </c:pt>
                <c:pt idx="8">
                  <c:v>TV-Y</c:v>
                </c:pt>
                <c:pt idx="9">
                  <c:v>Unknown</c:v>
                </c:pt>
              </c:strCache>
            </c:strRef>
          </c:cat>
          <c:val>
            <c:numRef>
              <c:f>'Dataset Overview2'!$M$13:$M$23</c:f>
              <c:numCache>
                <c:formatCode>General</c:formatCode>
                <c:ptCount val="10"/>
                <c:pt idx="0">
                  <c:v>189</c:v>
                </c:pt>
                <c:pt idx="1">
                  <c:v>185</c:v>
                </c:pt>
                <c:pt idx="2">
                  <c:v>188</c:v>
                </c:pt>
                <c:pt idx="3">
                  <c:v>197</c:v>
                </c:pt>
                <c:pt idx="4">
                  <c:v>159</c:v>
                </c:pt>
                <c:pt idx="5">
                  <c:v>184</c:v>
                </c:pt>
                <c:pt idx="6">
                  <c:v>363</c:v>
                </c:pt>
                <c:pt idx="7">
                  <c:v>181</c:v>
                </c:pt>
                <c:pt idx="8">
                  <c:v>170</c:v>
                </c:pt>
                <c:pt idx="9">
                  <c:v>184</c:v>
                </c:pt>
              </c:numCache>
            </c:numRef>
          </c:val>
          <c:extLst>
            <c:ext xmlns:c16="http://schemas.microsoft.com/office/drawing/2014/chart" uri="{C3380CC4-5D6E-409C-BE32-E72D297353CC}">
              <c16:uniqueId val="{00000000-A6B5-4C44-9FCA-16175D08F2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[Cleaned_Netflix_Data.xlsx]Dataset Overview2!PivotTable12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'Dataset Overview2'!$J$22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4D-45A3-A965-85E61293ED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4D-45A3-A965-85E61293ED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4D-45A3-A965-85E61293ED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A4D-45A3-A965-85E61293ED5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A4D-45A3-A965-85E61293ED5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A4D-45A3-A965-85E61293ED5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A4D-45A3-A965-85E61293ED5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A4D-45A3-A965-85E61293ED5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A4D-45A3-A965-85E61293ED5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A4D-45A3-A965-85E61293ED5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A4D-45A3-A965-85E61293ED5F}"/>
              </c:ext>
            </c:extLst>
          </c:dPt>
          <c:cat>
            <c:strRef>
              <c:f>'Dataset Overview2'!$I$23:$I$34</c:f>
              <c:strCache>
                <c:ptCount val="11"/>
                <c:pt idx="0">
                  <c:v>Action</c:v>
                </c:pt>
                <c:pt idx="1">
                  <c:v>Animation</c:v>
                </c:pt>
                <c:pt idx="2">
                  <c:v>Comedy</c:v>
                </c:pt>
                <c:pt idx="3">
                  <c:v>Crime</c:v>
                </c:pt>
                <c:pt idx="4">
                  <c:v>Documentary</c:v>
                </c:pt>
                <c:pt idx="5">
                  <c:v>Drama</c:v>
                </c:pt>
                <c:pt idx="6">
                  <c:v>Horror</c:v>
                </c:pt>
                <c:pt idx="7">
                  <c:v>Romance</c:v>
                </c:pt>
                <c:pt idx="8">
                  <c:v>Sci-Fi</c:v>
                </c:pt>
                <c:pt idx="9">
                  <c:v>Thriller</c:v>
                </c:pt>
                <c:pt idx="10">
                  <c:v>Unknown</c:v>
                </c:pt>
              </c:strCache>
            </c:strRef>
          </c:cat>
          <c:val>
            <c:numRef>
              <c:f>'Dataset Overview2'!$J$23:$J$34</c:f>
              <c:numCache>
                <c:formatCode>General</c:formatCode>
                <c:ptCount val="11"/>
                <c:pt idx="0">
                  <c:v>165</c:v>
                </c:pt>
                <c:pt idx="1">
                  <c:v>168</c:v>
                </c:pt>
                <c:pt idx="2">
                  <c:v>300</c:v>
                </c:pt>
                <c:pt idx="3">
                  <c:v>170</c:v>
                </c:pt>
                <c:pt idx="4">
                  <c:v>152</c:v>
                </c:pt>
                <c:pt idx="5">
                  <c:v>294</c:v>
                </c:pt>
                <c:pt idx="6">
                  <c:v>152</c:v>
                </c:pt>
                <c:pt idx="7">
                  <c:v>148</c:v>
                </c:pt>
                <c:pt idx="8">
                  <c:v>149</c:v>
                </c:pt>
                <c:pt idx="9">
                  <c:v>161</c:v>
                </c:pt>
                <c:pt idx="10">
                  <c:v>141</c:v>
                </c:pt>
              </c:numCache>
            </c:numRef>
          </c:val>
          <c:extLst>
            <c:ext xmlns:c16="http://schemas.microsoft.com/office/drawing/2014/chart" uri="{C3380CC4-5D6E-409C-BE32-E72D297353CC}">
              <c16:uniqueId val="{00000000-EFF1-4276-81E0-DF57E408D1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[Cleaned_Netflix_Data.xlsx]Dataset Overview2!PivotTable16</c:name>
    <c:fmtId val="17"/>
  </c:pivotSource>
  <c:chart>
    <c:title>
      <c:layout>
        <c:manualLayout>
          <c:xMode val="edge"/>
          <c:yMode val="edge"/>
          <c:x val="0.53597528827403884"/>
          <c:y val="7.40551239413483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 Overview2'!$C$25</c:f>
              <c:strCache>
                <c:ptCount val="1"/>
                <c:pt idx="0">
                  <c:v>Total</c:v>
                </c:pt>
              </c:strCache>
            </c:strRef>
          </c:tx>
          <c:spPr>
            <a:solidFill>
              <a:schemeClr val="accent1"/>
            </a:solidFill>
            <a:ln>
              <a:noFill/>
            </a:ln>
            <a:effectLst/>
          </c:spPr>
          <c:invertIfNegative val="0"/>
          <c:cat>
            <c:strRef>
              <c:f>'Dataset Overview2'!$B$26:$B$29</c:f>
              <c:strCache>
                <c:ptCount val="3"/>
                <c:pt idx="0">
                  <c:v>Movie</c:v>
                </c:pt>
                <c:pt idx="1">
                  <c:v>TV Show</c:v>
                </c:pt>
                <c:pt idx="2">
                  <c:v>Unknown</c:v>
                </c:pt>
              </c:strCache>
            </c:strRef>
          </c:cat>
          <c:val>
            <c:numRef>
              <c:f>'Dataset Overview2'!$C$26:$C$29</c:f>
              <c:numCache>
                <c:formatCode>General</c:formatCode>
                <c:ptCount val="3"/>
                <c:pt idx="0">
                  <c:v>969</c:v>
                </c:pt>
                <c:pt idx="1">
                  <c:v>707</c:v>
                </c:pt>
                <c:pt idx="2">
                  <c:v>324</c:v>
                </c:pt>
              </c:numCache>
            </c:numRef>
          </c:val>
          <c:extLst>
            <c:ext xmlns:c16="http://schemas.microsoft.com/office/drawing/2014/chart" uri="{C3380CC4-5D6E-409C-BE32-E72D297353CC}">
              <c16:uniqueId val="{00000000-D67C-47EA-BBB6-0BEDCE3C562F}"/>
            </c:ext>
          </c:extLst>
        </c:ser>
        <c:dLbls>
          <c:showLegendKey val="0"/>
          <c:showVal val="0"/>
          <c:showCatName val="0"/>
          <c:showSerName val="0"/>
          <c:showPercent val="0"/>
          <c:showBubbleSize val="0"/>
        </c:dLbls>
        <c:gapWidth val="219"/>
        <c:overlap val="-27"/>
        <c:axId val="1346154479"/>
        <c:axId val="1351133711"/>
      </c:barChart>
      <c:catAx>
        <c:axId val="134615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133711"/>
        <c:crosses val="autoZero"/>
        <c:auto val="1"/>
        <c:lblAlgn val="ctr"/>
        <c:lblOffset val="100"/>
        <c:noMultiLvlLbl val="0"/>
      </c:catAx>
      <c:valAx>
        <c:axId val="135113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15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152400</xdr:colOff>
      <xdr:row>18</xdr:row>
      <xdr:rowOff>107950</xdr:rowOff>
    </xdr:from>
    <xdr:to>
      <xdr:col>7</xdr:col>
      <xdr:colOff>330200</xdr:colOff>
      <xdr:row>28</xdr:row>
      <xdr:rowOff>12700</xdr:rowOff>
    </xdr:to>
    <xdr:graphicFrame macro="">
      <xdr:nvGraphicFramePr>
        <xdr:cNvPr id="5" name="Chart 4">
          <a:extLst>
            <a:ext uri="{FF2B5EF4-FFF2-40B4-BE49-F238E27FC236}">
              <a16:creationId xmlns:a16="http://schemas.microsoft.com/office/drawing/2014/main" id="{E7195AA3-E568-A41A-4987-866717667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9</xdr:row>
      <xdr:rowOff>142875</xdr:rowOff>
    </xdr:from>
    <xdr:to>
      <xdr:col>10</xdr:col>
      <xdr:colOff>57150</xdr:colOff>
      <xdr:row>17</xdr:row>
      <xdr:rowOff>69850</xdr:rowOff>
    </xdr:to>
    <xdr:graphicFrame macro="">
      <xdr:nvGraphicFramePr>
        <xdr:cNvPr id="6" name="Chart 5">
          <a:extLst>
            <a:ext uri="{FF2B5EF4-FFF2-40B4-BE49-F238E27FC236}">
              <a16:creationId xmlns:a16="http://schemas.microsoft.com/office/drawing/2014/main" id="{82FA9591-D5CE-7A52-08F7-27F174D9B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514350</xdr:colOff>
      <xdr:row>1</xdr:row>
      <xdr:rowOff>177799</xdr:rowOff>
    </xdr:from>
    <xdr:to>
      <xdr:col>13</xdr:col>
      <xdr:colOff>330200</xdr:colOff>
      <xdr:row>8</xdr:row>
      <xdr:rowOff>196850</xdr:rowOff>
    </xdr:to>
    <xdr:graphicFrame macro="">
      <xdr:nvGraphicFramePr>
        <xdr:cNvPr id="8" name="Chart 7">
          <a:extLst>
            <a:ext uri="{FF2B5EF4-FFF2-40B4-BE49-F238E27FC236}">
              <a16:creationId xmlns:a16="http://schemas.microsoft.com/office/drawing/2014/main" id="{008F6885-3EB1-16BE-1EC6-F88529D7E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6349</xdr:rowOff>
    </xdr:from>
    <xdr:to>
      <xdr:col>12</xdr:col>
      <xdr:colOff>1079500</xdr:colOff>
      <xdr:row>33</xdr:row>
      <xdr:rowOff>50800</xdr:rowOff>
    </xdr:to>
    <xdr:graphicFrame macro="">
      <xdr:nvGraphicFramePr>
        <xdr:cNvPr id="9" name="Chart 8">
          <a:extLst>
            <a:ext uri="{FF2B5EF4-FFF2-40B4-BE49-F238E27FC236}">
              <a16:creationId xmlns:a16="http://schemas.microsoft.com/office/drawing/2014/main" id="{C1AC3FF3-E471-62BA-46A7-6E39E495D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34636</xdr:colOff>
      <xdr:row>31</xdr:row>
      <xdr:rowOff>33770</xdr:rowOff>
    </xdr:from>
    <xdr:to>
      <xdr:col>7</xdr:col>
      <xdr:colOff>327121</xdr:colOff>
      <xdr:row>40</xdr:row>
      <xdr:rowOff>19242</xdr:rowOff>
    </xdr:to>
    <xdr:graphicFrame macro="">
      <xdr:nvGraphicFramePr>
        <xdr:cNvPr id="10" name="Chart 9">
          <a:extLst>
            <a:ext uri="{FF2B5EF4-FFF2-40B4-BE49-F238E27FC236}">
              <a16:creationId xmlns:a16="http://schemas.microsoft.com/office/drawing/2014/main" id="{AE418214-BDBD-CD7D-346F-FDEADB424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333895</xdr:colOff>
      <xdr:row>14</xdr:row>
      <xdr:rowOff>170782</xdr:rowOff>
    </xdr:from>
    <xdr:to>
      <xdr:col>3</xdr:col>
      <xdr:colOff>177931</xdr:colOff>
      <xdr:row>22</xdr:row>
      <xdr:rowOff>41197</xdr:rowOff>
    </xdr:to>
    <xdr:graphicFrame macro="">
      <xdr:nvGraphicFramePr>
        <xdr:cNvPr id="2" name="Chart 1">
          <a:extLst>
            <a:ext uri="{FF2B5EF4-FFF2-40B4-BE49-F238E27FC236}">
              <a16:creationId xmlns:a16="http://schemas.microsoft.com/office/drawing/2014/main" id="{D48369F6-9320-10D2-AD9B-33CE60F17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mukh Koyya" refreshedDate="46235.646152083333" createdVersion="8" refreshedVersion="8" minRefreshableVersion="3" recordCount="2000" xr:uid="{62941CF0-955D-4F20-AFC2-43E09C09C453}">
  <cacheSource type="worksheet">
    <worksheetSource name="Netflix_Cleaned"/>
  </cacheSource>
  <cacheFields count="16">
    <cacheField name="show_id" numFmtId="0">
      <sharedItems count="2000">
        <s v="S2794"/>
        <s v="S2888"/>
        <s v="S2113"/>
        <s v="S2530"/>
        <s v="S1346"/>
        <s v="S1929"/>
        <s v="S1028"/>
        <s v="S2121"/>
        <s v="S1543"/>
        <s v="S1972"/>
        <s v="S1783"/>
        <s v="S2618"/>
        <s v="S2846"/>
        <s v="S2666"/>
        <s v="S2317"/>
        <s v="S2038"/>
        <s v="S2290"/>
        <s v="S2788"/>
        <s v="S2176"/>
        <s v="S2956"/>
        <s v="S2411"/>
        <s v="S1113"/>
        <s v="S1312"/>
        <s v="S1060"/>
        <s v="S2732"/>
        <s v="S1617"/>
        <s v="S2044"/>
        <s v="S2796"/>
        <s v="S2031"/>
        <s v="S1741"/>
        <s v="S2984"/>
        <s v="S1649"/>
        <s v="S2715"/>
        <s v="S2746"/>
        <s v="S1394"/>
        <s v="S1159"/>
        <s v="S2891"/>
        <s v="S2600"/>
        <s v="S1822"/>
        <s v="S1184"/>
        <s v="S2741"/>
        <s v="S2088"/>
        <s v="S2372"/>
        <s v="S2781"/>
        <s v="S2962"/>
        <s v="S1955"/>
        <s v="S2400"/>
        <s v="S2537"/>
        <s v="S1441"/>
        <s v="S2165"/>
        <s v="S1792"/>
        <s v="S2215"/>
        <s v="S2565"/>
        <s v="S2789"/>
        <s v="S2039"/>
        <s v="S2376"/>
        <s v="S2995"/>
        <s v="S1967"/>
        <s v="S2752"/>
        <s v="S2711"/>
        <s v="S1923"/>
        <s v="S1370"/>
        <s v="S2709"/>
        <s v="S2949"/>
        <s v="S2132"/>
        <s v="S2086"/>
        <s v="S2261"/>
        <s v="S2883"/>
        <s v="S1291"/>
        <s v="S1630"/>
        <s v="S1799"/>
        <s v="S2538"/>
        <s v="S2831"/>
        <s v="S1818"/>
        <s v="S2907"/>
        <s v="S1599"/>
        <s v="S1724"/>
        <s v="S1726"/>
        <s v="S1850"/>
        <s v="S1933"/>
        <s v="S1505"/>
        <s v="S2349"/>
        <s v="S1698"/>
        <s v="S2030"/>
        <s v="S2168"/>
        <s v="S1938"/>
        <s v="S1504"/>
        <s v="S2585"/>
        <s v="S2233"/>
        <s v="S1401"/>
        <s v="S2125"/>
        <s v="S2635"/>
        <s v="S2966"/>
        <s v="S1927"/>
        <s v="S2816"/>
        <s v="S1481"/>
        <s v="S1769"/>
        <s v="S2662"/>
        <s v="S2211"/>
        <s v="S1789"/>
        <s v="S2613"/>
        <s v="S1181"/>
        <s v="S2620"/>
        <s v="S2105"/>
        <s v="S2106"/>
        <s v="S2150"/>
        <s v="S1256"/>
        <s v="S2368"/>
        <s v="S1228"/>
        <s v="S1900"/>
        <s v="S2919"/>
        <s v="S2602"/>
        <s v="S2178"/>
        <s v="S1574"/>
        <s v="S1098"/>
        <s v="S1836"/>
        <s v="S1886"/>
        <s v="S2458"/>
        <s v="S1825"/>
        <s v="S1557"/>
        <s v="S1987"/>
        <s v="S2850"/>
        <s v="S2855"/>
        <s v="S1961"/>
        <s v="S2023"/>
        <s v="S2898"/>
        <s v="S1210"/>
        <s v="S1188"/>
        <s v="S1761"/>
        <s v="S2501"/>
        <s v="S2476"/>
        <s v="S1277"/>
        <s v="S1622"/>
        <s v="S2766"/>
        <s v="S1975"/>
        <s v="S2967"/>
        <s v="S2188"/>
        <s v="S1250"/>
        <s v="S2630"/>
        <s v="S2133"/>
        <s v="S2421"/>
        <s v="S2643"/>
        <s v="S2965"/>
        <s v="S2467"/>
        <s v="S1359"/>
        <s v="S1360"/>
        <s v="S2722"/>
        <s v="S2952"/>
        <s v="S1315"/>
        <s v="S1620"/>
        <s v="S2299"/>
        <s v="S1853"/>
        <s v="S1045"/>
        <s v="S2440"/>
        <s v="S1166"/>
        <s v="S2179"/>
        <s v="S1489"/>
        <s v="S1564"/>
        <s v="S1885"/>
        <s v="S2064"/>
        <s v="S1119"/>
        <s v="S2445"/>
        <s v="S1958"/>
        <s v="S2380"/>
        <s v="S2026"/>
        <s v="S1682"/>
        <s v="S1022"/>
        <s v="S2990"/>
        <s v="S1061"/>
        <s v="S1423"/>
        <s v="S1372"/>
        <s v="S1819"/>
        <s v="S1199"/>
        <s v="S1136"/>
        <s v="S1327"/>
        <s v="S1057"/>
        <s v="S2049"/>
        <s v="S2500"/>
        <s v="S2418"/>
        <s v="S1371"/>
        <s v="S1305"/>
        <s v="S2767"/>
        <s v="S2140"/>
        <s v="S1874"/>
        <s v="S2018"/>
        <s v="S1292"/>
        <s v="S1090"/>
        <s v="S2141"/>
        <s v="S2046"/>
        <s v="S2960"/>
        <s v="S1379"/>
        <s v="S1631"/>
        <s v="S2148"/>
        <s v="S1337"/>
        <s v="S2824"/>
        <s v="S2935"/>
        <s v="S1030"/>
        <s v="S2397"/>
        <s v="S2881"/>
        <s v="S1954"/>
        <s v="S1903"/>
        <s v="S2325"/>
        <s v="S2772"/>
        <s v="S2829"/>
        <s v="S1469"/>
        <s v="S1703"/>
        <s v="S1823"/>
        <s v="S2459"/>
        <s v="S1962"/>
        <s v="S2302"/>
        <s v="S1912"/>
        <s v="S2636"/>
        <s v="S1952"/>
        <s v="S1610"/>
        <s v="S2333"/>
        <s v="S1037"/>
        <s v="S1821"/>
        <s v="S2833"/>
        <s v="S2873"/>
        <s v="S2797"/>
        <s v="S2331"/>
        <s v="S1486"/>
        <s v="S2687"/>
        <s v="S1653"/>
        <s v="S1141"/>
        <s v="S1208"/>
        <s v="S1525"/>
        <s v="S2231"/>
        <s v="S1604"/>
        <s v="S2270"/>
        <s v="S1636"/>
        <s v="S1353"/>
        <s v="S1946"/>
        <s v="S2499"/>
        <s v="S2599"/>
        <s v="S1461"/>
        <s v="S2469"/>
        <s v="S1251"/>
        <s v="S2813"/>
        <s v="S2698"/>
        <s v="S1623"/>
        <s v="S2377"/>
        <s v="S2542"/>
        <s v="S1660"/>
        <s v="S1893"/>
        <s v="S2708"/>
        <s v="S1815"/>
        <s v="S2080"/>
        <s v="S1189"/>
        <s v="S2415"/>
        <s v="S1464"/>
        <s v="S2063"/>
        <s v="S2574"/>
        <s v="S2236"/>
        <s v="S2547"/>
        <s v="S1303"/>
        <s v="S2625"/>
        <s v="S1687"/>
        <s v="S1444"/>
        <s v="S2676"/>
        <s v="S1978"/>
        <s v="S1173"/>
        <s v="S2637"/>
        <s v="S1751"/>
        <s v="S1232"/>
        <s v="S1334"/>
        <s v="S2845"/>
        <s v="S1791"/>
        <s v="S2145"/>
        <s v="S2608"/>
        <s v="S1861"/>
        <s v="S2128"/>
        <s v="S2751"/>
        <s v="S2408"/>
        <s v="S2897"/>
        <s v="S2392"/>
        <s v="S1042"/>
        <s v="S2110"/>
        <s v="S2426"/>
        <s v="S1883"/>
        <s v="S1948"/>
        <s v="S1568"/>
        <s v="S1618"/>
        <s v="S2713"/>
        <s v="S1402"/>
        <s v="S1969"/>
        <s v="S1076"/>
        <s v="S2498"/>
        <s v="S2463"/>
        <s v="S2658"/>
        <s v="S1419"/>
        <s v="S1841"/>
        <s v="S2226"/>
        <s v="S1392"/>
        <s v="S1396"/>
        <s v="S1468"/>
        <s v="S1339"/>
        <s v="S2442"/>
        <s v="S1773"/>
        <s v="S1288"/>
        <s v="S1095"/>
        <s v="S2073"/>
        <s v="S2642"/>
        <s v="S1907"/>
        <s v="S1127"/>
        <s v="S1688"/>
        <s v="S1248"/>
        <s v="S1693"/>
        <s v="S2645"/>
        <s v="S1129"/>
        <s v="S2402"/>
        <s v="S2470"/>
        <s v="S1296"/>
        <s v="S2126"/>
        <s v="S1079"/>
        <s v="S1247"/>
        <s v="S2284"/>
        <s v="S1220"/>
        <s v="S2335"/>
        <s v="S1471"/>
        <s v="S1576"/>
        <s v="S1808"/>
        <s v="S2289"/>
        <s v="S2686"/>
        <s v="S2269"/>
        <s v="S2554"/>
        <s v="S2245"/>
        <s v="S2273"/>
        <s v="S1073"/>
        <s v="S1483"/>
        <s v="S2961"/>
        <s v="S2991"/>
        <s v="S1373"/>
        <s v="S1563"/>
        <s v="S1482"/>
        <s v="S1386"/>
        <s v="S2783"/>
        <s v="S1340"/>
        <s v="S1931"/>
        <s v="S1078"/>
        <s v="S1465"/>
        <s v="S1691"/>
        <s v="S2171"/>
        <s v="S2563"/>
        <s v="S2877"/>
        <s v="S1387"/>
        <s v="S1202"/>
        <s v="S1096"/>
        <s v="S1895"/>
        <s v="S1451"/>
        <s v="S2558"/>
        <s v="S1400"/>
        <s v="S1665"/>
        <s v="S2005"/>
        <s v="S2139"/>
        <s v="S2266"/>
        <s v="S2303"/>
        <s v="S1448"/>
        <s v="S1788"/>
        <s v="S2720"/>
        <s v="S1226"/>
        <s v="S1343"/>
        <s v="S2230"/>
        <s v="S1707"/>
        <s v="S2827"/>
        <s v="S2609"/>
        <s v="S1282"/>
        <s v="S2177"/>
        <s v="S2084"/>
        <s v="S2217"/>
        <s v="S1953"/>
        <s v="S2826"/>
        <s v="S2508"/>
        <s v="S2670"/>
        <s v="S1408"/>
        <s v="S1063"/>
        <s v="S1619"/>
        <s v="S2482"/>
        <s v="S2809"/>
        <s v="S2409"/>
        <s v="S2474"/>
        <s v="S2329"/>
        <s v="S1062"/>
        <s v="S2164"/>
        <s v="S2584"/>
        <s v="S2617"/>
        <s v="S2529"/>
        <s v="S2963"/>
        <s v="S2864"/>
        <s v="S1067"/>
        <s v="S2975"/>
        <s v="S2398"/>
        <s v="S1297"/>
        <s v="S2629"/>
        <s v="S2857"/>
        <s v="S2760"/>
        <s v="S2295"/>
        <s v="S1910"/>
        <s v="S2095"/>
        <s v="S1460"/>
        <s v="S2840"/>
        <s v="S2849"/>
        <s v="S1913"/>
        <s v="S1473"/>
        <s v="S2787"/>
        <s v="S1110"/>
        <s v="S1331"/>
        <s v="S1502"/>
        <s v="S1458"/>
        <s v="S2045"/>
        <s v="S2228"/>
        <s v="S1541"/>
        <s v="S2523"/>
        <s v="S1921"/>
        <s v="S2009"/>
        <s v="S1567"/>
        <s v="S2950"/>
        <s v="S1532"/>
        <s v="S2475"/>
        <s v="S2582"/>
        <s v="S1190"/>
        <s v="S1614"/>
        <s v="S1403"/>
        <s v="S1491"/>
        <s v="S1124"/>
        <s v="S1131"/>
        <s v="S2931"/>
        <s v="S1644"/>
        <s v="S2628"/>
        <s v="S1835"/>
        <s v="S1093"/>
        <s v="S1430"/>
        <s v="S1802"/>
        <s v="S2283"/>
        <s v="S2431"/>
        <s v="S2399"/>
        <s v="S2795"/>
        <s v="S1375"/>
        <s v="S2098"/>
        <s v="S1569"/>
        <s v="S1960"/>
        <s v="S1001"/>
        <s v="S1123"/>
        <s v="S1231"/>
        <s v="S1224"/>
        <s v="S1252"/>
        <s v="S1848"/>
        <s v="S1089"/>
        <s v="S1552"/>
        <s v="S2234"/>
        <s v="S1013"/>
        <s v="S1213"/>
        <s v="S1593"/>
        <s v="S1681"/>
        <s v="S2484"/>
        <s v="S1680"/>
        <s v="S1745"/>
        <s v="S2191"/>
        <s v="S1706"/>
        <s v="S2277"/>
        <s v="S2591"/>
        <s v="S2220"/>
        <s v="S2393"/>
        <s v="S2923"/>
        <s v="S2587"/>
        <s v="S2769"/>
        <s v="S1781"/>
        <s v="S2777"/>
        <s v="S1702"/>
        <s v="S2353"/>
        <s v="S2465"/>
        <s v="S2472"/>
        <s v="S2294"/>
        <s v="S2428"/>
        <s v="S2627"/>
        <s v="S2936"/>
        <s v="S2216"/>
        <s v="S2979"/>
        <s v="S2916"/>
        <s v="S1363"/>
        <s v="S2453"/>
        <s v="S2896"/>
        <s v="S1732"/>
        <s v="S1712"/>
        <s v="S2851"/>
        <s v="S1713"/>
        <s v="S1480"/>
        <s v="S2163"/>
        <s v="S1801"/>
        <s v="S1890"/>
        <s v="S2407"/>
        <s v="S1116"/>
        <s v="S1012"/>
        <s v="S2099"/>
        <s v="S1971"/>
        <s v="S2443"/>
        <s v="S1278"/>
        <s v="S2938"/>
        <s v="S1355"/>
        <s v="S2451"/>
        <s v="S1591"/>
        <s v="S2017"/>
        <s v="S2109"/>
        <s v="S1784"/>
        <s v="S1727"/>
        <s v="S1407"/>
        <s v="S2817"/>
        <s v="S1849"/>
        <s v="S2497"/>
        <s v="S1889"/>
        <s v="S2548"/>
        <s v="S2955"/>
        <s v="S1937"/>
        <s v="S2056"/>
        <s v="S2649"/>
        <s v="S2667"/>
        <s v="S1132"/>
        <s v="S1099"/>
        <s v="S2209"/>
        <s v="S2158"/>
        <s v="S2244"/>
        <s v="S1274"/>
        <s v="S2423"/>
        <s v="S2968"/>
        <s v="S2002"/>
        <s v="S1023"/>
        <s v="S1020"/>
        <s v="S1994"/>
        <s v="S2590"/>
        <s v="S1862"/>
        <s v="S1105"/>
        <s v="S1667"/>
        <s v="S1211"/>
        <s v="S1670"/>
        <s v="S2210"/>
        <s v="S1257"/>
        <s v="S1585"/>
        <s v="S2671"/>
        <s v="S1203"/>
        <s v="S2669"/>
        <s v="S2930"/>
        <s v="S1924"/>
        <s v="S2876"/>
        <s v="S1870"/>
        <s v="S1143"/>
        <s v="S1091"/>
        <s v="S1560"/>
        <s v="S1234"/>
        <s v="S1940"/>
        <s v="S1449"/>
        <s v="S1410"/>
        <s v="S1973"/>
        <s v="S1111"/>
        <s v="S2719"/>
        <s v="S2763"/>
        <s v="S1813"/>
        <s v="S1894"/>
        <s v="S2189"/>
        <s v="S1083"/>
        <s v="S2405"/>
        <s v="S1997"/>
        <s v="S2318"/>
        <s v="S2838"/>
        <s v="S2853"/>
        <s v="S2524"/>
        <s v="S2792"/>
        <s v="S1428"/>
        <s v="S1765"/>
        <s v="S2424"/>
        <s v="S1766"/>
        <s v="S1085"/>
        <s v="S1715"/>
        <s v="S1846"/>
        <s v="S2758"/>
        <s v="S1549"/>
        <s v="S1029"/>
        <s v="S1659"/>
        <s v="S1740"/>
        <s v="S1425"/>
        <s v="S2774"/>
        <s v="S1135"/>
        <s v="S2272"/>
        <s v="S1084"/>
        <s v="S1498"/>
        <s v="S2288"/>
        <s v="S1790"/>
        <s v="S2724"/>
        <s v="S1081"/>
        <s v="S2665"/>
        <s v="S2717"/>
        <s v="S1777"/>
        <s v="S2821"/>
        <s v="S2793"/>
        <s v="S2102"/>
        <s v="S2664"/>
        <s v="S1165"/>
        <s v="S2779"/>
        <s v="S2310"/>
        <s v="S1794"/>
        <s v="S1934"/>
        <s v="S2535"/>
        <s v="S1049"/>
        <s v="S1069"/>
        <s v="S2895"/>
        <s v="S1147"/>
        <s v="S2339"/>
        <s v="S2903"/>
        <s v="S2103"/>
        <s v="S2754"/>
        <s v="S1284"/>
        <s v="S2700"/>
        <s v="S2526"/>
        <s v="S1867"/>
        <s v="S1858"/>
        <s v="S1738"/>
        <s v="S2227"/>
        <s v="S2958"/>
        <s v="S2222"/>
        <s v="S2725"/>
        <s v="S2051"/>
        <s v="S1548"/>
        <s v="S2321"/>
        <s v="S2835"/>
        <s v="S1046"/>
        <s v="S2137"/>
        <s v="S2971"/>
        <s v="S1782"/>
        <s v="S1052"/>
        <s v="S2268"/>
        <s v="S2871"/>
        <s v="S2010"/>
        <s v="S1634"/>
        <s v="S2087"/>
        <s v="S1206"/>
        <s v="S2867"/>
        <s v="S1102"/>
        <s v="S2371"/>
        <s v="S1798"/>
        <s v="S1877"/>
        <s v="S1627"/>
        <s v="S2947"/>
        <s v="S2485"/>
        <s v="S2111"/>
        <s v="S1273"/>
        <s v="S1831"/>
        <s v="S2884"/>
        <s v="S1350"/>
        <s v="S1509"/>
        <s v="S1991"/>
        <s v="S2089"/>
        <s v="S2366"/>
        <s v="S1572"/>
        <s v="S1182"/>
        <s v="S1734"/>
        <s v="S2920"/>
        <s v="S1602"/>
        <s v="S2861"/>
        <s v="S2495"/>
        <s v="S2334"/>
        <s v="S1204"/>
        <s v="S2043"/>
        <s v="S1301"/>
        <s v="S1795"/>
        <s v="S1429"/>
        <s v="S1470"/>
        <s v="S2235"/>
        <s v="S2943"/>
        <s v="S1437"/>
        <s v="S1236"/>
        <s v="S2330"/>
        <s v="S1427"/>
        <s v="S2583"/>
        <s v="S2243"/>
        <s v="S2682"/>
        <s v="S2319"/>
        <s v="S1434"/>
        <s v="S1445"/>
        <s v="S1839"/>
        <s v="S1671"/>
        <s v="S1565"/>
        <s v="S2697"/>
        <s v="S1438"/>
        <s v="S1243"/>
        <s v="S2993"/>
        <s v="S1216"/>
        <s v="S1943"/>
        <s v="S1986"/>
        <s v="S2219"/>
        <s v="S1695"/>
        <s v="S2678"/>
        <s v="S1388"/>
        <s v="S1335"/>
        <s v="S1005"/>
        <s v="S2280"/>
        <s v="S2699"/>
        <s v="S2784"/>
        <s v="S2355"/>
        <s v="S2611"/>
        <s v="S1760"/>
        <s v="S1268"/>
        <s v="S1985"/>
        <s v="S2015"/>
        <s v="S2552"/>
        <s v="S2862"/>
        <s v="S1746"/>
        <s v="S1601"/>
        <s v="S2135"/>
        <s v="S2843"/>
        <s v="S1648"/>
        <s v="S1462"/>
        <s v="S1859"/>
        <s v="S2978"/>
        <s v="S1888"/>
        <s v="S2515"/>
        <s v="S1534"/>
        <s v="S1411"/>
        <s v="S1914"/>
        <s v="S2304"/>
        <s v="S2403"/>
        <s v="S2378"/>
        <s v="S2011"/>
        <s v="S2351"/>
        <s v="S2387"/>
        <s v="S2260"/>
        <s v="S1887"/>
        <s v="S2032"/>
        <s v="S2356"/>
        <s v="S1662"/>
        <s v="S1949"/>
        <s v="S2250"/>
        <s v="S1646"/>
        <s v="S1556"/>
        <s v="S2737"/>
        <s v="S2755"/>
        <s v="S1928"/>
        <s v="S1435"/>
        <s v="S2466"/>
        <s v="S1215"/>
        <s v="S1811"/>
        <s v="S2570"/>
        <s v="S1283"/>
        <s v="S2417"/>
        <s v="S1748"/>
        <s v="S1827"/>
        <s v="S1368"/>
        <s v="S1478"/>
        <s v="S2511"/>
        <s v="S1639"/>
        <s v="S1048"/>
        <s v="S2375"/>
        <s v="S2705"/>
        <s v="S1320"/>
        <s v="S2983"/>
        <s v="S1281"/>
        <s v="S2414"/>
        <s v="S2071"/>
        <s v="S2561"/>
        <s v="S2804"/>
        <s v="S1010"/>
        <s v="S2292"/>
        <s v="S1194"/>
        <s v="S2275"/>
        <s v="S1515"/>
        <s v="S1590"/>
        <s v="S1376"/>
        <s v="S2193"/>
        <s v="S2822"/>
        <s v="S2003"/>
        <s v="S1393"/>
        <s v="S1656"/>
        <s v="S1755"/>
        <s v="S1956"/>
        <s v="S2901"/>
        <s v="S1163"/>
        <s v="S1976"/>
        <s v="S1294"/>
        <s v="S2151"/>
        <s v="S2246"/>
        <s v="S1070"/>
        <s v="S2738"/>
        <s v="S1547"/>
        <s v="S2925"/>
        <s v="S1198"/>
        <s v="S1581"/>
        <s v="S2348"/>
        <s v="S2614"/>
        <s v="S1974"/>
        <s v="S2776"/>
        <s v="S2258"/>
        <s v="S2036"/>
        <s v="S1077"/>
        <s v="S2115"/>
        <s v="S2502"/>
        <s v="S2740"/>
        <s v="S1654"/>
        <s v="S1266"/>
        <s v="S2143"/>
        <s v="S2780"/>
        <s v="S1235"/>
        <s v="S1447"/>
        <s v="S1519"/>
        <s v="S1640"/>
        <s v="S1786"/>
        <s v="S1417"/>
        <s v="S2212"/>
        <s v="S2337"/>
        <s v="S1378"/>
        <s v="S2834"/>
        <s v="S2048"/>
        <s v="S1385"/>
        <s v="S2580"/>
        <s v="S2863"/>
        <s v="S1759"/>
        <s v="S2650"/>
        <s v="S2147"/>
        <s v="S2062"/>
        <s v="S2004"/>
        <s v="S2969"/>
        <s v="S1852"/>
        <s v="S1664"/>
        <s v="S2225"/>
        <s v="S2496"/>
        <s v="S1926"/>
        <s v="S2124"/>
        <s v="S2801"/>
        <s v="S1031"/>
        <s v="S1678"/>
        <s v="S2420"/>
        <s v="S2704"/>
        <s v="S1690"/>
        <s v="S1869"/>
        <s v="S1906"/>
        <s v="S2536"/>
        <s v="S2205"/>
        <s v="S1103"/>
        <s v="S2803"/>
        <s v="S1520"/>
        <s v="S1559"/>
        <s v="S1750"/>
        <s v="S1999"/>
        <s v="S1366"/>
        <s v="S2832"/>
        <s v="S1446"/>
        <s v="S1495"/>
        <s v="S2344"/>
        <s v="S1998"/>
        <s v="S2842"/>
        <s v="S2008"/>
        <s v="S2728"/>
        <s v="S1768"/>
        <s v="S2540"/>
        <s v="S1280"/>
        <s v="S1528"/>
        <s v="S1641"/>
        <s v="S1845"/>
        <s v="S2434"/>
        <s v="S2196"/>
        <s v="S2190"/>
        <s v="S2648"/>
        <s v="S1716"/>
        <s v="S2622"/>
        <s v="S1793"/>
        <s v="S1897"/>
        <s v="S2992"/>
        <s v="S1990"/>
        <s v="S1212"/>
        <s v="S1669"/>
        <s v="S2546"/>
        <s v="S2460"/>
        <s v="S1615"/>
        <s v="S2090"/>
        <s v="S2856"/>
        <s v="S2464"/>
        <s v="S1485"/>
        <s v="S2568"/>
        <s v="S1195"/>
        <s v="S2385"/>
        <s v="S2647"/>
        <s v="S1221"/>
        <s v="S1472"/>
        <s v="S1674"/>
        <s v="S1356"/>
        <s v="S1535"/>
        <s v="S2347"/>
        <s v="S1996"/>
        <s v="S1964"/>
        <s v="S2267"/>
        <s v="S1537"/>
        <s v="S1454"/>
        <s v="S1809"/>
        <s v="S2287"/>
        <s v="S1107"/>
        <s v="S2239"/>
        <s v="S1175"/>
        <s v="S2486"/>
        <s v="S2690"/>
        <s v="S1044"/>
        <s v="S2373"/>
        <s v="S1074"/>
        <s v="S2308"/>
        <s v="S1526"/>
        <s v="S2575"/>
        <s v="S1925"/>
        <s v="S2572"/>
        <s v="S2841"/>
        <s v="S1380"/>
        <s v="S2452"/>
        <s v="S1374"/>
        <s v="S2154"/>
        <s v="S2075"/>
        <s v="S2593"/>
        <s v="S1743"/>
        <s v="S2412"/>
        <s v="S1756"/>
        <s v="S1358"/>
        <s v="S2555"/>
        <s v="S2066"/>
        <s v="S2514"/>
        <s v="S2933"/>
        <s v="S1701"/>
        <s v="S2361"/>
        <s v="S1201"/>
        <s v="S2001"/>
        <s v="S1580"/>
        <s v="S2641"/>
        <s v="S1298"/>
        <s v="S2028"/>
        <s v="S2588"/>
        <s v="S2433"/>
        <s v="S2815"/>
        <s v="S2129"/>
        <s v="S1594"/>
        <s v="S2041"/>
        <s v="S1056"/>
        <s v="S1550"/>
        <s v="S1718"/>
        <s v="S1002"/>
        <s v="S2192"/>
        <s v="S1598"/>
        <s v="S1501"/>
        <s v="S2566"/>
        <s v="S2977"/>
        <s v="S2248"/>
        <s v="S1310"/>
        <s v="S1043"/>
        <s v="S1607"/>
        <s v="S2238"/>
        <s v="S1304"/>
        <s v="S1700"/>
        <s v="S2742"/>
        <s v="S2213"/>
        <s v="S1218"/>
        <s v="S1709"/>
        <s v="S1219"/>
        <s v="S1524"/>
        <s v="S2281"/>
        <s v="S2639"/>
        <s v="S2798"/>
        <s v="S1588"/>
        <s v="S1689"/>
        <s v="S2681"/>
        <s v="S1582"/>
        <s v="S1354"/>
        <s v="S1382"/>
        <s v="S1720"/>
        <s v="S2057"/>
        <s v="S2085"/>
        <s v="S1873"/>
        <s v="S2765"/>
        <s v="S2130"/>
        <s v="S1675"/>
        <s v="S2271"/>
        <s v="S2291"/>
        <s v="S2534"/>
        <s v="S2731"/>
        <s v="S2921"/>
        <s v="S1553"/>
        <s v="S1313"/>
        <s v="S1824"/>
        <s v="S2900"/>
        <s v="S1433"/>
        <s v="S1857"/>
        <s v="S2759"/>
        <s v="S2425"/>
        <s v="S1170"/>
        <s v="S1436"/>
        <s v="S2446"/>
        <s v="S2040"/>
        <s v="S2934"/>
        <s v="S1066"/>
        <s v="S1904"/>
        <s v="S2185"/>
        <s v="S1323"/>
        <s v="S2491"/>
        <s v="S1222"/>
        <s v="S1017"/>
        <s v="S1145"/>
        <s v="S2626"/>
        <s v="S1586"/>
        <s v="S2954"/>
        <s v="S2941"/>
        <s v="S1272"/>
        <s v="S1300"/>
        <s v="S2619"/>
        <s v="S2263"/>
        <s v="S1064"/>
        <s v="S2598"/>
        <s v="S2937"/>
        <s v="S1605"/>
        <s v="S1027"/>
        <s v="S2559"/>
        <s v="S1381"/>
        <s v="S2054"/>
        <s v="S1842"/>
        <s v="S2436"/>
        <s v="S2860"/>
        <s v="S1205"/>
        <s v="S1021"/>
        <s v="S2707"/>
        <s v="S2093"/>
        <s v="S2953"/>
        <s v="S1191"/>
        <s v="S1171"/>
        <s v="S1075"/>
        <s v="S2016"/>
        <s v="S1642"/>
        <s v="S2101"/>
        <s v="S2104"/>
        <s v="S2276"/>
        <s v="S2729"/>
        <s v="S1637"/>
        <s v="S2076"/>
        <s v="S2198"/>
        <s v="S1837"/>
        <s v="S1336"/>
        <s v="S2207"/>
        <s v="S2782"/>
        <s v="S1263"/>
        <s v="S2160"/>
        <s v="S1616"/>
        <s v="S1771"/>
        <s v="S2981"/>
        <s v="S1328"/>
        <s v="S2999"/>
        <s v="S2251"/>
        <s v="S1167"/>
        <s v="S2607"/>
        <s v="S2743"/>
        <s v="S2199"/>
        <s v="S1578"/>
        <s v="S1542"/>
        <s v="S1187"/>
        <s v="S1710"/>
        <s v="S1344"/>
        <s v="S2435"/>
        <s v="S2173"/>
        <s v="S2473"/>
        <s v="S1186"/>
        <s v="S1324"/>
        <s v="S2388"/>
        <s v="S2461"/>
        <s v="S1293"/>
        <s v="S1632"/>
        <s v="S1970"/>
        <s v="S2957"/>
        <s v="S2569"/>
        <s v="S2596"/>
        <s v="S1112"/>
        <s v="S1290"/>
        <s v="S2615"/>
        <s v="S2685"/>
        <s v="S1708"/>
        <s v="S1776"/>
        <s v="S2112"/>
        <s v="S2153"/>
        <s v="S2186"/>
        <s v="S1369"/>
        <s v="S2091"/>
        <s v="S2940"/>
        <s v="S2069"/>
        <s v="S2021"/>
        <s v="S1915"/>
        <s v="S1744"/>
        <s v="S2532"/>
        <s v="S1106"/>
        <s v="S1832"/>
        <s v="S1088"/>
        <s v="S1255"/>
        <s v="S1944"/>
        <s v="S1854"/>
        <s v="S2918"/>
        <s v="S1207"/>
        <s v="S1916"/>
        <s v="S2477"/>
        <s v="S1311"/>
        <s v="S1453"/>
        <s v="S2655"/>
        <s v="S2830"/>
        <s v="S1321"/>
        <s v="S1871"/>
        <s v="S2455"/>
        <s v="S1847"/>
        <s v="S1026"/>
        <s v="S2518"/>
        <s v="S2539"/>
        <s v="S1120"/>
        <s v="S1500"/>
        <s v="S1477"/>
        <s v="S1025"/>
        <s v="S1004"/>
        <s v="S1261"/>
        <s v="S2338"/>
        <s v="S2932"/>
        <s v="S2481"/>
        <s v="S1546"/>
        <s v="S2282"/>
        <s v="S2734"/>
        <s v="S2204"/>
        <s v="S2183"/>
        <s v="S2162"/>
        <s v="S2483"/>
        <s v="S2612"/>
        <s v="S2187"/>
        <s v="S1479"/>
        <s v="S1868"/>
        <s v="S2265"/>
        <s v="S1254"/>
        <s v="S1094"/>
        <s v="S1573"/>
        <s v="S2096"/>
        <s v="S1787"/>
        <s v="S2416"/>
        <s v="S1785"/>
        <s v="S2814"/>
        <s v="S2906"/>
        <s v="S2858"/>
        <s v="S1579"/>
        <s v="S1418"/>
        <s v="S1979"/>
        <s v="S1168"/>
        <s v="S2309"/>
        <s v="S2605"/>
        <s v="S1796"/>
        <s v="S1389"/>
        <s v="S2785"/>
        <s v="S1450"/>
        <s v="S1655"/>
        <s v="S2429"/>
        <s v="S2257"/>
        <s v="S2917"/>
        <s v="S1506"/>
        <s v="S1384"/>
        <s v="S1661"/>
        <s v="S1608"/>
        <s v="S2374"/>
        <s v="S2274"/>
        <s v="S1015"/>
        <s v="S1041"/>
        <s v="S2170"/>
        <s v="S1172"/>
        <s v="S2654"/>
        <s v="S2120"/>
        <s v="S1699"/>
        <s v="S1176"/>
        <s v="S1621"/>
        <s v="S1267"/>
        <s v="S2065"/>
        <s v="S2806"/>
        <s v="S1475"/>
        <s v="S2727"/>
        <s v="S1309"/>
        <s v="S1778"/>
        <s v="S1645"/>
        <s v="S2761"/>
        <s v="S1230"/>
        <s v="S1279"/>
        <s v="S1259"/>
        <s v="S1684"/>
        <s v="S1717"/>
        <s v="S2394"/>
        <s v="S2606"/>
        <s v="S1484"/>
        <s v="S1694"/>
        <s v="S2195"/>
        <s v="S1126"/>
        <s v="S1117"/>
        <s v="S1426"/>
        <s v="S1697"/>
        <s v="S1899"/>
        <s v="S1364"/>
        <s v="S1511"/>
        <s v="S1692"/>
        <s v="S2768"/>
        <s v="S1945"/>
        <s v="S2706"/>
        <s v="S2203"/>
        <s v="S2503"/>
        <s v="S1600"/>
        <s v="S1225"/>
        <s v="S2060"/>
        <s v="S2959"/>
        <s v="S1812"/>
        <s v="S2800"/>
        <s v="S1319"/>
        <s v="S1420"/>
        <s v="S2206"/>
        <s v="S1040"/>
        <s v="S1455"/>
        <s v="S1805"/>
        <s v="S2810"/>
        <s v="S1229"/>
        <s v="S2490"/>
        <s v="S1016"/>
        <s v="S1624"/>
        <s v="S2354"/>
        <s v="S1592"/>
        <s v="S2589"/>
        <s v="S1981"/>
        <s v="S1237"/>
        <s v="S1493"/>
        <s v="S2343"/>
        <s v="S2350"/>
        <s v="S1390"/>
        <s v="S1826"/>
        <s v="S1922"/>
        <s v="S1097"/>
        <s v="S1530"/>
        <s v="S2872"/>
        <s v="S2118"/>
        <s v="S1270"/>
        <s v="S2908"/>
        <s v="S1513"/>
        <s v="S2560"/>
        <s v="S1992"/>
        <s v="S1545"/>
        <s v="S1919"/>
        <s v="S1333"/>
        <s v="S1860"/>
        <s v="S2859"/>
        <s v="S1816"/>
        <s v="S2718"/>
        <s v="S1241"/>
        <s v="S2874"/>
        <s v="S2668"/>
        <s v="S2747"/>
        <s v="S2914"/>
        <s v="S2362"/>
        <s v="S2444"/>
        <s v="S1652"/>
        <s v="S1856"/>
        <s v="S1308"/>
        <s v="S2390"/>
        <s v="S1651"/>
        <s v="S1443"/>
        <s v="S2660"/>
        <s v="S2819"/>
        <s v="S2157"/>
        <s v="S2072"/>
        <s v="S2365"/>
        <s v="S1730"/>
        <s v="S1497"/>
        <s v="S1677"/>
        <s v="S2597"/>
        <s v="S2430"/>
        <s v="S1612"/>
        <s v="S2184"/>
        <s v="S2913"/>
        <s v="S1951"/>
        <s v="S2127"/>
        <s v="S2689"/>
        <s v="S1566"/>
        <s v="S2406"/>
        <s v="S2108"/>
        <s v="S2904"/>
        <s v="S2033"/>
        <s v="S1587"/>
        <s v="S1820"/>
        <s v="S2712"/>
        <s v="S1149"/>
        <s v="S1160"/>
        <s v="S1739"/>
        <s v="S1561"/>
        <s v="S2055"/>
        <s v="S1817"/>
        <s v="S1245"/>
        <s v="S1516"/>
        <s v="S1142"/>
        <s v="S1406"/>
        <s v="S2735"/>
        <s v="S2117"/>
        <s v="S2885"/>
        <s v="S1457"/>
        <s v="S2889"/>
        <s v="S2946"/>
        <s v="S2182"/>
        <s v="S2152"/>
        <s v="S1115"/>
        <s v="S1133"/>
        <s v="S1138"/>
        <s v="S1185"/>
        <s v="S1757"/>
        <s v="S2562"/>
        <s v="S1109"/>
        <s v="S2673"/>
        <s v="S2042"/>
        <s v="S2083"/>
        <s v="S2448"/>
        <s v="S1009"/>
        <s v="S1490"/>
        <s v="S2035"/>
        <s v="S1507"/>
        <s v="S2136"/>
        <s v="S1657"/>
        <s v="S2771"/>
        <s v="S2146"/>
        <s v="S2683"/>
        <s v="S2688"/>
        <s v="S2882"/>
        <s v="S1510"/>
        <s v="S1413"/>
        <s v="S2395"/>
        <s v="S2945"/>
        <s v="S2989"/>
        <s v="S2006"/>
        <s v="S1398"/>
        <s v="S1476"/>
        <s v="S1122"/>
        <s v="S2656"/>
        <s v="S1317"/>
        <s v="S2505"/>
        <s v="S1154"/>
        <s v="S2972"/>
        <s v="S1351"/>
        <s v="S1487"/>
        <s v="S2419"/>
        <s v="S1909"/>
        <s v="S2249"/>
        <s v="S2927"/>
        <s v="S1071"/>
        <s v="S1570"/>
        <s v="S2200"/>
        <s v="S1264"/>
        <s v="S1983"/>
        <s v="S1628"/>
        <s v="S2401"/>
        <s v="S2948"/>
        <s v="S1421"/>
        <s v="S1233"/>
        <s v="S2567"/>
        <s v="S2640"/>
        <s v="S2034"/>
        <s v="S1884"/>
        <s v="S1114"/>
        <s v="S2672"/>
        <s v="S2980"/>
        <s v="S2854"/>
        <s v="S1169"/>
        <s v="S1456"/>
        <s v="S2528"/>
        <s v="S1422"/>
        <s v="S2391"/>
        <s v="S1332"/>
        <s v="S1414"/>
        <s v="S2616"/>
        <s v="S2439"/>
        <s v="S2512"/>
        <s v="S1151"/>
        <s v="S1676"/>
        <s v="S2107"/>
        <s v="S2264"/>
        <s v="S1039"/>
        <s v="S2802"/>
        <s v="S2573"/>
        <s v="S1047"/>
        <s v="S1322"/>
        <s v="S1989"/>
        <s v="S1092"/>
        <s v="S2142"/>
        <s v="S1008"/>
        <s v="S1551"/>
        <s v="S1807"/>
        <s v="S2384"/>
        <s v="S2221"/>
        <s v="S2942"/>
        <s v="S1830"/>
        <s v="S2808"/>
        <s v="S2097"/>
        <s v="S2723"/>
        <s v="S2892"/>
        <s v="S2229"/>
        <s v="S1395"/>
        <s v="S2441"/>
        <s v="S2449"/>
        <s v="S1357"/>
        <s v="S1606"/>
        <s v="S1723"/>
        <s v="S1054"/>
        <s v="S2224"/>
        <s v="S1318"/>
        <s v="S1775"/>
        <s v="S1158"/>
        <s v="S2094"/>
        <s v="S2074"/>
        <s v="S1584"/>
        <s v="S1629"/>
        <s v="S2865"/>
        <s v="S1038"/>
        <s v="S2811"/>
        <s v="S1517"/>
        <s v="S2915"/>
        <s v="S1939"/>
        <s v="S1685"/>
        <s v="S2364"/>
        <s v="S2262"/>
        <s v="S2703"/>
        <s v="S1901"/>
        <s v="S1271"/>
        <s v="S2998"/>
        <s v="S2359"/>
        <s v="S2646"/>
        <s v="S1193"/>
        <s v="S1269"/>
        <s v="S1307"/>
        <s v="S1316"/>
        <s v="S2651"/>
        <s v="S1810"/>
        <s v="S2067"/>
        <s v="S2255"/>
        <s v="S2070"/>
        <s v="S1736"/>
        <s v="S2825"/>
        <s v="S1540"/>
        <s v="S2363"/>
        <s v="S1898"/>
        <s v="S2764"/>
        <s v="S2201"/>
        <s v="S1613"/>
        <s v="S2571"/>
        <s v="S1137"/>
        <s v="S1326"/>
        <s v="S1719"/>
        <s v="S2488"/>
        <s v="S2521"/>
        <s v="S2770"/>
        <s v="S1253"/>
        <s v="S2852"/>
        <s v="S1499"/>
        <s v="S2621"/>
        <s v="S1306"/>
        <s v="S2623"/>
        <s v="S1643"/>
        <s v="S1764"/>
        <s v="S2594"/>
        <s v="S2894"/>
        <s v="S2422"/>
        <s v="S1722"/>
        <s v="S2631"/>
        <s v="S2324"/>
        <s v="S1905"/>
        <s v="S2037"/>
        <s v="S1770"/>
        <s v="S2052"/>
        <s v="S2828"/>
        <s v="S2944"/>
        <s v="S2525"/>
        <s v="S2994"/>
        <s v="S2527"/>
        <s v="S2922"/>
        <s v="S2507"/>
        <s v="S1878"/>
        <s v="S1244"/>
        <s v="S1995"/>
        <s v="S2790"/>
        <s v="S1409"/>
        <s v="S2693"/>
        <s v="S2847"/>
        <s v="S1851"/>
        <s v="S1679"/>
        <s v="S1968"/>
        <s v="S2680"/>
        <s v="S1467"/>
        <s v="S1161"/>
        <s v="S1362"/>
        <s v="S2114"/>
        <s v="S2633"/>
        <s v="S1704"/>
        <s v="S1512"/>
        <s v="S1575"/>
        <s v="S1965"/>
        <s v="S1101"/>
        <s v="S1658"/>
        <s v="S2696"/>
        <s v="S1959"/>
        <s v="S2964"/>
        <s v="S2836"/>
        <s v="S1843"/>
        <s v="S2389"/>
        <s v="S1240"/>
        <s v="S1865"/>
        <s v="S2082"/>
        <s v="S1977"/>
        <s v="S1882"/>
        <s v="S1596"/>
        <s v="S1249"/>
        <s v="S2346"/>
        <s v="S2541"/>
        <s v="S1087"/>
        <s v="S2247"/>
        <s v="S1118"/>
        <s v="S2013"/>
        <s v="S2306"/>
        <s v="S1068"/>
        <s v="S2489"/>
        <s v="S2581"/>
        <s v="S2457"/>
        <s v="S1583"/>
        <s v="S2322"/>
        <s v="S1217"/>
        <s v="S2197"/>
        <s v="S1966"/>
        <s v="S2775"/>
        <s v="S2778"/>
        <s v="S2910"/>
        <s v="S1463"/>
        <s v="S1892"/>
        <s v="S1397"/>
        <s v="S2820"/>
        <s v="S2232"/>
        <s v="S1767"/>
        <s v="S1342"/>
        <s v="S1872"/>
        <s v="S2024"/>
        <s v="S1352"/>
        <s v="S2029"/>
        <s v="S2296"/>
        <s v="S2357"/>
        <s v="S1881"/>
        <s v="S1806"/>
        <s v="S1833"/>
        <s v="S2326"/>
        <s v="S2131"/>
        <s v="S2169"/>
        <s v="S2659"/>
        <s v="S2241"/>
        <s v="S1749"/>
        <s v="S1072"/>
        <s v="S2327"/>
        <s v="S1285"/>
        <s v="S1196"/>
        <s v="S1650"/>
        <s v="S2381"/>
        <s v="S2300"/>
        <s v="S1514"/>
        <s v="S2756"/>
        <s v="S1521"/>
        <s v="S1984"/>
        <s v="S1179"/>
        <s v="S2494"/>
        <s v="S2550"/>
        <s v="S1130"/>
        <s v="S2370"/>
        <s v="S2595"/>
        <s v="S2976"/>
        <s v="S2912"/>
        <s v="S1055"/>
        <s v="S1721"/>
        <s v="S2744"/>
        <s v="S1920"/>
        <s v="S2716"/>
        <s v="S2730"/>
        <s v="S2579"/>
        <s v="S1295"/>
        <s v="S1329"/>
        <s v="S2404"/>
        <s v="S1875"/>
        <s v="S2911"/>
        <s v="S1128"/>
        <s v="S1829"/>
        <s v="S2253"/>
        <s v="S2410"/>
        <s v="S2516"/>
        <s v="S2345"/>
        <s v="S2551"/>
        <s v="S1611"/>
        <s v="S1571"/>
        <s v="S1239"/>
        <s v="S1496"/>
        <s v="S1050"/>
        <s v="S2181"/>
        <s v="S2122"/>
        <s v="S2360"/>
        <s v="S1834"/>
        <s v="S1950"/>
        <s v="S1918"/>
        <s v="S1896"/>
        <s v="S2837"/>
        <s v="S1488"/>
        <s v="S1508"/>
        <s v="S1155"/>
        <s v="S1140"/>
        <s v="S1474"/>
        <s v="S2773"/>
        <s v="S2997"/>
        <s v="S2493"/>
        <s v="S1492"/>
        <s v="S2479"/>
        <s v="S1108"/>
        <s v="S1625"/>
        <s v="S2159"/>
        <s v="S2974"/>
        <s v="S2880"/>
        <s v="S1080"/>
        <s v="S2000"/>
        <s v="S2315"/>
        <s v="S2823"/>
        <s v="S1494"/>
        <s v="S2510"/>
        <s v="S1518"/>
        <s v="S1672"/>
        <s v="S2522"/>
        <s v="S2413"/>
        <s v="S2757"/>
        <s v="S2509"/>
        <s v="S2358"/>
        <s v="S2078"/>
        <s v="S2586"/>
        <s v="S2382"/>
        <s v="S2578"/>
        <s v="S1100"/>
        <s v="S1214"/>
        <s v="S1935"/>
        <s v="S1059"/>
        <s v="S2610"/>
        <s v="S2868"/>
        <s v="S1286"/>
        <s v="S2123"/>
        <s v="S1034"/>
        <s v="S2161"/>
        <s v="S2663"/>
        <s v="S2879"/>
        <s v="S2050"/>
        <s v="S2487"/>
        <s v="S1148"/>
        <s v="S2116"/>
        <s v="S2208"/>
        <s v="S2624"/>
        <s v="S2675"/>
        <s v="S1006"/>
        <s v="S1729"/>
        <s v="S2520"/>
        <s v="S1763"/>
        <s v="S1200"/>
        <s v="S2564"/>
        <s v="S2544"/>
        <s v="S1177"/>
        <s v="S2531"/>
        <s v="S1558"/>
        <s v="S2748"/>
        <s v="S2240"/>
        <s v="S2259"/>
        <s v="S1663"/>
        <s v="S2383"/>
        <s v="S2839"/>
        <s v="S2279"/>
        <s v="S2791"/>
        <s v="S1758"/>
        <s v="S2750"/>
        <s v="S2007"/>
        <s v="S1876"/>
        <s v="S2254"/>
        <s v="S1134"/>
        <s v="S1993"/>
        <s v="S2369"/>
        <s v="S2061"/>
        <s v="S2549"/>
        <s v="S1439"/>
        <s v="S2328"/>
        <s v="S2081"/>
        <s v="S2799"/>
        <s v="S1345"/>
        <s v="S1555"/>
        <s v="S2307"/>
        <s v="S2320"/>
        <s v="S1544"/>
        <s v="S2438"/>
        <s v="S2848"/>
        <s v="S2753"/>
        <s v="S2149"/>
        <s v="S2138"/>
        <s v="S2695"/>
        <s v="S1902"/>
        <s v="S2311"/>
        <s v="S1957"/>
        <s v="S1121"/>
        <s v="S1139"/>
        <s v="S1144"/>
        <s v="S2899"/>
        <s v="S2702"/>
        <s v="S2638"/>
        <s v="S1838"/>
        <s v="S1737"/>
        <s v="S2092"/>
        <s v="S1314"/>
        <s v="S2471"/>
        <s v="S2447"/>
        <s v="S2223"/>
        <s v="S1162"/>
        <s v="S1863"/>
        <s v="S1365"/>
        <s v="S2721"/>
        <s v="S1431"/>
        <s v="S1227"/>
        <s v="S2100"/>
        <s v="S2733"/>
        <s v="S2312"/>
        <s v="S2545"/>
        <s v="S2679"/>
        <s v="S2332"/>
        <s v="S1911"/>
        <s v="S2926"/>
        <s v="S1209"/>
        <s v="S2119"/>
        <s v="S1539"/>
        <s v="S1840"/>
        <s v="S1932"/>
        <s v="S1754"/>
        <s v="S1299"/>
        <s v="S2939"/>
        <s v="S1223"/>
        <s v="S1879"/>
        <s v="S2973"/>
        <s v="S1405"/>
        <s v="S2214"/>
        <s v="S1988"/>
        <s v="S2367"/>
        <s v="S1780"/>
        <s v="S2909"/>
        <s v="S1714"/>
        <s v="S2342"/>
        <s v="S1747"/>
        <s v="S2556"/>
        <s v="S1164"/>
        <s v="S1007"/>
        <s v="S2305"/>
        <s v="S2905"/>
        <s v="S2156"/>
        <s v="S2297"/>
        <s v="S2982"/>
        <s v="S1753"/>
        <s v="S2019"/>
        <s v="S2480"/>
        <s v="S2634"/>
        <s v="S2533"/>
        <s v="S1033"/>
        <s v="S1361"/>
        <s v="S1536"/>
        <s v="S2726"/>
        <s v="S2437"/>
        <s v="S2988"/>
        <s v="S1864"/>
        <s v="S1804"/>
        <s v="S2314"/>
        <s v="S2577"/>
        <s v="S1153"/>
        <s v="S1774"/>
        <s v="S1880"/>
        <s v="S2352"/>
        <s v="S2285"/>
        <s v="S1683"/>
        <s v="S2336"/>
        <s v="S1183"/>
        <s v="S1383"/>
        <s v="S1980"/>
        <s v="S2478"/>
        <s v="S2869"/>
        <s v="S2924"/>
        <s v="S1603"/>
        <s v="S1011"/>
        <s v="S1800"/>
        <s v="S2543"/>
        <s v="S1533"/>
        <s v="S2786"/>
        <s v="S1192"/>
        <s v="S1908"/>
        <s v="S1341"/>
        <s v="S1424"/>
        <s v="S1844"/>
        <s v="S1258"/>
        <s v="S1466"/>
        <s v="S1412"/>
        <s v="S1058"/>
        <s v="S2674"/>
        <s v="S2379"/>
        <s v="S2134"/>
        <s v="S2739"/>
        <s v="S1246"/>
        <s v="S2745"/>
        <s v="S2256"/>
        <s v="S1855"/>
        <s v="S2068"/>
        <s v="S1503"/>
        <s v="S2027"/>
        <s v="S1666"/>
        <s v="S1399"/>
        <s v="S2902"/>
        <s v="S2749"/>
        <s v="S1728"/>
        <s v="S1276"/>
        <s v="S2506"/>
        <s v="S1452"/>
        <s v="S1891"/>
        <s v="S1866"/>
        <s v="S1633"/>
        <s v="S2604"/>
        <s v="S2928"/>
        <s v="S2644"/>
        <s v="S1440"/>
        <s v="S2657"/>
        <s v="S2714"/>
        <s v="S1347"/>
        <s v="S2053"/>
        <s v="S1289"/>
        <s v="S1589"/>
        <s v="S2316"/>
        <s v="S1287"/>
        <s v="S1325"/>
        <s v="S2661"/>
        <s v="S2985"/>
        <s v="S2875"/>
        <s v="S1156"/>
        <s v="S2242"/>
        <s v="S1024"/>
        <s v="S2553"/>
        <s v="S1941"/>
        <s v="S2059"/>
        <s v="S1104"/>
        <s v="S2386"/>
        <s v="S2180"/>
        <s v="S2450"/>
        <s v="S2844"/>
        <s v="S2278"/>
        <s v="S2652"/>
        <s v="S1367"/>
        <s v="S1797"/>
        <s v="S1157"/>
        <s v="S1348"/>
        <s v="S1638"/>
        <s v="S1803"/>
        <s v="S2603"/>
        <s v="S1814"/>
        <s v="S2632"/>
        <s v="S2653"/>
        <s v="S1262"/>
        <s v="S2144"/>
        <s v="S2237"/>
        <s v="S2893"/>
        <s v="S1174"/>
        <s v="S1705"/>
        <s v="S1003"/>
        <s v="S2174"/>
        <s v="S1432"/>
        <s v="S2202"/>
        <s v="S2456"/>
        <s v="S1416"/>
        <s v="S2691"/>
        <s v="S1742"/>
        <s v="S2286"/>
        <s v="S1032"/>
        <s v="S1082"/>
        <s v="S2340"/>
        <s v="S2592"/>
        <s v="S2736"/>
        <s v="S1522"/>
        <s v="S1459"/>
        <s v="S1733"/>
        <s v="S1152"/>
        <s v="S2701"/>
        <s v="S2341"/>
        <s v="S2762"/>
        <s v="S1523"/>
        <s v="S1635"/>
        <s v="S1265"/>
        <s v="S2890"/>
        <s v="S2014"/>
        <s v="S1538"/>
        <s v="S1752"/>
        <s v="S1531"/>
        <s v="S1828"/>
        <s v="S2077"/>
        <s v="S1917"/>
        <s v="S1238"/>
        <s v="S1711"/>
        <s v="S2684"/>
        <s v="S1404"/>
        <s v="S1302"/>
        <s v="S1554"/>
        <s v="S2298"/>
        <s v="S1178"/>
        <s v="S1597"/>
        <s v="S1260"/>
        <s v="S2172"/>
        <s v="S1000"/>
        <s v="S2504"/>
        <s v="S2866"/>
        <s v="S2293"/>
        <s v="S2252"/>
        <s v="S2427"/>
        <s v="S1731"/>
        <s v="S2155"/>
        <s v="S2301"/>
        <s v="S1349"/>
        <s v="S1963"/>
        <s v="S2576"/>
        <s v="S1779"/>
        <s v="S1051"/>
        <s v="S1415"/>
        <s v="S1529"/>
        <s v="S2323"/>
        <s v="S2194"/>
        <s v="S1014"/>
        <s v="S1377"/>
        <s v="S2025"/>
        <s v="S2492"/>
        <s v="S1180"/>
        <s v="S1696"/>
        <s v="S1018"/>
        <s v="S1019"/>
        <s v="S1035"/>
        <s v="S1036"/>
        <s v="S1053"/>
        <s v="S1065"/>
        <s v="S1086"/>
        <s v="S1125"/>
        <s v="S1146"/>
        <s v="S1150"/>
        <s v="S1197"/>
        <s v="S1242"/>
        <s v="S1275"/>
        <s v="S1330"/>
        <s v="S1338"/>
        <s v="S1391"/>
        <s v="S1442"/>
        <s v="S1527"/>
        <s v="S1562"/>
        <s v="S1577"/>
        <s v="S1595"/>
        <s v="S1609"/>
        <s v="S1626"/>
        <s v="S1647"/>
        <s v="S1668"/>
        <s v="S1673"/>
        <s v="S1686"/>
        <s v="S1725"/>
        <s v="S1735"/>
        <s v="S1762"/>
        <s v="S1772"/>
        <s v="S1930"/>
        <s v="S1936"/>
        <s v="S1942"/>
        <s v="S1947"/>
        <s v="S1982"/>
        <s v="S2012"/>
        <s v="S2020"/>
        <s v="S2022"/>
        <s v="S2047"/>
        <s v="S2058"/>
        <s v="S2079"/>
        <s v="S2166"/>
        <s v="S2167"/>
        <s v="S2175"/>
        <s v="S2218"/>
        <s v="S2313"/>
        <s v="S2396"/>
        <s v="S2432"/>
        <s v="S2454"/>
        <s v="S2462"/>
        <s v="S2468"/>
        <s v="S2513"/>
        <s v="S2517"/>
        <s v="S2519"/>
        <s v="S2557"/>
        <s v="S2601"/>
        <s v="S2677"/>
        <s v="S2692"/>
        <s v="S2694"/>
        <s v="S2710"/>
        <s v="S2805"/>
        <s v="S2807"/>
        <s v="S2812"/>
        <s v="S2818"/>
        <s v="S2870"/>
        <s v="S2878"/>
        <s v="S2886"/>
        <s v="S2887"/>
        <s v="S2929"/>
        <s v="S2951"/>
        <s v="S2970"/>
        <s v="S2986"/>
        <s v="S2987"/>
        <s v="S2996"/>
      </sharedItems>
    </cacheField>
    <cacheField name="title" numFmtId="0">
      <sharedItems/>
    </cacheField>
    <cacheField name="type" numFmtId="0">
      <sharedItems count="3">
        <s v="Movie"/>
        <s v="TV Show"/>
        <s v="Unknown"/>
      </sharedItems>
    </cacheField>
    <cacheField name="director" numFmtId="0">
      <sharedItems/>
    </cacheField>
    <cacheField name="country" numFmtId="0">
      <sharedItems count="13">
        <s v="Spain"/>
        <s v="Germany"/>
        <s v="U.S."/>
        <s v="Japan"/>
        <s v="Usa"/>
        <s v="India"/>
        <s v="United Kingdom"/>
        <s v="Unknown"/>
        <s v="Australia"/>
        <s v="France"/>
        <s v="United States"/>
        <s v="Canada"/>
        <s v="South Korea"/>
      </sharedItems>
    </cacheField>
    <cacheField name="date_added" numFmtId="14">
      <sharedItems containsNonDate="0" containsDate="1" containsString="0" containsBlank="1" minDate="2015-01-02T00:00:00" maxDate="2026-07-02T00:00:00"/>
    </cacheField>
    <cacheField name="release_year" numFmtId="0">
      <sharedItems containsSemiMixedTypes="0" containsString="0" containsNumber="1" containsInteger="1" minValue="2000" maxValue="2032" count="28">
        <n v="2009"/>
        <n v="2007"/>
        <n v="2019"/>
        <n v="2005"/>
        <n v="2001"/>
        <n v="2000"/>
        <n v="2010"/>
        <n v="2017"/>
        <n v="2004"/>
        <n v="2014"/>
        <n v="2021"/>
        <n v="2025"/>
        <n v="2012"/>
        <n v="2002"/>
        <n v="2023"/>
        <n v="2015"/>
        <n v="2026"/>
        <n v="2013"/>
        <n v="2024"/>
        <n v="2020"/>
        <n v="2011"/>
        <n v="2008"/>
        <n v="2003"/>
        <n v="2032"/>
        <n v="2016"/>
        <n v="2006"/>
        <n v="2018"/>
        <n v="2022"/>
      </sharedItems>
    </cacheField>
    <cacheField name="rating" numFmtId="0">
      <sharedItems count="10">
        <s v="PG-13"/>
        <s v="G"/>
        <s v="TV-G"/>
        <s v="TV-MA"/>
        <s v="TV-Y"/>
        <s v="TV-14"/>
        <s v="PG"/>
        <s v="Unknown"/>
        <s v="TV-PG"/>
        <s v="R"/>
      </sharedItems>
    </cacheField>
    <cacheField name="duration" numFmtId="0">
      <sharedItems/>
    </cacheField>
    <cacheField name="genre" numFmtId="0">
      <sharedItems count="11">
        <s v="Unknown"/>
        <s v="Action"/>
        <s v="Comedy"/>
        <s v="Drama"/>
        <s v="Thriller"/>
        <s v="Horror"/>
        <s v="Animation"/>
        <s v="Romance"/>
        <s v="Sci-Fi"/>
        <s v="Crime"/>
        <s v="Documentary"/>
      </sharedItems>
    </cacheField>
    <cacheField name="imdb_rating" numFmtId="0">
      <sharedItems containsSemiMixedTypes="0" containsString="0" containsNumber="1" minValue="4.5" maxValue="11.2"/>
    </cacheField>
    <cacheField name="views" numFmtId="0">
      <sharedItems containsSemiMixedTypes="0" containsString="0" containsNumber="1" containsInteger="1" minValue="-972" maxValue="24989047"/>
    </cacheField>
    <cacheField name="watch_hours" numFmtId="0">
      <sharedItems containsSemiMixedTypes="0" containsString="0" containsNumber="1" containsInteger="1" minValue="2040" maxValue="4993437"/>
    </cacheField>
    <cacheField name="completion_rate" numFmtId="0">
      <sharedItems containsSemiMixedTypes="0" containsString="0" containsNumber="1" containsInteger="1" minValue="40" maxValue="120"/>
    </cacheField>
    <cacheField name="language" numFmtId="0">
      <sharedItems count="10">
        <s v="Unknown"/>
        <s v="Hindi"/>
        <s v="Korean"/>
        <s v="Spanish"/>
        <s v="Japanese"/>
        <s v="Telugu"/>
        <s v="English"/>
        <s v="German"/>
        <s v="Tamil"/>
        <s v="French"/>
      </sharedItems>
    </cacheField>
    <cacheField name="device_type" numFmtId="0">
      <sharedItems count="5">
        <s v="Tablet"/>
        <s v="Tv"/>
        <s v="Mobile"/>
        <s v="Unknown"/>
        <s v="Laptop"/>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Dark Chronicles 1795"/>
    <x v="0"/>
    <s v="K. Tanaka"/>
    <x v="0"/>
    <d v="2015-01-02T00:00:00"/>
    <x v="0"/>
    <x v="0"/>
    <s v="113 Min"/>
    <x v="0"/>
    <n v="6.1"/>
    <n v="11696413"/>
    <n v="4178111"/>
    <n v="86"/>
    <x v="0"/>
    <x v="0"/>
  </r>
  <r>
    <x v="1"/>
    <s v="Echo Dream 1889"/>
    <x v="0"/>
    <s v="L. Brown"/>
    <x v="1"/>
    <d v="2015-01-02T00:00:00"/>
    <x v="1"/>
    <x v="1"/>
    <s v="121 Min"/>
    <x v="1"/>
    <n v="8.6"/>
    <n v="22873377"/>
    <n v="2592354"/>
    <n v="77"/>
    <x v="1"/>
    <x v="0"/>
  </r>
  <r>
    <x v="2"/>
    <s v="Royal Mission 1113"/>
    <x v="1"/>
    <s v="P. Johnson"/>
    <x v="2"/>
    <d v="2015-01-04T00:00:00"/>
    <x v="2"/>
    <x v="2"/>
    <s v="3 Seasons"/>
    <x v="2"/>
    <n v="7.8"/>
    <n v="6266416"/>
    <n v="31721"/>
    <n v="62"/>
    <x v="2"/>
    <x v="1"/>
  </r>
  <r>
    <x v="3"/>
    <s v="Broken Edge 1531"/>
    <x v="2"/>
    <s v="K. Tanaka"/>
    <x v="3"/>
    <d v="2015-01-08T00:00:00"/>
    <x v="3"/>
    <x v="3"/>
    <s v="6 Seasons"/>
    <x v="3"/>
    <n v="5.4"/>
    <n v="13622289"/>
    <n v="170900"/>
    <n v="120"/>
    <x v="3"/>
    <x v="1"/>
  </r>
  <r>
    <x v="4"/>
    <s v="Echo Line 347"/>
    <x v="0"/>
    <s v="J. Lee"/>
    <x v="4"/>
    <d v="2015-01-10T00:00:00"/>
    <x v="4"/>
    <x v="4"/>
    <s v="Unknown"/>
    <x v="4"/>
    <n v="9.4"/>
    <n v="5015694"/>
    <n v="1311782"/>
    <n v="94"/>
    <x v="0"/>
    <x v="0"/>
  </r>
  <r>
    <x v="5"/>
    <s v="Wild Code 930"/>
    <x v="0"/>
    <s v="J. Lee"/>
    <x v="0"/>
    <d v="2015-01-13T00:00:00"/>
    <x v="5"/>
    <x v="3"/>
    <s v="89 Min"/>
    <x v="2"/>
    <n v="8"/>
    <n v="22506651"/>
    <n v="788111"/>
    <n v="80"/>
    <x v="4"/>
    <x v="0"/>
  </r>
  <r>
    <x v="6"/>
    <s v="Secret Files 29"/>
    <x v="0"/>
    <s v="L. Brown"/>
    <x v="5"/>
    <d v="2015-01-15T00:00:00"/>
    <x v="6"/>
    <x v="5"/>
    <s v="118 Min"/>
    <x v="4"/>
    <n v="9.3000000000000007"/>
    <n v="12499697"/>
    <n v="546069"/>
    <n v="95"/>
    <x v="0"/>
    <x v="2"/>
  </r>
  <r>
    <x v="7"/>
    <s v="Hidden Files 1122"/>
    <x v="0"/>
    <s v="A. Smith"/>
    <x v="2"/>
    <d v="2015-01-19T00:00:00"/>
    <x v="7"/>
    <x v="3"/>
    <s v="141 Min"/>
    <x v="4"/>
    <n v="8.6999999999999993"/>
    <n v="4111341"/>
    <n v="2376505"/>
    <n v="75"/>
    <x v="3"/>
    <x v="3"/>
  </r>
  <r>
    <x v="8"/>
    <s v="Shadow Files 544"/>
    <x v="2"/>
    <s v="R. Kumar"/>
    <x v="3"/>
    <d v="2015-01-21T00:00:00"/>
    <x v="8"/>
    <x v="6"/>
    <s v="1 Seasons"/>
    <x v="5"/>
    <n v="9.6999999999999993"/>
    <n v="14472973"/>
    <n v="1876016"/>
    <n v="76"/>
    <x v="5"/>
    <x v="0"/>
  </r>
  <r>
    <x v="9"/>
    <s v="Golden Story 973"/>
    <x v="0"/>
    <s v="Unknown"/>
    <x v="6"/>
    <d v="2015-01-22T00:00:00"/>
    <x v="9"/>
    <x v="3"/>
    <s v="175 Min"/>
    <x v="6"/>
    <n v="8"/>
    <n v="20717797"/>
    <n v="956685"/>
    <n v="55"/>
    <x v="5"/>
    <x v="2"/>
  </r>
  <r>
    <x v="10"/>
    <s v="Hidden Valley 784"/>
    <x v="0"/>
    <s v="Unknown"/>
    <x v="7"/>
    <d v="2015-01-23T00:00:00"/>
    <x v="2"/>
    <x v="2"/>
    <s v="71 Min"/>
    <x v="7"/>
    <n v="5.7"/>
    <n v="14562402"/>
    <n v="1818568"/>
    <n v="88"/>
    <x v="6"/>
    <x v="2"/>
  </r>
  <r>
    <x v="11"/>
    <s v="Ocean Game 1619"/>
    <x v="1"/>
    <s v="R. Kumar"/>
    <x v="3"/>
    <d v="2015-01-27T00:00:00"/>
    <x v="10"/>
    <x v="3"/>
    <s v="6 Seasons"/>
    <x v="3"/>
    <n v="8.8000000000000007"/>
    <n v="11654736"/>
    <n v="4988492"/>
    <n v="78"/>
    <x v="7"/>
    <x v="4"/>
  </r>
  <r>
    <x v="12"/>
    <s v="Echo Edge 1847"/>
    <x v="0"/>
    <s v="L. Brown"/>
    <x v="8"/>
    <d v="2015-01-27T00:00:00"/>
    <x v="11"/>
    <x v="2"/>
    <s v="126 Min"/>
    <x v="7"/>
    <n v="4.8"/>
    <n v="24851251"/>
    <n v="2201601"/>
    <n v="94"/>
    <x v="8"/>
    <x v="3"/>
  </r>
  <r>
    <x v="13"/>
    <s v="Beyond World 1667"/>
    <x v="2"/>
    <s v="L. Brown"/>
    <x v="3"/>
    <d v="2015-01-28T00:00:00"/>
    <x v="12"/>
    <x v="7"/>
    <s v="2 Seasons"/>
    <x v="3"/>
    <n v="5.4"/>
    <n v="8519546"/>
    <n v="469975"/>
    <n v="55"/>
    <x v="3"/>
    <x v="1"/>
  </r>
  <r>
    <x v="14"/>
    <s v="Golden Chronicles 1318"/>
    <x v="1"/>
    <s v="K. Tanaka"/>
    <x v="7"/>
    <d v="2015-01-29T00:00:00"/>
    <x v="8"/>
    <x v="6"/>
    <s v="7 Seasons"/>
    <x v="5"/>
    <n v="8.6999999999999993"/>
    <n v="15143335"/>
    <n v="888285"/>
    <n v="94"/>
    <x v="3"/>
    <x v="4"/>
  </r>
  <r>
    <x v="15"/>
    <s v="Wild Files 1039"/>
    <x v="1"/>
    <s v="M. Garcia"/>
    <x v="1"/>
    <d v="2015-02-06T00:00:00"/>
    <x v="13"/>
    <x v="8"/>
    <s v="8 Seasons"/>
    <x v="2"/>
    <n v="9"/>
    <n v="4263353"/>
    <n v="4796814"/>
    <n v="76"/>
    <x v="6"/>
    <x v="3"/>
  </r>
  <r>
    <x v="16"/>
    <s v="Dark Line 1291"/>
    <x v="0"/>
    <s v="Unknown"/>
    <x v="2"/>
    <d v="2015-02-08T00:00:00"/>
    <x v="8"/>
    <x v="1"/>
    <s v="86 Min"/>
    <x v="5"/>
    <n v="7.4"/>
    <n v="18594524"/>
    <n v="1317245"/>
    <n v="55"/>
    <x v="9"/>
    <x v="3"/>
  </r>
  <r>
    <x v="17"/>
    <s v="Hidden Code 1789"/>
    <x v="1"/>
    <s v="A. Smith"/>
    <x v="0"/>
    <d v="2015-02-08T00:00:00"/>
    <x v="14"/>
    <x v="3"/>
    <s v="8 Seasons"/>
    <x v="8"/>
    <n v="8"/>
    <n v="966522"/>
    <n v="4689509"/>
    <n v="54"/>
    <x v="4"/>
    <x v="4"/>
  </r>
  <r>
    <x v="18"/>
    <s v="Blue Zone 1177"/>
    <x v="1"/>
    <s v="R. Kumar"/>
    <x v="8"/>
    <d v="2015-02-09T00:00:00"/>
    <x v="15"/>
    <x v="7"/>
    <s v="7 Seasons"/>
    <x v="9"/>
    <n v="4.7"/>
    <n v="19072292"/>
    <n v="420205"/>
    <n v="100"/>
    <x v="4"/>
    <x v="2"/>
  </r>
  <r>
    <x v="19"/>
    <s v="Dark Truth 1957"/>
    <x v="2"/>
    <s v="Unknown"/>
    <x v="3"/>
    <d v="2015-02-15T00:00:00"/>
    <x v="14"/>
    <x v="3"/>
    <s v="4 Seasons"/>
    <x v="2"/>
    <n v="9"/>
    <n v="18696691"/>
    <n v="4138561"/>
    <n v="72"/>
    <x v="2"/>
    <x v="4"/>
  </r>
  <r>
    <x v="20"/>
    <s v="Future Legacy 1412"/>
    <x v="0"/>
    <s v="M. Garcia"/>
    <x v="6"/>
    <d v="2015-02-16T00:00:00"/>
    <x v="6"/>
    <x v="6"/>
    <s v="150 Min"/>
    <x v="10"/>
    <n v="8.5"/>
    <n v="7428817"/>
    <n v="3071364"/>
    <n v="77"/>
    <x v="0"/>
    <x v="1"/>
  </r>
  <r>
    <x v="21"/>
    <s v="Secret Code 114"/>
    <x v="0"/>
    <s v="N. Singh"/>
    <x v="7"/>
    <d v="2015-02-20T00:00:00"/>
    <x v="16"/>
    <x v="3"/>
    <s v="90 Min"/>
    <x v="9"/>
    <n v="9.1999999999999993"/>
    <n v="2275794"/>
    <n v="2038826"/>
    <n v="83"/>
    <x v="0"/>
    <x v="1"/>
  </r>
  <r>
    <x v="22"/>
    <s v="Wild Empire 313"/>
    <x v="2"/>
    <s v="D. Kim"/>
    <x v="0"/>
    <d v="2015-02-20T00:00:00"/>
    <x v="12"/>
    <x v="8"/>
    <s v="3 Seasons"/>
    <x v="2"/>
    <n v="8.3000000000000007"/>
    <n v="13176545"/>
    <n v="1309717"/>
    <n v="72"/>
    <x v="3"/>
    <x v="4"/>
  </r>
  <r>
    <x v="23"/>
    <s v="Wild World 61"/>
    <x v="2"/>
    <s v="P. Johnson"/>
    <x v="7"/>
    <d v="2015-02-22T00:00:00"/>
    <x v="17"/>
    <x v="4"/>
    <s v="8 Seasons"/>
    <x v="7"/>
    <n v="6.6"/>
    <n v="18975118"/>
    <n v="1440032"/>
    <n v="41"/>
    <x v="1"/>
    <x v="2"/>
  </r>
  <r>
    <x v="24"/>
    <s v="Shadow Empire 1733"/>
    <x v="1"/>
    <s v="D. Kim"/>
    <x v="9"/>
    <d v="2015-02-23T00:00:00"/>
    <x v="1"/>
    <x v="8"/>
    <s v="3 Seasons"/>
    <x v="6"/>
    <n v="6.8"/>
    <n v="23698324"/>
    <n v="3744315"/>
    <n v="60"/>
    <x v="8"/>
    <x v="3"/>
  </r>
  <r>
    <x v="25"/>
    <s v="Urban World 618"/>
    <x v="0"/>
    <s v="S. Patel"/>
    <x v="10"/>
    <d v="2015-02-26T00:00:00"/>
    <x v="18"/>
    <x v="9"/>
    <s v="73 Min"/>
    <x v="10"/>
    <n v="5.6"/>
    <n v="5696166"/>
    <n v="1686969"/>
    <n v="46"/>
    <x v="3"/>
    <x v="1"/>
  </r>
  <r>
    <x v="26"/>
    <s v="Broken World 1045"/>
    <x v="0"/>
    <s v="Unknown"/>
    <x v="11"/>
    <d v="2015-02-26T00:00:00"/>
    <x v="6"/>
    <x v="1"/>
    <s v="175 Min"/>
    <x v="8"/>
    <n v="8.4"/>
    <n v="14089422"/>
    <n v="3509590"/>
    <n v="69"/>
    <x v="5"/>
    <x v="4"/>
  </r>
  <r>
    <x v="27"/>
    <s v="Lost World 1797"/>
    <x v="0"/>
    <s v="N. Singh"/>
    <x v="2"/>
    <d v="2015-02-27T00:00:00"/>
    <x v="14"/>
    <x v="3"/>
    <s v="70 Min"/>
    <x v="0"/>
    <n v="8.9"/>
    <n v="22157823"/>
    <n v="1837388"/>
    <n v="74"/>
    <x v="0"/>
    <x v="3"/>
  </r>
  <r>
    <x v="28"/>
    <s v="Last Legacy 1032"/>
    <x v="0"/>
    <s v="S. Patel"/>
    <x v="3"/>
    <d v="2015-03-02T00:00:00"/>
    <x v="19"/>
    <x v="1"/>
    <s v="148 Min"/>
    <x v="10"/>
    <n v="6.2"/>
    <n v="3420898"/>
    <n v="3566520"/>
    <n v="72"/>
    <x v="2"/>
    <x v="3"/>
  </r>
  <r>
    <x v="29"/>
    <s v="Silent Legacy 742"/>
    <x v="1"/>
    <s v="Unknown"/>
    <x v="3"/>
    <d v="2015-03-05T00:00:00"/>
    <x v="20"/>
    <x v="8"/>
    <s v="7 Seasons"/>
    <x v="2"/>
    <n v="8.1999999999999993"/>
    <n v="18572246"/>
    <n v="4716830"/>
    <n v="66"/>
    <x v="5"/>
    <x v="0"/>
  </r>
  <r>
    <x v="30"/>
    <s v="Hidden Story 1985"/>
    <x v="0"/>
    <s v="P. Johnson"/>
    <x v="3"/>
    <d v="2015-03-05T00:00:00"/>
    <x v="6"/>
    <x v="6"/>
    <s v="175 Min"/>
    <x v="1"/>
    <n v="5.6"/>
    <n v="3159030"/>
    <n v="1578794"/>
    <n v="58"/>
    <x v="7"/>
    <x v="0"/>
  </r>
  <r>
    <x v="31"/>
    <s v="Lost Legacy 650"/>
    <x v="1"/>
    <s v="N. Singh"/>
    <x v="7"/>
    <d v="2015-03-07T00:00:00"/>
    <x v="19"/>
    <x v="2"/>
    <s v="1 Seasons"/>
    <x v="8"/>
    <n v="7.8"/>
    <n v="21353788"/>
    <n v="1224990"/>
    <n v="120"/>
    <x v="6"/>
    <x v="3"/>
  </r>
  <r>
    <x v="32"/>
    <s v="Fire Edge 1716"/>
    <x v="1"/>
    <s v="K. Tanaka"/>
    <x v="3"/>
    <d v="2015-03-08T00:00:00"/>
    <x v="17"/>
    <x v="1"/>
    <s v="3 Seasons"/>
    <x v="3"/>
    <n v="9"/>
    <n v="5499883"/>
    <n v="3304857"/>
    <n v="99"/>
    <x v="3"/>
    <x v="3"/>
  </r>
  <r>
    <x v="33"/>
    <s v="Hidden Truth 1747"/>
    <x v="0"/>
    <s v="S. Patel"/>
    <x v="9"/>
    <d v="2015-03-10T00:00:00"/>
    <x v="0"/>
    <x v="6"/>
    <s v="94 Min"/>
    <x v="6"/>
    <n v="6.8"/>
    <n v="22041282"/>
    <n v="4192007"/>
    <n v="58"/>
    <x v="9"/>
    <x v="2"/>
  </r>
  <r>
    <x v="34"/>
    <s v="Broken Files 395"/>
    <x v="0"/>
    <s v="L. Brown"/>
    <x v="1"/>
    <d v="2015-03-13T00:00:00"/>
    <x v="7"/>
    <x v="7"/>
    <s v="137 Min"/>
    <x v="9"/>
    <n v="4.9000000000000004"/>
    <n v="12219797"/>
    <n v="4198527"/>
    <n v="40"/>
    <x v="2"/>
    <x v="3"/>
  </r>
  <r>
    <x v="35"/>
    <s v="Royal Night 160"/>
    <x v="0"/>
    <s v="K. Tanaka"/>
    <x v="9"/>
    <d v="2015-03-19T00:00:00"/>
    <x v="14"/>
    <x v="4"/>
    <s v="126 Min"/>
    <x v="3"/>
    <n v="6.1"/>
    <n v="13012003"/>
    <n v="3858874"/>
    <n v="54"/>
    <x v="1"/>
    <x v="3"/>
  </r>
  <r>
    <x v="36"/>
    <s v="Future Zone 1892"/>
    <x v="0"/>
    <s v="Unknown"/>
    <x v="4"/>
    <d v="2015-03-24T00:00:00"/>
    <x v="17"/>
    <x v="7"/>
    <s v="92 Min"/>
    <x v="10"/>
    <n v="5.2"/>
    <n v="1744701"/>
    <n v="44519"/>
    <n v="52"/>
    <x v="6"/>
    <x v="1"/>
  </r>
  <r>
    <x v="37"/>
    <s v="Ocean Truth 1601"/>
    <x v="0"/>
    <s v="A. Smith"/>
    <x v="8"/>
    <d v="2015-04-02T00:00:00"/>
    <x v="21"/>
    <x v="3"/>
    <s v="94 Min"/>
    <x v="9"/>
    <n v="5.6"/>
    <n v="19819829"/>
    <n v="721065"/>
    <n v="90"/>
    <x v="7"/>
    <x v="3"/>
  </r>
  <r>
    <x v="38"/>
    <s v="Lost Valley 823"/>
    <x v="2"/>
    <s v="M. Garcia"/>
    <x v="11"/>
    <d v="2015-04-06T00:00:00"/>
    <x v="1"/>
    <x v="1"/>
    <s v="7 Seasons"/>
    <x v="7"/>
    <n v="6.9"/>
    <n v="85280"/>
    <n v="2875284"/>
    <n v="52"/>
    <x v="9"/>
    <x v="0"/>
  </r>
  <r>
    <x v="39"/>
    <s v="Last Chronicles 185"/>
    <x v="1"/>
    <s v="Unknown"/>
    <x v="5"/>
    <d v="2015-04-07T00:00:00"/>
    <x v="16"/>
    <x v="3"/>
    <s v="5 Seasons"/>
    <x v="9"/>
    <n v="5.9"/>
    <n v="2354362"/>
    <n v="4602527"/>
    <n v="78"/>
    <x v="7"/>
    <x v="2"/>
  </r>
  <r>
    <x v="40"/>
    <s v="Blue Signal 1742"/>
    <x v="1"/>
    <s v="S. Patel"/>
    <x v="9"/>
    <d v="2015-04-14T00:00:00"/>
    <x v="13"/>
    <x v="5"/>
    <s v="3 Seasons"/>
    <x v="6"/>
    <n v="5.3"/>
    <n v="10592042"/>
    <n v="4630441"/>
    <n v="100"/>
    <x v="3"/>
    <x v="0"/>
  </r>
  <r>
    <x v="41"/>
    <s v="Broken Valley 1089"/>
    <x v="0"/>
    <s v="R. Kumar"/>
    <x v="6"/>
    <d v="2015-04-16T00:00:00"/>
    <x v="4"/>
    <x v="9"/>
    <s v="151 Min"/>
    <x v="2"/>
    <n v="5.2"/>
    <n v="2900450"/>
    <n v="4185485"/>
    <n v="76"/>
    <x v="4"/>
    <x v="2"/>
  </r>
  <r>
    <x v="42"/>
    <s v="Royal Signal 1373"/>
    <x v="0"/>
    <s v="J. Lee"/>
    <x v="4"/>
    <d v="2015-04-18T00:00:00"/>
    <x v="22"/>
    <x v="0"/>
    <s v="132 Min"/>
    <x v="6"/>
    <n v="5.0999999999999996"/>
    <n v="8626400"/>
    <n v="2391233"/>
    <n v="57"/>
    <x v="7"/>
    <x v="1"/>
  </r>
  <r>
    <x v="43"/>
    <s v="Ocean Empire 1782"/>
    <x v="0"/>
    <s v="N. Singh"/>
    <x v="1"/>
    <d v="2015-04-18T00:00:00"/>
    <x v="22"/>
    <x v="0"/>
    <s v="146 Min"/>
    <x v="0"/>
    <n v="7.8"/>
    <n v="1631051"/>
    <n v="1845959"/>
    <n v="90"/>
    <x v="2"/>
    <x v="3"/>
  </r>
  <r>
    <x v="44"/>
    <s v="Blue Legacy 1963"/>
    <x v="1"/>
    <s v="S. Patel"/>
    <x v="2"/>
    <d v="2015-04-18T00:00:00"/>
    <x v="3"/>
    <x v="3"/>
    <s v="3 Seasons"/>
    <x v="3"/>
    <n v="7.5"/>
    <n v="2969749"/>
    <n v="848740"/>
    <n v="40"/>
    <x v="4"/>
    <x v="2"/>
  </r>
  <r>
    <x v="45"/>
    <s v="Last Journey 956"/>
    <x v="0"/>
    <s v="S. Patel"/>
    <x v="3"/>
    <d v="2015-04-19T00:00:00"/>
    <x v="23"/>
    <x v="5"/>
    <s v="131 Min"/>
    <x v="3"/>
    <n v="8.9"/>
    <n v="7446810"/>
    <n v="4598301"/>
    <n v="85"/>
    <x v="2"/>
    <x v="0"/>
  </r>
  <r>
    <x v="46"/>
    <s v="Secret Mission 1401"/>
    <x v="1"/>
    <s v="M. Garcia"/>
    <x v="1"/>
    <d v="2015-04-19T00:00:00"/>
    <x v="24"/>
    <x v="2"/>
    <s v="3 Seasons"/>
    <x v="3"/>
    <n v="5.2"/>
    <n v="16957117"/>
    <n v="4240208"/>
    <n v="78"/>
    <x v="5"/>
    <x v="0"/>
  </r>
  <r>
    <x v="47"/>
    <s v="Shadow Legacy 1538"/>
    <x v="1"/>
    <s v="K. Tanaka"/>
    <x v="1"/>
    <d v="2015-04-21T00:00:00"/>
    <x v="21"/>
    <x v="0"/>
    <s v="8 Seasons"/>
    <x v="5"/>
    <n v="5.7"/>
    <n v="18339176"/>
    <n v="4041616"/>
    <n v="86"/>
    <x v="2"/>
    <x v="0"/>
  </r>
  <r>
    <x v="48"/>
    <s v="Royal Story 442"/>
    <x v="1"/>
    <s v="M. Garcia"/>
    <x v="4"/>
    <d v="2015-04-22T00:00:00"/>
    <x v="11"/>
    <x v="3"/>
    <s v="4 Seasons"/>
    <x v="0"/>
    <n v="4.5999999999999996"/>
    <n v="17570099"/>
    <n v="4107126"/>
    <n v="96"/>
    <x v="9"/>
    <x v="1"/>
  </r>
  <r>
    <x v="49"/>
    <s v="Broken Valley 1166"/>
    <x v="0"/>
    <s v="S. Patel"/>
    <x v="7"/>
    <d v="2015-04-25T00:00:00"/>
    <x v="0"/>
    <x v="5"/>
    <s v="156 Min"/>
    <x v="8"/>
    <n v="4.7"/>
    <n v="753435"/>
    <n v="4581311"/>
    <n v="97"/>
    <x v="4"/>
    <x v="3"/>
  </r>
  <r>
    <x v="50"/>
    <s v="Hidden Journey 793"/>
    <x v="0"/>
    <s v="A. Smith"/>
    <x v="3"/>
    <d v="2015-04-26T00:00:00"/>
    <x v="7"/>
    <x v="5"/>
    <s v="148 Min"/>
    <x v="4"/>
    <n v="6.7"/>
    <n v="1917807"/>
    <n v="4162483"/>
    <n v="80"/>
    <x v="5"/>
    <x v="3"/>
  </r>
  <r>
    <x v="51"/>
    <s v="Echo Line 1216"/>
    <x v="0"/>
    <s v="A. Smith"/>
    <x v="0"/>
    <d v="2015-04-26T00:00:00"/>
    <x v="22"/>
    <x v="9"/>
    <s v="100 Min"/>
    <x v="5"/>
    <n v="11.2"/>
    <n v="1517249"/>
    <n v="2615199"/>
    <n v="64"/>
    <x v="6"/>
    <x v="3"/>
  </r>
  <r>
    <x v="52"/>
    <s v="Infinite Line 1566"/>
    <x v="0"/>
    <s v="Unknown"/>
    <x v="1"/>
    <d v="2015-04-29T00:00:00"/>
    <x v="11"/>
    <x v="4"/>
    <s v="131 Min"/>
    <x v="6"/>
    <n v="4.5999999999999996"/>
    <n v="5187677"/>
    <n v="3919596"/>
    <n v="66"/>
    <x v="1"/>
    <x v="0"/>
  </r>
  <r>
    <x v="53"/>
    <s v="Royal Game 1790"/>
    <x v="0"/>
    <s v="A. Smith"/>
    <x v="1"/>
    <d v="2015-05-01T00:00:00"/>
    <x v="8"/>
    <x v="4"/>
    <s v="121 Min"/>
    <x v="9"/>
    <n v="7.6"/>
    <n v="7015488"/>
    <n v="2470424"/>
    <n v="45"/>
    <x v="3"/>
    <x v="1"/>
  </r>
  <r>
    <x v="54"/>
    <s v="Blue Night 1040"/>
    <x v="1"/>
    <s v="D. Kim"/>
    <x v="3"/>
    <d v="2015-05-03T00:00:00"/>
    <x v="6"/>
    <x v="6"/>
    <s v="1 Seasons"/>
    <x v="2"/>
    <n v="6.9"/>
    <n v="11838947"/>
    <n v="487725"/>
    <n v="67"/>
    <x v="6"/>
    <x v="3"/>
  </r>
  <r>
    <x v="55"/>
    <s v="Royal Edge 1377"/>
    <x v="1"/>
    <s v="R. Kumar"/>
    <x v="5"/>
    <d v="2015-05-06T00:00:00"/>
    <x v="22"/>
    <x v="5"/>
    <s v="5 Seasons"/>
    <x v="4"/>
    <n v="9.6999999999999993"/>
    <n v="20366092"/>
    <n v="82308"/>
    <n v="120"/>
    <x v="9"/>
    <x v="1"/>
  </r>
  <r>
    <x v="56"/>
    <s v="Infinite Empire 1996"/>
    <x v="2"/>
    <s v="M. Garcia"/>
    <x v="7"/>
    <d v="2015-05-06T00:00:00"/>
    <x v="22"/>
    <x v="3"/>
    <s v="2 Seasons"/>
    <x v="9"/>
    <n v="4.8"/>
    <n v="523302"/>
    <n v="3088430"/>
    <n v="46"/>
    <x v="7"/>
    <x v="2"/>
  </r>
  <r>
    <x v="57"/>
    <s v="Fire World 968"/>
    <x v="0"/>
    <s v="L. Brown"/>
    <x v="4"/>
    <d v="2015-05-08T00:00:00"/>
    <x v="14"/>
    <x v="9"/>
    <s v="162 Min"/>
    <x v="5"/>
    <n v="9.1999999999999993"/>
    <n v="9024614"/>
    <n v="3669507"/>
    <n v="76"/>
    <x v="2"/>
    <x v="0"/>
  </r>
  <r>
    <x v="58"/>
    <s v="Fire Mission 1753"/>
    <x v="1"/>
    <s v="Unknown"/>
    <x v="2"/>
    <d v="2015-05-18T00:00:00"/>
    <x v="3"/>
    <x v="2"/>
    <s v="7 Seasons"/>
    <x v="8"/>
    <n v="6.2"/>
    <n v="6971775"/>
    <n v="4497218"/>
    <n v="41"/>
    <x v="7"/>
    <x v="4"/>
  </r>
  <r>
    <x v="59"/>
    <s v="Lost Rise 1712"/>
    <x v="0"/>
    <s v="P. Johnson"/>
    <x v="8"/>
    <d v="2015-05-19T00:00:00"/>
    <x v="2"/>
    <x v="8"/>
    <s v="152 Min"/>
    <x v="10"/>
    <n v="9.4"/>
    <n v="22279115"/>
    <n v="1431706"/>
    <n v="47"/>
    <x v="1"/>
    <x v="4"/>
  </r>
  <r>
    <x v="60"/>
    <s v="Silent Journey 924"/>
    <x v="0"/>
    <s v="K. Tanaka"/>
    <x v="12"/>
    <d v="2015-05-22T00:00:00"/>
    <x v="22"/>
    <x v="5"/>
    <s v="80 Min"/>
    <x v="1"/>
    <n v="4.7"/>
    <n v="16483860"/>
    <n v="2879994"/>
    <n v="85"/>
    <x v="3"/>
    <x v="4"/>
  </r>
  <r>
    <x v="61"/>
    <s v="Last Rise 371"/>
    <x v="2"/>
    <s v="M. Garcia"/>
    <x v="5"/>
    <d v="2015-05-27T00:00:00"/>
    <x v="22"/>
    <x v="3"/>
    <s v="2 Seasons"/>
    <x v="9"/>
    <n v="5.0999999999999996"/>
    <n v="19781938"/>
    <n v="3533246"/>
    <n v="61"/>
    <x v="9"/>
    <x v="0"/>
  </r>
  <r>
    <x v="62"/>
    <s v="Royal Zone 1710"/>
    <x v="2"/>
    <s v="R. Kumar"/>
    <x v="9"/>
    <d v="2015-05-28T00:00:00"/>
    <x v="11"/>
    <x v="8"/>
    <s v="3 Seasons"/>
    <x v="5"/>
    <n v="5.9"/>
    <n v="9951298"/>
    <n v="4072686"/>
    <n v="69"/>
    <x v="0"/>
    <x v="3"/>
  </r>
  <r>
    <x v="63"/>
    <s v="Infinite World 1950"/>
    <x v="2"/>
    <s v="L. Brown"/>
    <x v="1"/>
    <d v="2015-05-28T00:00:00"/>
    <x v="7"/>
    <x v="3"/>
    <s v="3 Seasons"/>
    <x v="3"/>
    <n v="5.4"/>
    <n v="4215881"/>
    <n v="4174784"/>
    <n v="41"/>
    <x v="7"/>
    <x v="3"/>
  </r>
  <r>
    <x v="64"/>
    <s v="Crimson Truth 1133"/>
    <x v="2"/>
    <s v="S. Patel"/>
    <x v="6"/>
    <d v="2015-05-29T00:00:00"/>
    <x v="7"/>
    <x v="3"/>
    <s v="Unknown"/>
    <x v="7"/>
    <n v="8.5"/>
    <n v="6278755"/>
    <n v="4696463"/>
    <n v="60"/>
    <x v="2"/>
    <x v="1"/>
  </r>
  <r>
    <x v="65"/>
    <s v="Future Line 1087"/>
    <x v="0"/>
    <s v="Unknown"/>
    <x v="4"/>
    <d v="2015-06-03T00:00:00"/>
    <x v="21"/>
    <x v="2"/>
    <s v="92 Min"/>
    <x v="9"/>
    <n v="6.9"/>
    <n v="7859772"/>
    <n v="363587"/>
    <n v="54"/>
    <x v="2"/>
    <x v="4"/>
  </r>
  <r>
    <x v="66"/>
    <s v="Silent Legacy 1262"/>
    <x v="0"/>
    <s v="N. Singh"/>
    <x v="11"/>
    <d v="2015-06-04T00:00:00"/>
    <x v="3"/>
    <x v="0"/>
    <s v="176 Min"/>
    <x v="4"/>
    <n v="7.9"/>
    <n v="13155121"/>
    <n v="3882245"/>
    <n v="60"/>
    <x v="5"/>
    <x v="4"/>
  </r>
  <r>
    <x v="67"/>
    <s v="Infinite Line 1884"/>
    <x v="1"/>
    <s v="K. Tanaka"/>
    <x v="7"/>
    <d v="2015-06-05T00:00:00"/>
    <x v="25"/>
    <x v="9"/>
    <s v="6 Seasons"/>
    <x v="8"/>
    <n v="6.3"/>
    <n v="14832670"/>
    <n v="3868274"/>
    <n v="74"/>
    <x v="9"/>
    <x v="2"/>
  </r>
  <r>
    <x v="68"/>
    <s v="Crimson Zone 292"/>
    <x v="0"/>
    <s v="R. Kumar"/>
    <x v="0"/>
    <d v="2015-06-08T00:00:00"/>
    <x v="20"/>
    <x v="0"/>
    <s v="172 Min"/>
    <x v="2"/>
    <n v="11.2"/>
    <n v="7474259"/>
    <n v="684603"/>
    <n v="75"/>
    <x v="2"/>
    <x v="3"/>
  </r>
  <r>
    <x v="69"/>
    <s v="Royal Signal 630"/>
    <x v="0"/>
    <s v="L. Brown"/>
    <x v="1"/>
    <d v="2015-06-08T00:00:00"/>
    <x v="25"/>
    <x v="6"/>
    <s v="99 Min"/>
    <x v="3"/>
    <n v="7.4"/>
    <n v="21691448"/>
    <n v="4772925"/>
    <n v="49"/>
    <x v="5"/>
    <x v="4"/>
  </r>
  <r>
    <x v="70"/>
    <s v="Infinite Line 800"/>
    <x v="0"/>
    <s v="A. Smith"/>
    <x v="2"/>
    <d v="2015-06-08T00:00:00"/>
    <x v="21"/>
    <x v="9"/>
    <s v="138 Min"/>
    <x v="8"/>
    <n v="6.3"/>
    <n v="17991357"/>
    <n v="4827131"/>
    <n v="78"/>
    <x v="4"/>
    <x v="1"/>
  </r>
  <r>
    <x v="71"/>
    <s v="Beyond Truth 1539"/>
    <x v="1"/>
    <s v="K. Tanaka"/>
    <x v="6"/>
    <d v="2015-06-14T00:00:00"/>
    <x v="17"/>
    <x v="3"/>
    <s v="1 Seasons"/>
    <x v="3"/>
    <n v="8.1999999999999993"/>
    <n v="7054279"/>
    <n v="2747427"/>
    <n v="70"/>
    <x v="4"/>
    <x v="2"/>
  </r>
  <r>
    <x v="72"/>
    <s v="Silent Truth 1832"/>
    <x v="0"/>
    <s v="R. Kumar"/>
    <x v="8"/>
    <d v="2015-06-14T00:00:00"/>
    <x v="11"/>
    <x v="9"/>
    <s v="138 Min"/>
    <x v="2"/>
    <n v="7.2"/>
    <n v="3968966"/>
    <n v="1370206"/>
    <n v="42"/>
    <x v="8"/>
    <x v="0"/>
  </r>
  <r>
    <x v="73"/>
    <s v="Crimson Signal 819"/>
    <x v="0"/>
    <s v="R. Kumar"/>
    <x v="8"/>
    <d v="2015-06-17T00:00:00"/>
    <x v="18"/>
    <x v="3"/>
    <s v="175 Min"/>
    <x v="3"/>
    <n v="6.4"/>
    <n v="1207989"/>
    <n v="1662965"/>
    <n v="72"/>
    <x v="3"/>
    <x v="0"/>
  </r>
  <r>
    <x v="74"/>
    <s v="Crimson Quest 1908"/>
    <x v="2"/>
    <s v="A. Smith"/>
    <x v="0"/>
    <d v="2015-06-18T00:00:00"/>
    <x v="10"/>
    <x v="7"/>
    <s v="8 Seasons"/>
    <x v="1"/>
    <n v="7.7"/>
    <n v="20350514"/>
    <n v="2510093"/>
    <n v="75"/>
    <x v="8"/>
    <x v="2"/>
  </r>
  <r>
    <x v="75"/>
    <s v="Beyond Valley 600"/>
    <x v="2"/>
    <s v="L. Brown"/>
    <x v="9"/>
    <d v="2015-06-22T00:00:00"/>
    <x v="22"/>
    <x v="5"/>
    <s v="1 Seasons"/>
    <x v="6"/>
    <n v="8.6"/>
    <n v="13670383"/>
    <n v="24283"/>
    <n v="49"/>
    <x v="7"/>
    <x v="4"/>
  </r>
  <r>
    <x v="76"/>
    <s v="Dark Rise 725"/>
    <x v="0"/>
    <s v="M. Garcia"/>
    <x v="6"/>
    <d v="2015-06-24T00:00:00"/>
    <x v="3"/>
    <x v="6"/>
    <s v="148 Min"/>
    <x v="0"/>
    <n v="5.5"/>
    <n v="12535454"/>
    <n v="4584613"/>
    <n v="70"/>
    <x v="5"/>
    <x v="3"/>
  </r>
  <r>
    <x v="77"/>
    <s v="Hidden Game 727"/>
    <x v="0"/>
    <s v="M. Garcia"/>
    <x v="10"/>
    <d v="2015-06-24T00:00:00"/>
    <x v="3"/>
    <x v="2"/>
    <s v="93 Min"/>
    <x v="7"/>
    <n v="7.2"/>
    <n v="8490152"/>
    <n v="4119602"/>
    <n v="84"/>
    <x v="3"/>
    <x v="4"/>
  </r>
  <r>
    <x v="78"/>
    <s v="Crimson Code 851"/>
    <x v="0"/>
    <s v="Unknown"/>
    <x v="7"/>
    <d v="2015-06-24T00:00:00"/>
    <x v="5"/>
    <x v="4"/>
    <s v="107 Min"/>
    <x v="2"/>
    <n v="8.1999999999999993"/>
    <n v="2567630"/>
    <n v="1757799"/>
    <n v="50"/>
    <x v="1"/>
    <x v="1"/>
  </r>
  <r>
    <x v="79"/>
    <s v="Silent Rise 934"/>
    <x v="0"/>
    <s v="Unknown"/>
    <x v="7"/>
    <d v="2015-06-26T00:00:00"/>
    <x v="26"/>
    <x v="3"/>
    <s v="85 Min"/>
    <x v="2"/>
    <n v="8.1"/>
    <n v="4437264"/>
    <n v="2167265"/>
    <n v="86"/>
    <x v="5"/>
    <x v="4"/>
  </r>
  <r>
    <x v="80"/>
    <s v="Future Chronicles 506"/>
    <x v="0"/>
    <s v="D. Kim"/>
    <x v="7"/>
    <d v="2015-07-04T00:00:00"/>
    <x v="24"/>
    <x v="3"/>
    <s v="146 Min"/>
    <x v="7"/>
    <n v="5.5"/>
    <n v="13804259"/>
    <n v="589672"/>
    <n v="93"/>
    <x v="9"/>
    <x v="0"/>
  </r>
  <r>
    <x v="81"/>
    <s v="Hidden Dream 1350"/>
    <x v="0"/>
    <s v="S. Patel"/>
    <x v="7"/>
    <d v="2015-07-04T00:00:00"/>
    <x v="11"/>
    <x v="1"/>
    <s v="136 Min"/>
    <x v="1"/>
    <n v="6.4"/>
    <n v="16669266"/>
    <n v="3638274"/>
    <n v="94"/>
    <x v="6"/>
    <x v="2"/>
  </r>
  <r>
    <x v="82"/>
    <s v="Infinite Quest 699"/>
    <x v="1"/>
    <s v="A. Smith"/>
    <x v="3"/>
    <d v="2015-07-06T00:00:00"/>
    <x v="18"/>
    <x v="2"/>
    <s v="7 Seasons"/>
    <x v="6"/>
    <n v="8.9"/>
    <n v="7264137"/>
    <n v="2689505"/>
    <n v="86"/>
    <x v="6"/>
    <x v="0"/>
  </r>
  <r>
    <x v="83"/>
    <s v="Hidden Code 1031"/>
    <x v="1"/>
    <s v="K. Tanaka"/>
    <x v="11"/>
    <d v="2015-07-07T00:00:00"/>
    <x v="15"/>
    <x v="4"/>
    <s v="1 Seasons"/>
    <x v="1"/>
    <n v="8.3000000000000007"/>
    <n v="15713261"/>
    <n v="4356555"/>
    <n v="46"/>
    <x v="8"/>
    <x v="1"/>
  </r>
  <r>
    <x v="84"/>
    <s v="Silent Game 1169"/>
    <x v="0"/>
    <s v="K. Tanaka"/>
    <x v="8"/>
    <d v="2015-07-10T00:00:00"/>
    <x v="11"/>
    <x v="3"/>
    <s v="161 Min"/>
    <x v="0"/>
    <n v="6.5"/>
    <n v="15926570"/>
    <n v="923908"/>
    <n v="69"/>
    <x v="5"/>
    <x v="0"/>
  </r>
  <r>
    <x v="85"/>
    <s v="Last Journey 939"/>
    <x v="1"/>
    <s v="Unknown"/>
    <x v="11"/>
    <d v="2015-07-12T00:00:00"/>
    <x v="6"/>
    <x v="9"/>
    <s v="2 Seasons"/>
    <x v="1"/>
    <n v="5.9"/>
    <n v="8049591"/>
    <n v="2470601"/>
    <n v="45"/>
    <x v="9"/>
    <x v="3"/>
  </r>
  <r>
    <x v="86"/>
    <s v="Royal World 505"/>
    <x v="1"/>
    <s v="Unknown"/>
    <x v="2"/>
    <d v="2015-07-14T00:00:00"/>
    <x v="24"/>
    <x v="8"/>
    <s v="8 Seasons"/>
    <x v="5"/>
    <n v="5.7"/>
    <n v="19069893"/>
    <n v="4687025"/>
    <n v="86"/>
    <x v="0"/>
    <x v="1"/>
  </r>
  <r>
    <x v="87"/>
    <s v="Broken Truth 1586"/>
    <x v="0"/>
    <s v="M. Garcia"/>
    <x v="3"/>
    <d v="2015-07-14T00:00:00"/>
    <x v="7"/>
    <x v="1"/>
    <s v="78 Min"/>
    <x v="1"/>
    <n v="9.4"/>
    <n v="747525"/>
    <n v="1678280"/>
    <n v="59"/>
    <x v="0"/>
    <x v="3"/>
  </r>
  <r>
    <x v="88"/>
    <s v="Blue Zone 1234"/>
    <x v="2"/>
    <s v="N. Singh"/>
    <x v="6"/>
    <d v="2015-07-16T00:00:00"/>
    <x v="27"/>
    <x v="9"/>
    <s v="4 Seasons"/>
    <x v="2"/>
    <n v="7.2"/>
    <n v="9150001"/>
    <n v="1012717"/>
    <n v="56"/>
    <x v="9"/>
    <x v="4"/>
  </r>
  <r>
    <x v="89"/>
    <s v="Broken Legacy 402"/>
    <x v="1"/>
    <s v="P. Johnson"/>
    <x v="6"/>
    <d v="2015-07-21T00:00:00"/>
    <x v="25"/>
    <x v="8"/>
    <s v="6 Seasons"/>
    <x v="9"/>
    <n v="6.2"/>
    <n v="19508257"/>
    <n v="1223545"/>
    <n v="71"/>
    <x v="4"/>
    <x v="1"/>
  </r>
  <r>
    <x v="90"/>
    <s v="Lost Story 1126"/>
    <x v="1"/>
    <s v="L. Brown"/>
    <x v="1"/>
    <d v="2015-07-21T00:00:00"/>
    <x v="9"/>
    <x v="3"/>
    <s v="8 Seasons"/>
    <x v="1"/>
    <n v="9.5"/>
    <n v="9014162"/>
    <n v="1533954"/>
    <n v="66"/>
    <x v="3"/>
    <x v="4"/>
  </r>
  <r>
    <x v="91"/>
    <s v="Echo Quest 1636"/>
    <x v="0"/>
    <s v="D. Kim"/>
    <x v="2"/>
    <d v="2015-07-23T00:00:00"/>
    <x v="15"/>
    <x v="8"/>
    <s v="158 Min"/>
    <x v="7"/>
    <n v="6.2"/>
    <n v="17157249"/>
    <n v="3258241"/>
    <n v="66"/>
    <x v="7"/>
    <x v="0"/>
  </r>
  <r>
    <x v="92"/>
    <s v="Secret Rise 1967"/>
    <x v="2"/>
    <s v="N. Singh"/>
    <x v="4"/>
    <d v="2015-07-24T00:00:00"/>
    <x v="7"/>
    <x v="3"/>
    <s v="2 Seasons"/>
    <x v="9"/>
    <n v="6.2"/>
    <n v="23136641"/>
    <n v="2960387"/>
    <n v="79"/>
    <x v="3"/>
    <x v="3"/>
  </r>
  <r>
    <x v="93"/>
    <s v="Blue Edge 928"/>
    <x v="2"/>
    <s v="Unknown"/>
    <x v="7"/>
    <d v="2015-07-25T00:00:00"/>
    <x v="16"/>
    <x v="6"/>
    <s v="7 Seasons"/>
    <x v="2"/>
    <n v="6.6"/>
    <n v="1272641"/>
    <n v="252957"/>
    <n v="45"/>
    <x v="8"/>
    <x v="1"/>
  </r>
  <r>
    <x v="94"/>
    <s v="Future Truth 1817"/>
    <x v="2"/>
    <s v="J. Lee"/>
    <x v="12"/>
    <d v="2015-07-26T00:00:00"/>
    <x v="26"/>
    <x v="7"/>
    <s v="7 Seasons"/>
    <x v="6"/>
    <n v="7.1"/>
    <n v="1628385"/>
    <n v="1879613"/>
    <n v="53"/>
    <x v="5"/>
    <x v="3"/>
  </r>
  <r>
    <x v="95"/>
    <s v="Royal World 482"/>
    <x v="1"/>
    <s v="S. Patel"/>
    <x v="6"/>
    <d v="2015-07-27T00:00:00"/>
    <x v="26"/>
    <x v="3"/>
    <s v="8 Seasons"/>
    <x v="2"/>
    <n v="6.8"/>
    <n v="19434219"/>
    <n v="3897593"/>
    <n v="49"/>
    <x v="0"/>
    <x v="1"/>
  </r>
  <r>
    <x v="96"/>
    <s v="Wild Game 770"/>
    <x v="0"/>
    <s v="R. Kumar"/>
    <x v="2"/>
    <d v="2015-07-28T00:00:00"/>
    <x v="21"/>
    <x v="1"/>
    <s v="176 Min"/>
    <x v="10"/>
    <n v="8"/>
    <n v="10875396"/>
    <n v="997598"/>
    <n v="47"/>
    <x v="5"/>
    <x v="3"/>
  </r>
  <r>
    <x v="97"/>
    <s v="Hidden World 1663"/>
    <x v="1"/>
    <s v="S. Patel"/>
    <x v="9"/>
    <d v="2015-07-28T00:00:00"/>
    <x v="17"/>
    <x v="5"/>
    <s v="5 Seasons"/>
    <x v="10"/>
    <n v="5.8"/>
    <n v="1645024"/>
    <n v="1335384"/>
    <n v="52"/>
    <x v="5"/>
    <x v="0"/>
  </r>
  <r>
    <x v="98"/>
    <s v="Infinite Quest 1212"/>
    <x v="2"/>
    <s v="Unknown"/>
    <x v="1"/>
    <d v="2015-07-29T00:00:00"/>
    <x v="26"/>
    <x v="5"/>
    <s v="7 Seasons"/>
    <x v="4"/>
    <n v="6.6"/>
    <n v="17578256"/>
    <n v="1871950"/>
    <n v="75"/>
    <x v="0"/>
    <x v="3"/>
  </r>
  <r>
    <x v="99"/>
    <s v="Hidden World 790"/>
    <x v="0"/>
    <s v="N. Singh"/>
    <x v="0"/>
    <d v="2015-07-30T00:00:00"/>
    <x v="14"/>
    <x v="7"/>
    <s v="170 Min"/>
    <x v="4"/>
    <n v="6.7"/>
    <n v="11243709"/>
    <n v="1329549"/>
    <n v="96"/>
    <x v="2"/>
    <x v="2"/>
  </r>
  <r>
    <x v="100"/>
    <s v="Broken Truth 1614"/>
    <x v="1"/>
    <s v="P. Johnson"/>
    <x v="6"/>
    <d v="2015-07-30T00:00:00"/>
    <x v="8"/>
    <x v="2"/>
    <s v="2 Seasons"/>
    <x v="7"/>
    <n v="8.9"/>
    <n v="496408"/>
    <n v="1570933"/>
    <n v="50"/>
    <x v="8"/>
    <x v="0"/>
  </r>
  <r>
    <x v="101"/>
    <s v="Hidden Files 182"/>
    <x v="0"/>
    <s v="M. Garcia"/>
    <x v="12"/>
    <d v="2015-07-31T00:00:00"/>
    <x v="17"/>
    <x v="7"/>
    <s v="150 Min"/>
    <x v="3"/>
    <n v="7.1"/>
    <n v="12097677"/>
    <n v="2328675"/>
    <n v="93"/>
    <x v="0"/>
    <x v="0"/>
  </r>
  <r>
    <x v="102"/>
    <s v="Echo Rise 1621"/>
    <x v="1"/>
    <s v="R. Kumar"/>
    <x v="4"/>
    <d v="2015-07-31T00:00:00"/>
    <x v="10"/>
    <x v="0"/>
    <s v="5 Seasons"/>
    <x v="4"/>
    <n v="5"/>
    <n v="16687428"/>
    <n v="4977569"/>
    <n v="97"/>
    <x v="2"/>
    <x v="3"/>
  </r>
  <r>
    <x v="103"/>
    <s v="Blue Game 1106"/>
    <x v="1"/>
    <s v="R. Kumar"/>
    <x v="11"/>
    <d v="2015-08-05T00:00:00"/>
    <x v="13"/>
    <x v="4"/>
    <s v="4 Seasons"/>
    <x v="3"/>
    <n v="7.5"/>
    <n v="4369124"/>
    <n v="3029412"/>
    <n v="43"/>
    <x v="5"/>
    <x v="2"/>
  </r>
  <r>
    <x v="104"/>
    <s v="Fire World 1107"/>
    <x v="0"/>
    <s v="L. Brown"/>
    <x v="7"/>
    <d v="2015-08-05T00:00:00"/>
    <x v="20"/>
    <x v="1"/>
    <s v="89 Min"/>
    <x v="5"/>
    <n v="9"/>
    <n v="7757091"/>
    <n v="2429759"/>
    <n v="41"/>
    <x v="7"/>
    <x v="2"/>
  </r>
  <r>
    <x v="105"/>
    <s v="Secret Edge 1151"/>
    <x v="1"/>
    <s v="S. Patel"/>
    <x v="0"/>
    <d v="2015-08-07T00:00:00"/>
    <x v="16"/>
    <x v="5"/>
    <s v="8 Seasons"/>
    <x v="7"/>
    <n v="8.5"/>
    <n v="11258432"/>
    <n v="2005496"/>
    <n v="81"/>
    <x v="5"/>
    <x v="3"/>
  </r>
  <r>
    <x v="106"/>
    <s v="Broken Empire 257"/>
    <x v="0"/>
    <s v="Unknown"/>
    <x v="0"/>
    <d v="2015-08-09T00:00:00"/>
    <x v="16"/>
    <x v="5"/>
    <s v="111 Min"/>
    <x v="2"/>
    <n v="7.2"/>
    <n v="22217108"/>
    <n v="186180"/>
    <n v="43"/>
    <x v="7"/>
    <x v="3"/>
  </r>
  <r>
    <x v="107"/>
    <s v="Lost Truth 1369"/>
    <x v="0"/>
    <s v="R. Kumar"/>
    <x v="0"/>
    <d v="2015-08-13T00:00:00"/>
    <x v="1"/>
    <x v="7"/>
    <s v="116 Min"/>
    <x v="9"/>
    <n v="5.8"/>
    <n v="16250657"/>
    <n v="3505801"/>
    <n v="58"/>
    <x v="9"/>
    <x v="4"/>
  </r>
  <r>
    <x v="108"/>
    <s v="Broken Legacy 229"/>
    <x v="1"/>
    <s v="D. Kim"/>
    <x v="3"/>
    <d v="2015-08-15T00:00:00"/>
    <x v="15"/>
    <x v="0"/>
    <s v="2 Seasons"/>
    <x v="9"/>
    <n v="5.4"/>
    <n v="11472183"/>
    <n v="1574059"/>
    <n v="43"/>
    <x v="6"/>
    <x v="1"/>
  </r>
  <r>
    <x v="109"/>
    <s v="Echo World 901"/>
    <x v="0"/>
    <s v="J. Lee"/>
    <x v="2"/>
    <d v="2015-08-15T00:00:00"/>
    <x v="5"/>
    <x v="0"/>
    <s v="171 Min"/>
    <x v="0"/>
    <n v="5.6"/>
    <n v="1598464"/>
    <n v="1002925"/>
    <n v="47"/>
    <x v="7"/>
    <x v="4"/>
  </r>
  <r>
    <x v="110"/>
    <s v="Wild Line 1920"/>
    <x v="1"/>
    <s v="P. Johnson"/>
    <x v="1"/>
    <d v="2015-08-17T00:00:00"/>
    <x v="24"/>
    <x v="3"/>
    <s v="8 Seasons"/>
    <x v="9"/>
    <n v="7.9"/>
    <n v="8433497"/>
    <n v="4249007"/>
    <n v="95"/>
    <x v="3"/>
    <x v="3"/>
  </r>
  <r>
    <x v="111"/>
    <s v="Infinite Signal 1603"/>
    <x v="0"/>
    <s v="K. Tanaka"/>
    <x v="9"/>
    <d v="2015-08-26T00:00:00"/>
    <x v="14"/>
    <x v="4"/>
    <s v="106 Min"/>
    <x v="3"/>
    <n v="6.5"/>
    <n v="7257710"/>
    <n v="3849040"/>
    <n v="83"/>
    <x v="7"/>
    <x v="4"/>
  </r>
  <r>
    <x v="112"/>
    <s v="Urban Truth 1179"/>
    <x v="0"/>
    <s v="Unknown"/>
    <x v="8"/>
    <d v="2015-08-31T00:00:00"/>
    <x v="0"/>
    <x v="0"/>
    <s v="174 Min"/>
    <x v="0"/>
    <n v="5.8"/>
    <n v="22072373"/>
    <n v="3532433"/>
    <n v="95"/>
    <x v="4"/>
    <x v="0"/>
  </r>
  <r>
    <x v="113"/>
    <s v="Silent Quest 575"/>
    <x v="0"/>
    <s v="D. Kim"/>
    <x v="5"/>
    <d v="2015-09-02T00:00:00"/>
    <x v="27"/>
    <x v="7"/>
    <s v="91 Min"/>
    <x v="6"/>
    <n v="5.2"/>
    <n v="15380493"/>
    <n v="3618379"/>
    <n v="64"/>
    <x v="5"/>
    <x v="0"/>
  </r>
  <r>
    <x v="114"/>
    <s v="Shadow Signal 99"/>
    <x v="1"/>
    <s v="R. Kumar"/>
    <x v="12"/>
    <d v="2015-09-04T00:00:00"/>
    <x v="23"/>
    <x v="4"/>
    <s v="3 Seasons"/>
    <x v="9"/>
    <n v="7"/>
    <n v="14915292"/>
    <n v="863890"/>
    <n v="46"/>
    <x v="3"/>
    <x v="2"/>
  </r>
  <r>
    <x v="115"/>
    <s v="Beyond Line 837"/>
    <x v="0"/>
    <s v="P. Johnson"/>
    <x v="4"/>
    <d v="2015-09-05T00:00:00"/>
    <x v="3"/>
    <x v="4"/>
    <s v="Unknown"/>
    <x v="4"/>
    <n v="9.1"/>
    <n v="22857462"/>
    <n v="2860164"/>
    <n v="60"/>
    <x v="8"/>
    <x v="4"/>
  </r>
  <r>
    <x v="116"/>
    <s v="Ocean Truth 887"/>
    <x v="2"/>
    <s v="R. Kumar"/>
    <x v="7"/>
    <d v="2015-09-06T00:00:00"/>
    <x v="1"/>
    <x v="1"/>
    <s v="2 Seasons"/>
    <x v="5"/>
    <n v="7.5"/>
    <n v="19983263"/>
    <n v="4811542"/>
    <n v="97"/>
    <x v="8"/>
    <x v="0"/>
  </r>
  <r>
    <x v="117"/>
    <s v="Dark Empire 1459"/>
    <x v="2"/>
    <s v="S. Patel"/>
    <x v="7"/>
    <d v="2015-09-06T00:00:00"/>
    <x v="1"/>
    <x v="4"/>
    <s v="2 Seasons"/>
    <x v="5"/>
    <n v="6.2"/>
    <n v="7910167"/>
    <n v="4061172"/>
    <n v="45"/>
    <x v="7"/>
    <x v="4"/>
  </r>
  <r>
    <x v="118"/>
    <s v="Urban Dream 826"/>
    <x v="2"/>
    <s v="R. Kumar"/>
    <x v="8"/>
    <d v="2015-09-07T00:00:00"/>
    <x v="5"/>
    <x v="5"/>
    <s v="8 Seasons"/>
    <x v="3"/>
    <n v="8.1"/>
    <n v="22520890"/>
    <n v="4014695"/>
    <n v="88"/>
    <x v="7"/>
    <x v="3"/>
  </r>
  <r>
    <x v="119"/>
    <s v="Echo Rise 558"/>
    <x v="2"/>
    <s v="N. Singh"/>
    <x v="6"/>
    <d v="2015-09-09T00:00:00"/>
    <x v="0"/>
    <x v="3"/>
    <s v="3 Seasons"/>
    <x v="3"/>
    <n v="7.9"/>
    <n v="814836"/>
    <n v="759202"/>
    <n v="94"/>
    <x v="7"/>
    <x v="2"/>
  </r>
  <r>
    <x v="120"/>
    <s v="Dark Night 988"/>
    <x v="2"/>
    <s v="Unknown"/>
    <x v="7"/>
    <d v="2015-09-09T00:00:00"/>
    <x v="21"/>
    <x v="8"/>
    <s v="2 Seasons"/>
    <x v="3"/>
    <n v="4.8"/>
    <n v="18929098"/>
    <n v="309396"/>
    <n v="74"/>
    <x v="8"/>
    <x v="1"/>
  </r>
  <r>
    <x v="121"/>
    <s v="Future Legacy 1851"/>
    <x v="1"/>
    <s v="K. Tanaka"/>
    <x v="0"/>
    <d v="2015-09-12T00:00:00"/>
    <x v="23"/>
    <x v="8"/>
    <s v="8 Seasons"/>
    <x v="8"/>
    <n v="8.8000000000000007"/>
    <n v="22724471"/>
    <n v="4335407"/>
    <n v="63"/>
    <x v="5"/>
    <x v="2"/>
  </r>
  <r>
    <x v="122"/>
    <s v="Golden Legacy 1856"/>
    <x v="1"/>
    <s v="S. Patel"/>
    <x v="1"/>
    <d v="2015-09-12T00:00:00"/>
    <x v="0"/>
    <x v="2"/>
    <s v="2 Seasons"/>
    <x v="4"/>
    <n v="9.1"/>
    <n v="13239891"/>
    <n v="954666"/>
    <n v="65"/>
    <x v="0"/>
    <x v="1"/>
  </r>
  <r>
    <x v="123"/>
    <s v="Urban Legacy 962"/>
    <x v="0"/>
    <s v="S. Patel"/>
    <x v="6"/>
    <d v="2015-09-14T00:00:00"/>
    <x v="20"/>
    <x v="1"/>
    <s v="179 Min"/>
    <x v="3"/>
    <n v="8.9"/>
    <n v="3065982"/>
    <n v="4770103"/>
    <n v="120"/>
    <x v="9"/>
    <x v="2"/>
  </r>
  <r>
    <x v="124"/>
    <s v="Shadow Code 1024"/>
    <x v="0"/>
    <s v="S. Patel"/>
    <x v="5"/>
    <d v="2015-09-14T00:00:00"/>
    <x v="4"/>
    <x v="1"/>
    <s v="118 Min"/>
    <x v="6"/>
    <n v="7.6"/>
    <n v="16869156"/>
    <n v="1548189"/>
    <n v="46"/>
    <x v="5"/>
    <x v="2"/>
  </r>
  <r>
    <x v="125"/>
    <s v="Urban Zone 1899"/>
    <x v="0"/>
    <s v="Unknown"/>
    <x v="4"/>
    <d v="2015-09-17T00:00:00"/>
    <x v="2"/>
    <x v="2"/>
    <s v="162 Min"/>
    <x v="1"/>
    <n v="7.3"/>
    <n v="17473861"/>
    <n v="1585924"/>
    <n v="64"/>
    <x v="4"/>
    <x v="4"/>
  </r>
  <r>
    <x v="126"/>
    <s v="Silent Quest 211"/>
    <x v="0"/>
    <s v="Unknown"/>
    <x v="9"/>
    <d v="2015-09-21T00:00:00"/>
    <x v="1"/>
    <x v="3"/>
    <s v="73 Min"/>
    <x v="1"/>
    <n v="5.3"/>
    <n v="10814761"/>
    <n v="351243"/>
    <n v="63"/>
    <x v="3"/>
    <x v="1"/>
  </r>
  <r>
    <x v="127"/>
    <s v="Shadow Edge 189"/>
    <x v="0"/>
    <s v="A. Smith"/>
    <x v="9"/>
    <d v="2015-09-22T00:00:00"/>
    <x v="16"/>
    <x v="3"/>
    <s v="134 Min"/>
    <x v="4"/>
    <n v="9.5"/>
    <n v="17817091"/>
    <n v="4769519"/>
    <n v="75"/>
    <x v="2"/>
    <x v="4"/>
  </r>
  <r>
    <x v="128"/>
    <s v="Fire Quest 762"/>
    <x v="0"/>
    <s v="S. Patel"/>
    <x v="1"/>
    <d v="2015-09-25T00:00:00"/>
    <x v="1"/>
    <x v="7"/>
    <s v="75 Min"/>
    <x v="6"/>
    <n v="6.7"/>
    <n v="18803162"/>
    <n v="2679091"/>
    <n v="65"/>
    <x v="3"/>
    <x v="3"/>
  </r>
  <r>
    <x v="129"/>
    <s v="Crimson Valley 1502"/>
    <x v="0"/>
    <s v="D. Kim"/>
    <x v="9"/>
    <d v="2015-09-25T00:00:00"/>
    <x v="4"/>
    <x v="8"/>
    <s v="74 Min"/>
    <x v="8"/>
    <n v="7.8"/>
    <n v="3592188"/>
    <n v="1241400"/>
    <n v="120"/>
    <x v="6"/>
    <x v="1"/>
  </r>
  <r>
    <x v="130"/>
    <s v="Golden Files 1477"/>
    <x v="0"/>
    <s v="K. Tanaka"/>
    <x v="4"/>
    <d v="2015-09-27T00:00:00"/>
    <x v="23"/>
    <x v="5"/>
    <s v="97 Min"/>
    <x v="10"/>
    <n v="7.1"/>
    <n v="23129966"/>
    <n v="2686508"/>
    <n v="96"/>
    <x v="2"/>
    <x v="0"/>
  </r>
  <r>
    <x v="131"/>
    <s v="Golden Story 278"/>
    <x v="1"/>
    <s v="Unknown"/>
    <x v="5"/>
    <d v="2015-09-29T00:00:00"/>
    <x v="27"/>
    <x v="9"/>
    <s v="1 Seasons"/>
    <x v="7"/>
    <n v="4.9000000000000004"/>
    <n v="17482262"/>
    <n v="197012"/>
    <n v="120"/>
    <x v="2"/>
    <x v="0"/>
  </r>
  <r>
    <x v="132"/>
    <s v="Blue Night 623"/>
    <x v="2"/>
    <s v="P. Johnson"/>
    <x v="12"/>
    <d v="2015-09-29T00:00:00"/>
    <x v="8"/>
    <x v="9"/>
    <s v="6 Seasons"/>
    <x v="4"/>
    <n v="7.6"/>
    <n v="5907024"/>
    <n v="25698"/>
    <n v="54"/>
    <x v="2"/>
    <x v="3"/>
  </r>
  <r>
    <x v="133"/>
    <s v="Silent Quest 1767"/>
    <x v="0"/>
    <s v="A. Smith"/>
    <x v="8"/>
    <d v="2015-09-30T00:00:00"/>
    <x v="8"/>
    <x v="6"/>
    <s v="139 Min"/>
    <x v="2"/>
    <n v="6.1"/>
    <n v="23787561"/>
    <n v="3386699"/>
    <n v="62"/>
    <x v="9"/>
    <x v="3"/>
  </r>
  <r>
    <x v="134"/>
    <s v="Last World 976"/>
    <x v="1"/>
    <s v="N. Singh"/>
    <x v="11"/>
    <d v="2015-10-01T00:00:00"/>
    <x v="20"/>
    <x v="4"/>
    <s v="3 Seasons"/>
    <x v="1"/>
    <n v="5.3"/>
    <n v="3178217"/>
    <n v="402252"/>
    <n v="93"/>
    <x v="7"/>
    <x v="1"/>
  </r>
  <r>
    <x v="135"/>
    <s v="Blue Files 1968"/>
    <x v="0"/>
    <s v="A. Smith"/>
    <x v="2"/>
    <d v="2015-10-07T00:00:00"/>
    <x v="25"/>
    <x v="6"/>
    <s v="108 Min"/>
    <x v="5"/>
    <n v="7.5"/>
    <n v="15396512"/>
    <n v="4658329"/>
    <n v="76"/>
    <x v="1"/>
    <x v="2"/>
  </r>
  <r>
    <x v="136"/>
    <s v="Fire Signal 1189"/>
    <x v="0"/>
    <s v="N. Singh"/>
    <x v="0"/>
    <d v="2015-10-08T00:00:00"/>
    <x v="25"/>
    <x v="9"/>
    <s v="179 Min"/>
    <x v="7"/>
    <n v="5.6"/>
    <n v="23110877"/>
    <n v="3906196"/>
    <n v="84"/>
    <x v="1"/>
    <x v="3"/>
  </r>
  <r>
    <x v="137"/>
    <s v="Wild Signal 251"/>
    <x v="1"/>
    <s v="A. Smith"/>
    <x v="5"/>
    <d v="2015-10-09T00:00:00"/>
    <x v="2"/>
    <x v="3"/>
    <s v="8 Seasons"/>
    <x v="2"/>
    <n v="6.3"/>
    <n v="6227769"/>
    <n v="1147111"/>
    <n v="88"/>
    <x v="1"/>
    <x v="1"/>
  </r>
  <r>
    <x v="138"/>
    <s v="Broken Dream 1631"/>
    <x v="2"/>
    <s v="L. Brown"/>
    <x v="6"/>
    <d v="2015-10-11T00:00:00"/>
    <x v="7"/>
    <x v="5"/>
    <s v="6 Seasons"/>
    <x v="9"/>
    <n v="6.1"/>
    <n v="20553883"/>
    <n v="4804365"/>
    <n v="70"/>
    <x v="4"/>
    <x v="1"/>
  </r>
  <r>
    <x v="139"/>
    <s v="Wild Edge 1134"/>
    <x v="1"/>
    <s v="A. Smith"/>
    <x v="7"/>
    <d v="2015-10-13T00:00:00"/>
    <x v="12"/>
    <x v="8"/>
    <s v="1 Seasons"/>
    <x v="8"/>
    <n v="7.2"/>
    <n v="8111719"/>
    <n v="4863494"/>
    <n v="96"/>
    <x v="6"/>
    <x v="1"/>
  </r>
  <r>
    <x v="140"/>
    <s v="Future Legacy 1422"/>
    <x v="0"/>
    <s v="J. Lee"/>
    <x v="9"/>
    <d v="2015-10-14T00:00:00"/>
    <x v="14"/>
    <x v="4"/>
    <s v="84 Min"/>
    <x v="9"/>
    <n v="5.2"/>
    <n v="21094487"/>
    <n v="4045391"/>
    <n v="81"/>
    <x v="4"/>
    <x v="4"/>
  </r>
  <r>
    <x v="141"/>
    <s v="Hidden Dream 1644"/>
    <x v="1"/>
    <s v="J. Lee"/>
    <x v="5"/>
    <d v="2015-10-14T00:00:00"/>
    <x v="13"/>
    <x v="3"/>
    <s v="8 Seasons"/>
    <x v="4"/>
    <n v="7.6"/>
    <n v="10054895"/>
    <n v="42331"/>
    <n v="43"/>
    <x v="3"/>
    <x v="2"/>
  </r>
  <r>
    <x v="142"/>
    <s v="Royal Zone 1966"/>
    <x v="1"/>
    <s v="N. Singh"/>
    <x v="4"/>
    <d v="2015-10-16T00:00:00"/>
    <x v="20"/>
    <x v="9"/>
    <s v="2 Seasons"/>
    <x v="6"/>
    <n v="9.5"/>
    <n v="3897789"/>
    <n v="1077729"/>
    <n v="60"/>
    <x v="2"/>
    <x v="2"/>
  </r>
  <r>
    <x v="143"/>
    <s v="Last Game 1468"/>
    <x v="0"/>
    <s v="L. Brown"/>
    <x v="7"/>
    <d v="2015-10-20T00:00:00"/>
    <x v="5"/>
    <x v="6"/>
    <s v="157 Min"/>
    <x v="4"/>
    <n v="9.3000000000000007"/>
    <n v="586482"/>
    <n v="3963433"/>
    <n v="48"/>
    <x v="2"/>
    <x v="4"/>
  </r>
  <r>
    <x v="144"/>
    <s v="Crimson Empire 360"/>
    <x v="2"/>
    <s v="A. Smith"/>
    <x v="0"/>
    <d v="2015-10-27T00:00:00"/>
    <x v="25"/>
    <x v="1"/>
    <s v="8 Seasons"/>
    <x v="3"/>
    <n v="8.5"/>
    <n v="10926780"/>
    <n v="1758179"/>
    <n v="79"/>
    <x v="2"/>
    <x v="3"/>
  </r>
  <r>
    <x v="145"/>
    <s v="Crimson Empire 360"/>
    <x v="1"/>
    <s v="Unknown"/>
    <x v="7"/>
    <d v="2015-10-27T00:00:00"/>
    <x v="5"/>
    <x v="3"/>
    <s v="6 Seasons"/>
    <x v="2"/>
    <n v="9.6"/>
    <n v="14141019"/>
    <n v="3678567"/>
    <n v="93"/>
    <x v="6"/>
    <x v="3"/>
  </r>
  <r>
    <x v="146"/>
    <s v="Golden Chronicles 1723"/>
    <x v="1"/>
    <s v="J. Lee"/>
    <x v="1"/>
    <d v="2015-10-30T00:00:00"/>
    <x v="14"/>
    <x v="6"/>
    <s v="8 Seasons"/>
    <x v="6"/>
    <n v="5.6"/>
    <n v="21777738"/>
    <n v="407163"/>
    <n v="93"/>
    <x v="7"/>
    <x v="2"/>
  </r>
  <r>
    <x v="147"/>
    <s v="Wild Files 1953"/>
    <x v="0"/>
    <s v="K. Tanaka"/>
    <x v="9"/>
    <d v="2015-10-31T00:00:00"/>
    <x v="24"/>
    <x v="9"/>
    <s v="166 Min"/>
    <x v="5"/>
    <n v="9"/>
    <n v="3545939"/>
    <n v="1035647"/>
    <n v="53"/>
    <x v="1"/>
    <x v="4"/>
  </r>
  <r>
    <x v="148"/>
    <s v="Fire Quest 316"/>
    <x v="0"/>
    <s v="L. Brown"/>
    <x v="9"/>
    <d v="2015-11-01T00:00:00"/>
    <x v="26"/>
    <x v="9"/>
    <s v="119 Min"/>
    <x v="3"/>
    <n v="4.8"/>
    <n v="2650181"/>
    <n v="1808831"/>
    <n v="89"/>
    <x v="4"/>
    <x v="0"/>
  </r>
  <r>
    <x v="149"/>
    <s v="Golden Valley 621"/>
    <x v="2"/>
    <s v="Unknown"/>
    <x v="6"/>
    <d v="2015-11-07T00:00:00"/>
    <x v="6"/>
    <x v="6"/>
    <s v="5 Seasons"/>
    <x v="2"/>
    <n v="4.9000000000000004"/>
    <n v="10057534"/>
    <n v="1290302"/>
    <n v="97"/>
    <x v="9"/>
    <x v="3"/>
  </r>
  <r>
    <x v="150"/>
    <s v="Echo Mission 1300"/>
    <x v="1"/>
    <s v="N. Singh"/>
    <x v="3"/>
    <d v="2015-11-07T00:00:00"/>
    <x v="17"/>
    <x v="0"/>
    <s v="8 Seasons"/>
    <x v="6"/>
    <n v="5.9"/>
    <n v="13860624"/>
    <n v="3949988"/>
    <n v="99"/>
    <x v="3"/>
    <x v="2"/>
  </r>
  <r>
    <x v="151"/>
    <s v="Future Empire 854"/>
    <x v="1"/>
    <s v="N. Singh"/>
    <x v="10"/>
    <d v="2015-11-08T00:00:00"/>
    <x v="2"/>
    <x v="6"/>
    <s v="1 Seasons"/>
    <x v="2"/>
    <n v="6.9"/>
    <n v="19330729"/>
    <n v="3514719"/>
    <n v="73"/>
    <x v="9"/>
    <x v="2"/>
  </r>
  <r>
    <x v="152"/>
    <s v="Ocean Valley 46"/>
    <x v="0"/>
    <s v="A. Smith"/>
    <x v="11"/>
    <d v="2015-11-10T00:00:00"/>
    <x v="19"/>
    <x v="4"/>
    <s v="88 Min"/>
    <x v="10"/>
    <n v="6.5"/>
    <n v="2625056"/>
    <n v="1707308"/>
    <n v="71"/>
    <x v="5"/>
    <x v="0"/>
  </r>
  <r>
    <x v="153"/>
    <s v="Blue Zone 1441"/>
    <x v="0"/>
    <s v="Unknown"/>
    <x v="0"/>
    <d v="2015-11-10T00:00:00"/>
    <x v="12"/>
    <x v="1"/>
    <s v="122 Min"/>
    <x v="0"/>
    <n v="8.1999999999999993"/>
    <n v="20932866"/>
    <n v="3388338"/>
    <n v="49"/>
    <x v="4"/>
    <x v="0"/>
  </r>
  <r>
    <x v="154"/>
    <s v="Echo Journey 167"/>
    <x v="1"/>
    <s v="L. Brown"/>
    <x v="4"/>
    <d v="2015-11-14T00:00:00"/>
    <x v="22"/>
    <x v="7"/>
    <s v="7 Seasons"/>
    <x v="3"/>
    <n v="7.3"/>
    <n v="11685216"/>
    <n v="150082"/>
    <n v="71"/>
    <x v="1"/>
    <x v="1"/>
  </r>
  <r>
    <x v="155"/>
    <s v="Infinite Valley 1180"/>
    <x v="1"/>
    <s v="N. Singh"/>
    <x v="0"/>
    <d v="2015-11-19T00:00:00"/>
    <x v="13"/>
    <x v="1"/>
    <s v="7 Seasons"/>
    <x v="2"/>
    <n v="9.3000000000000007"/>
    <n v="7649379"/>
    <n v="1066031"/>
    <n v="95"/>
    <x v="3"/>
    <x v="3"/>
  </r>
  <r>
    <x v="156"/>
    <s v="Crimson Line 490"/>
    <x v="0"/>
    <s v="N. Singh"/>
    <x v="1"/>
    <d v="2015-11-22T00:00:00"/>
    <x v="8"/>
    <x v="6"/>
    <s v="121 Min"/>
    <x v="7"/>
    <n v="8.5"/>
    <n v="14784019"/>
    <n v="1437567"/>
    <n v="93"/>
    <x v="1"/>
    <x v="2"/>
  </r>
  <r>
    <x v="157"/>
    <s v="Royal Game 565"/>
    <x v="0"/>
    <s v="Unknown"/>
    <x v="1"/>
    <d v="2015-11-24T00:00:00"/>
    <x v="25"/>
    <x v="5"/>
    <s v="76 Min"/>
    <x v="3"/>
    <n v="8"/>
    <n v="4633503"/>
    <n v="4556829"/>
    <n v="68"/>
    <x v="6"/>
    <x v="3"/>
  </r>
  <r>
    <x v="158"/>
    <s v="Lost Story 886"/>
    <x v="0"/>
    <s v="M. Garcia"/>
    <x v="9"/>
    <d v="2015-11-24T00:00:00"/>
    <x v="16"/>
    <x v="2"/>
    <s v="156 Min"/>
    <x v="4"/>
    <n v="9.1"/>
    <n v="16544920"/>
    <n v="2575180"/>
    <n v="65"/>
    <x v="7"/>
    <x v="0"/>
  </r>
  <r>
    <x v="159"/>
    <s v="Golden Journey 1065"/>
    <x v="0"/>
    <s v="S. Patel"/>
    <x v="7"/>
    <d v="2015-11-27T00:00:00"/>
    <x v="23"/>
    <x v="5"/>
    <s v="111 Min"/>
    <x v="10"/>
    <n v="8.1999999999999993"/>
    <n v="13417011"/>
    <n v="235338"/>
    <n v="86"/>
    <x v="8"/>
    <x v="4"/>
  </r>
  <r>
    <x v="160"/>
    <s v="Wild Story 120"/>
    <x v="0"/>
    <s v="S. Patel"/>
    <x v="8"/>
    <d v="2015-11-28T00:00:00"/>
    <x v="2"/>
    <x v="0"/>
    <s v="84 Min"/>
    <x v="0"/>
    <n v="6.5"/>
    <n v="10442641"/>
    <n v="1508194"/>
    <n v="54"/>
    <x v="0"/>
    <x v="0"/>
  </r>
  <r>
    <x v="161"/>
    <s v="Future Night 1446"/>
    <x v="1"/>
    <s v="M. Garcia"/>
    <x v="6"/>
    <d v="2015-11-28T00:00:00"/>
    <x v="4"/>
    <x v="3"/>
    <s v="7 Seasons"/>
    <x v="8"/>
    <n v="5.4"/>
    <n v="21301685"/>
    <n v="3384697"/>
    <n v="89"/>
    <x v="7"/>
    <x v="2"/>
  </r>
  <r>
    <x v="162"/>
    <s v="Wild Files 959"/>
    <x v="1"/>
    <s v="N. Singh"/>
    <x v="9"/>
    <d v="2015-12-03T00:00:00"/>
    <x v="14"/>
    <x v="5"/>
    <s v="7 Seasons"/>
    <x v="4"/>
    <n v="6"/>
    <n v="3343458"/>
    <n v="3780106"/>
    <n v="96"/>
    <x v="6"/>
    <x v="4"/>
  </r>
  <r>
    <x v="163"/>
    <s v="Infinite Night 1381"/>
    <x v="2"/>
    <s v="P. Johnson"/>
    <x v="7"/>
    <d v="2015-12-03T00:00:00"/>
    <x v="27"/>
    <x v="2"/>
    <s v="2 Seasons"/>
    <x v="10"/>
    <n v="8.6"/>
    <n v="6756414"/>
    <n v="1148967"/>
    <n v="67"/>
    <x v="9"/>
    <x v="0"/>
  </r>
  <r>
    <x v="164"/>
    <s v="Shadow Mission 1027"/>
    <x v="0"/>
    <s v="K. Tanaka"/>
    <x v="4"/>
    <d v="2015-12-04T00:00:00"/>
    <x v="3"/>
    <x v="0"/>
    <s v="115 Min"/>
    <x v="4"/>
    <n v="5.0999999999999996"/>
    <n v="7739832"/>
    <n v="1688759"/>
    <n v="87"/>
    <x v="6"/>
    <x v="4"/>
  </r>
  <r>
    <x v="165"/>
    <s v="Blue Files 683"/>
    <x v="1"/>
    <s v="Unknown"/>
    <x v="2"/>
    <d v="2015-12-06T00:00:00"/>
    <x v="7"/>
    <x v="7"/>
    <s v="8 Seasons"/>
    <x v="2"/>
    <n v="8.9"/>
    <n v="5191756"/>
    <n v="1905556"/>
    <n v="65"/>
    <x v="7"/>
    <x v="1"/>
  </r>
  <r>
    <x v="166"/>
    <s v="Crimson Valley 22"/>
    <x v="0"/>
    <s v="R. Kumar"/>
    <x v="6"/>
    <d v="2015-12-08T00:00:00"/>
    <x v="0"/>
    <x v="2"/>
    <s v="174 Min"/>
    <x v="2"/>
    <n v="7.3"/>
    <n v="22073504"/>
    <n v="3268500"/>
    <n v="86"/>
    <x v="8"/>
    <x v="1"/>
  </r>
  <r>
    <x v="167"/>
    <s v="Lost Rise 1991"/>
    <x v="1"/>
    <s v="R. Kumar"/>
    <x v="6"/>
    <d v="2015-12-09T00:00:00"/>
    <x v="17"/>
    <x v="0"/>
    <s v="7 Seasons"/>
    <x v="2"/>
    <n v="5.0999999999999996"/>
    <n v="22326849"/>
    <n v="3957731"/>
    <n v="56"/>
    <x v="2"/>
    <x v="1"/>
  </r>
  <r>
    <x v="168"/>
    <s v="Ocean Truth 62"/>
    <x v="0"/>
    <s v="A. Smith"/>
    <x v="6"/>
    <d v="2015-12-16T00:00:00"/>
    <x v="14"/>
    <x v="1"/>
    <s v="73 Min"/>
    <x v="9"/>
    <n v="5.6"/>
    <n v="17924514"/>
    <n v="554215"/>
    <n v="88"/>
    <x v="7"/>
    <x v="2"/>
  </r>
  <r>
    <x v="169"/>
    <s v="Golden Empire 424"/>
    <x v="1"/>
    <s v="Unknown"/>
    <x v="5"/>
    <d v="2015-12-16T00:00:00"/>
    <x v="15"/>
    <x v="4"/>
    <s v="2 Seasons"/>
    <x v="7"/>
    <n v="6.6"/>
    <n v="4067652"/>
    <n v="3058672"/>
    <n v="98"/>
    <x v="6"/>
    <x v="3"/>
  </r>
  <r>
    <x v="170"/>
    <s v="Royal Chronicles 373"/>
    <x v="1"/>
    <s v="Unknown"/>
    <x v="4"/>
    <d v="2015-12-19T00:00:00"/>
    <x v="20"/>
    <x v="9"/>
    <s v="Unknown"/>
    <x v="5"/>
    <n v="8.9"/>
    <n v="16432546"/>
    <n v="4061136"/>
    <n v="96"/>
    <x v="3"/>
    <x v="0"/>
  </r>
  <r>
    <x v="171"/>
    <s v="Dark Valley 820"/>
    <x v="0"/>
    <s v="P. Johnson"/>
    <x v="0"/>
    <d v="2015-12-19T00:00:00"/>
    <x v="12"/>
    <x v="4"/>
    <s v="126 Min"/>
    <x v="8"/>
    <n v="9.1999999999999993"/>
    <n v="6384123"/>
    <n v="1481638"/>
    <n v="51"/>
    <x v="3"/>
    <x v="0"/>
  </r>
  <r>
    <x v="172"/>
    <s v="Crimson Legacy 200"/>
    <x v="0"/>
    <s v="M. Garcia"/>
    <x v="10"/>
    <d v="2015-12-23T00:00:00"/>
    <x v="27"/>
    <x v="3"/>
    <s v="168 Min"/>
    <x v="8"/>
    <n v="6.7"/>
    <n v="21772643"/>
    <n v="1769533"/>
    <n v="86"/>
    <x v="1"/>
    <x v="2"/>
  </r>
  <r>
    <x v="173"/>
    <s v="Future Valley 137"/>
    <x v="0"/>
    <s v="S. Patel"/>
    <x v="6"/>
    <d v="2015-12-24T00:00:00"/>
    <x v="16"/>
    <x v="8"/>
    <s v="97 Min"/>
    <x v="10"/>
    <n v="6.6"/>
    <n v="210926"/>
    <n v="2815421"/>
    <n v="61"/>
    <x v="2"/>
    <x v="2"/>
  </r>
  <r>
    <x v="174"/>
    <s v="Royal Game 328"/>
    <x v="2"/>
    <s v="D. Kim"/>
    <x v="2"/>
    <d v="2015-12-26T00:00:00"/>
    <x v="5"/>
    <x v="9"/>
    <s v="2 Seasons"/>
    <x v="5"/>
    <n v="8"/>
    <n v="990483"/>
    <n v="3444464"/>
    <n v="57"/>
    <x v="5"/>
    <x v="2"/>
  </r>
  <r>
    <x v="175"/>
    <s v="Ocean Zone 58"/>
    <x v="2"/>
    <s v="M. Garcia"/>
    <x v="6"/>
    <d v="2015-12-27T00:00:00"/>
    <x v="5"/>
    <x v="5"/>
    <s v="8 Seasons"/>
    <x v="1"/>
    <n v="8.6"/>
    <n v="-565"/>
    <n v="1655721"/>
    <n v="52"/>
    <x v="5"/>
    <x v="3"/>
  </r>
  <r>
    <x v="176"/>
    <s v="Secret Zone 1050"/>
    <x v="0"/>
    <s v="N. Singh"/>
    <x v="8"/>
    <d v="2015-12-27T00:00:00"/>
    <x v="24"/>
    <x v="8"/>
    <s v="110 Min"/>
    <x v="7"/>
    <n v="7.9"/>
    <n v="12293595"/>
    <n v="4762011"/>
    <n v="77"/>
    <x v="8"/>
    <x v="4"/>
  </r>
  <r>
    <x v="177"/>
    <s v="Infinite Empire 1501"/>
    <x v="0"/>
    <s v="L. Brown"/>
    <x v="12"/>
    <d v="2015-12-27T00:00:00"/>
    <x v="8"/>
    <x v="0"/>
    <s v="147 Min"/>
    <x v="6"/>
    <n v="7.5"/>
    <n v="14798698"/>
    <n v="3600290"/>
    <n v="65"/>
    <x v="1"/>
    <x v="4"/>
  </r>
  <r>
    <x v="178"/>
    <s v="Shadow Legacy 1419"/>
    <x v="2"/>
    <s v="S. Patel"/>
    <x v="7"/>
    <d v="2015-12-29T00:00:00"/>
    <x v="5"/>
    <x v="6"/>
    <s v="6 Seasons"/>
    <x v="3"/>
    <n v="6.9"/>
    <n v="3921944"/>
    <n v="2971003"/>
    <n v="41"/>
    <x v="6"/>
    <x v="1"/>
  </r>
  <r>
    <x v="179"/>
    <s v="Fire Night 372"/>
    <x v="2"/>
    <s v="Unknown"/>
    <x v="1"/>
    <d v="2016-01-03T00:00:00"/>
    <x v="18"/>
    <x v="4"/>
    <s v="3 Seasons"/>
    <x v="9"/>
    <n v="9.3000000000000007"/>
    <n v="15759247"/>
    <n v="1856108"/>
    <n v="44"/>
    <x v="8"/>
    <x v="0"/>
  </r>
  <r>
    <x v="180"/>
    <s v="Shadow Night 306"/>
    <x v="2"/>
    <s v="N. Singh"/>
    <x v="2"/>
    <d v="2016-01-05T00:00:00"/>
    <x v="10"/>
    <x v="1"/>
    <s v="3 Seasons"/>
    <x v="2"/>
    <n v="4.8"/>
    <n v="1046438"/>
    <n v="1382796"/>
    <n v="55"/>
    <x v="7"/>
    <x v="1"/>
  </r>
  <r>
    <x v="181"/>
    <s v="Crimson Quest 1768"/>
    <x v="2"/>
    <s v="K. Tanaka"/>
    <x v="7"/>
    <d v="2016-01-06T00:00:00"/>
    <x v="12"/>
    <x v="6"/>
    <s v="4 Seasons"/>
    <x v="7"/>
    <n v="6.8"/>
    <n v="-860"/>
    <n v="2194407"/>
    <n v="67"/>
    <x v="7"/>
    <x v="4"/>
  </r>
  <r>
    <x v="182"/>
    <s v="Broken Legacy 1141"/>
    <x v="1"/>
    <s v="R. Kumar"/>
    <x v="7"/>
    <d v="2016-01-12T00:00:00"/>
    <x v="18"/>
    <x v="2"/>
    <s v="3 Seasons"/>
    <x v="1"/>
    <n v="5.7"/>
    <n v="12370312"/>
    <n v="2926974"/>
    <n v="120"/>
    <x v="8"/>
    <x v="4"/>
  </r>
  <r>
    <x v="183"/>
    <s v="Blue Signal 875"/>
    <x v="0"/>
    <s v="J. Lee"/>
    <x v="3"/>
    <d v="2016-01-13T00:00:00"/>
    <x v="6"/>
    <x v="1"/>
    <s v="109 Min"/>
    <x v="2"/>
    <n v="8.5"/>
    <n v="24459683"/>
    <n v="2810698"/>
    <n v="55"/>
    <x v="6"/>
    <x v="3"/>
  </r>
  <r>
    <x v="184"/>
    <s v="Secret Game 1019"/>
    <x v="1"/>
    <s v="A. Smith"/>
    <x v="5"/>
    <d v="2016-01-16T00:00:00"/>
    <x v="1"/>
    <x v="3"/>
    <s v="8 Seasons"/>
    <x v="8"/>
    <n v="8"/>
    <n v="23244631"/>
    <n v="2343459"/>
    <n v="86"/>
    <x v="9"/>
    <x v="0"/>
  </r>
  <r>
    <x v="185"/>
    <s v="Beyond Journey 293"/>
    <x v="1"/>
    <s v="S. Patel"/>
    <x v="8"/>
    <d v="2016-01-20T00:00:00"/>
    <x v="22"/>
    <x v="9"/>
    <s v="8 Seasons"/>
    <x v="8"/>
    <n v="4.8"/>
    <n v="14367448"/>
    <n v="537956"/>
    <n v="53"/>
    <x v="0"/>
    <x v="4"/>
  </r>
  <r>
    <x v="186"/>
    <s v="Future Truth 91"/>
    <x v="0"/>
    <s v="D. Kim"/>
    <x v="10"/>
    <d v="2016-01-21T00:00:00"/>
    <x v="24"/>
    <x v="7"/>
    <s v="77 Min"/>
    <x v="5"/>
    <n v="5.3"/>
    <n v="6685710"/>
    <n v="2507455"/>
    <n v="68"/>
    <x v="1"/>
    <x v="0"/>
  </r>
  <r>
    <x v="187"/>
    <s v="Golden Edge 1142"/>
    <x v="0"/>
    <s v="J. Lee"/>
    <x v="0"/>
    <d v="2016-01-21T00:00:00"/>
    <x v="16"/>
    <x v="3"/>
    <s v="156 Min"/>
    <x v="9"/>
    <n v="9.1999999999999993"/>
    <n v="12993457"/>
    <n v="1521580"/>
    <n v="67"/>
    <x v="9"/>
    <x v="3"/>
  </r>
  <r>
    <x v="188"/>
    <s v="Golden Quest 1047"/>
    <x v="0"/>
    <s v="M. Garcia"/>
    <x v="4"/>
    <d v="2016-01-23T00:00:00"/>
    <x v="25"/>
    <x v="6"/>
    <s v="127 Min"/>
    <x v="10"/>
    <n v="6.2"/>
    <n v="14016490"/>
    <n v="4656338"/>
    <n v="84"/>
    <x v="1"/>
    <x v="4"/>
  </r>
  <r>
    <x v="189"/>
    <s v="Future Edge 1961"/>
    <x v="2"/>
    <s v="M. Garcia"/>
    <x v="0"/>
    <d v="2016-01-25T00:00:00"/>
    <x v="25"/>
    <x v="0"/>
    <s v="3 Seasons"/>
    <x v="7"/>
    <n v="8.1"/>
    <n v="10496863"/>
    <n v="2775613"/>
    <n v="120"/>
    <x v="7"/>
    <x v="3"/>
  </r>
  <r>
    <x v="190"/>
    <s v="Infinite Empire 380"/>
    <x v="1"/>
    <s v="Unknown"/>
    <x v="5"/>
    <d v="2016-01-26T00:00:00"/>
    <x v="19"/>
    <x v="6"/>
    <s v="4 Seasons"/>
    <x v="6"/>
    <n v="8.3000000000000007"/>
    <n v="17318587"/>
    <n v="1049874"/>
    <n v="46"/>
    <x v="8"/>
    <x v="3"/>
  </r>
  <r>
    <x v="191"/>
    <s v="Infinite Story 632"/>
    <x v="0"/>
    <s v="K. Tanaka"/>
    <x v="4"/>
    <d v="2016-01-27T00:00:00"/>
    <x v="13"/>
    <x v="0"/>
    <s v="144 Min"/>
    <x v="1"/>
    <n v="5.9"/>
    <n v="9093859"/>
    <n v="3924218"/>
    <n v="65"/>
    <x v="0"/>
    <x v="3"/>
  </r>
  <r>
    <x v="192"/>
    <s v="Dark Story 1149"/>
    <x v="1"/>
    <s v="Unknown"/>
    <x v="9"/>
    <d v="2016-01-28T00:00:00"/>
    <x v="26"/>
    <x v="0"/>
    <s v="8 Seasons"/>
    <x v="0"/>
    <n v="6.9"/>
    <n v="5188695"/>
    <n v="4681489"/>
    <n v="47"/>
    <x v="0"/>
    <x v="3"/>
  </r>
  <r>
    <x v="193"/>
    <s v="Blue Truth 338"/>
    <x v="1"/>
    <s v="K. Tanaka"/>
    <x v="6"/>
    <d v="2016-02-01T00:00:00"/>
    <x v="19"/>
    <x v="2"/>
    <s v="8 Seasons"/>
    <x v="6"/>
    <n v="5.6"/>
    <n v="4544991"/>
    <n v="1079184"/>
    <n v="63"/>
    <x v="8"/>
    <x v="3"/>
  </r>
  <r>
    <x v="194"/>
    <s v="Crimson Empire 1825"/>
    <x v="0"/>
    <s v="N. Singh"/>
    <x v="6"/>
    <d v="2016-02-01T00:00:00"/>
    <x v="24"/>
    <x v="9"/>
    <s v="91 Min"/>
    <x v="3"/>
    <n v="7.5"/>
    <n v="22827110"/>
    <n v="519694"/>
    <n v="66"/>
    <x v="7"/>
    <x v="4"/>
  </r>
  <r>
    <x v="195"/>
    <s v="Infinite Story 1936"/>
    <x v="0"/>
    <s v="A. Smith"/>
    <x v="0"/>
    <d v="2016-02-05T00:00:00"/>
    <x v="23"/>
    <x v="7"/>
    <s v="84 Min"/>
    <x v="7"/>
    <n v="6.4"/>
    <n v="18327021"/>
    <n v="4525336"/>
    <n v="70"/>
    <x v="8"/>
    <x v="3"/>
  </r>
  <r>
    <x v="196"/>
    <s v="Broken Journey 31"/>
    <x v="1"/>
    <s v="Unknown"/>
    <x v="7"/>
    <d v="2016-02-06T00:00:00"/>
    <x v="7"/>
    <x v="0"/>
    <s v="3 Seasons"/>
    <x v="8"/>
    <n v="6.1"/>
    <n v="21914931"/>
    <n v="2183456"/>
    <n v="55"/>
    <x v="4"/>
    <x v="0"/>
  </r>
  <r>
    <x v="197"/>
    <s v="Golden Story 1398"/>
    <x v="2"/>
    <s v="N. Singh"/>
    <x v="7"/>
    <d v="2016-02-10T00:00:00"/>
    <x v="25"/>
    <x v="5"/>
    <s v="1 Seasons"/>
    <x v="1"/>
    <n v="8.5"/>
    <n v="21693189"/>
    <n v="1277750"/>
    <n v="86"/>
    <x v="9"/>
    <x v="0"/>
  </r>
  <r>
    <x v="198"/>
    <s v="Secret Truth 1882"/>
    <x v="1"/>
    <s v="S. Patel"/>
    <x v="4"/>
    <d v="2016-02-16T00:00:00"/>
    <x v="22"/>
    <x v="7"/>
    <s v="7 Seasons"/>
    <x v="5"/>
    <n v="8.5"/>
    <n v="7995190"/>
    <n v="3994406"/>
    <n v="43"/>
    <x v="3"/>
    <x v="3"/>
  </r>
  <r>
    <x v="199"/>
    <s v="Infinite Files 955"/>
    <x v="0"/>
    <s v="K. Tanaka"/>
    <x v="9"/>
    <d v="2016-02-18T00:00:00"/>
    <x v="16"/>
    <x v="6"/>
    <s v="153 Min"/>
    <x v="4"/>
    <n v="7.5"/>
    <n v="17166176"/>
    <n v="4545385"/>
    <n v="90"/>
    <x v="2"/>
    <x v="1"/>
  </r>
  <r>
    <x v="200"/>
    <s v="Crimson Night 904"/>
    <x v="0"/>
    <s v="N. Singh"/>
    <x v="3"/>
    <d v="2016-02-19T00:00:00"/>
    <x v="22"/>
    <x v="4"/>
    <s v="128 Min"/>
    <x v="0"/>
    <n v="8.3000000000000007"/>
    <n v="16810619"/>
    <n v="1131419"/>
    <n v="80"/>
    <x v="4"/>
    <x v="3"/>
  </r>
  <r>
    <x v="201"/>
    <s v="Fire Rise 1326"/>
    <x v="1"/>
    <s v="D. Kim"/>
    <x v="2"/>
    <d v="2016-02-26T00:00:00"/>
    <x v="26"/>
    <x v="3"/>
    <s v="5 Seasons"/>
    <x v="10"/>
    <n v="5.3"/>
    <n v="19849889"/>
    <n v="3149546"/>
    <n v="58"/>
    <x v="9"/>
    <x v="3"/>
  </r>
  <r>
    <x v="202"/>
    <s v="Fire Empire 1773"/>
    <x v="1"/>
    <s v="N. Singh"/>
    <x v="7"/>
    <d v="2016-02-29T00:00:00"/>
    <x v="0"/>
    <x v="6"/>
    <s v="4 Seasons"/>
    <x v="6"/>
    <n v="8.4"/>
    <n v="11501590"/>
    <n v="3715403"/>
    <n v="58"/>
    <x v="2"/>
    <x v="2"/>
  </r>
  <r>
    <x v="203"/>
    <s v="Dark Valley 1830"/>
    <x v="0"/>
    <s v="K. Tanaka"/>
    <x v="4"/>
    <d v="2016-03-01T00:00:00"/>
    <x v="13"/>
    <x v="6"/>
    <s v="93 Min"/>
    <x v="7"/>
    <n v="8.6999999999999993"/>
    <n v="3413658"/>
    <n v="3049127"/>
    <n v="71"/>
    <x v="8"/>
    <x v="3"/>
  </r>
  <r>
    <x v="204"/>
    <s v="Broken Line 470"/>
    <x v="2"/>
    <s v="Unknown"/>
    <x v="12"/>
    <d v="2016-03-03T00:00:00"/>
    <x v="26"/>
    <x v="1"/>
    <s v="2 Seasons"/>
    <x v="4"/>
    <n v="5.3"/>
    <n v="18681804"/>
    <n v="968245"/>
    <n v="79"/>
    <x v="0"/>
    <x v="2"/>
  </r>
  <r>
    <x v="205"/>
    <s v="Urban Rise 704"/>
    <x v="0"/>
    <s v="Unknown"/>
    <x v="2"/>
    <d v="2016-03-03T00:00:00"/>
    <x v="8"/>
    <x v="7"/>
    <s v="173 Min"/>
    <x v="5"/>
    <n v="5.9"/>
    <n v="12411760"/>
    <n v="3837326"/>
    <n v="90"/>
    <x v="8"/>
    <x v="0"/>
  </r>
  <r>
    <x v="206"/>
    <s v="Royal Empire 824"/>
    <x v="0"/>
    <s v="P. Johnson"/>
    <x v="9"/>
    <d v="2016-03-08T00:00:00"/>
    <x v="0"/>
    <x v="6"/>
    <s v="123 Min"/>
    <x v="0"/>
    <n v="5.8"/>
    <n v="14402760"/>
    <n v="4008293"/>
    <n v="68"/>
    <x v="5"/>
    <x v="4"/>
  </r>
  <r>
    <x v="207"/>
    <s v="Echo Empire 1460"/>
    <x v="0"/>
    <s v="P. Johnson"/>
    <x v="11"/>
    <d v="2016-03-09T00:00:00"/>
    <x v="13"/>
    <x v="2"/>
    <s v="158 Min"/>
    <x v="0"/>
    <n v="9.1"/>
    <n v="11048520"/>
    <n v="1102002"/>
    <n v="84"/>
    <x v="4"/>
    <x v="0"/>
  </r>
  <r>
    <x v="208"/>
    <s v="Future Signal 963"/>
    <x v="0"/>
    <s v="M. Garcia"/>
    <x v="3"/>
    <d v="2016-03-10T00:00:00"/>
    <x v="1"/>
    <x v="8"/>
    <s v="83 Min"/>
    <x v="6"/>
    <n v="6.7"/>
    <n v="19977468"/>
    <n v="82606"/>
    <n v="44"/>
    <x v="9"/>
    <x v="0"/>
  </r>
  <r>
    <x v="209"/>
    <s v="Hidden Journey 1303"/>
    <x v="0"/>
    <s v="S. Patel"/>
    <x v="5"/>
    <d v="2016-03-10T00:00:00"/>
    <x v="17"/>
    <x v="4"/>
    <s v="92 Min"/>
    <x v="5"/>
    <n v="8.6"/>
    <n v="23347391"/>
    <n v="212890"/>
    <n v="94"/>
    <x v="5"/>
    <x v="4"/>
  </r>
  <r>
    <x v="210"/>
    <s v="Last Line 913"/>
    <x v="1"/>
    <s v="A. Smith"/>
    <x v="7"/>
    <d v="2016-03-17T00:00:00"/>
    <x v="1"/>
    <x v="6"/>
    <s v="7 Seasons"/>
    <x v="8"/>
    <n v="8.5"/>
    <n v="6258343"/>
    <n v="3191880"/>
    <n v="91"/>
    <x v="6"/>
    <x v="4"/>
  </r>
  <r>
    <x v="211"/>
    <s v="Silent Signal 1637"/>
    <x v="0"/>
    <s v="Unknown"/>
    <x v="11"/>
    <d v="2016-03-17T00:00:00"/>
    <x v="10"/>
    <x v="2"/>
    <s v="136 Min"/>
    <x v="6"/>
    <n v="9.1999999999999993"/>
    <n v="22151254"/>
    <n v="4946524"/>
    <n v="47"/>
    <x v="9"/>
    <x v="4"/>
  </r>
  <r>
    <x v="212"/>
    <s v="Blue Legacy 953"/>
    <x v="0"/>
    <s v="R. Kumar"/>
    <x v="1"/>
    <d v="2016-03-18T00:00:00"/>
    <x v="18"/>
    <x v="1"/>
    <s v="149 Min"/>
    <x v="2"/>
    <n v="7.6"/>
    <n v="13118195"/>
    <n v="4972267"/>
    <n v="44"/>
    <x v="1"/>
    <x v="1"/>
  </r>
  <r>
    <x v="213"/>
    <s v="Ocean Edge 611"/>
    <x v="2"/>
    <s v="S. Patel"/>
    <x v="6"/>
    <d v="2016-03-19T00:00:00"/>
    <x v="23"/>
    <x v="6"/>
    <s v="4 Seasons"/>
    <x v="6"/>
    <n v="9"/>
    <n v="18091310"/>
    <n v="1996107"/>
    <n v="98"/>
    <x v="5"/>
    <x v="1"/>
  </r>
  <r>
    <x v="214"/>
    <s v="Dark Valley 1333"/>
    <x v="1"/>
    <s v="K. Tanaka"/>
    <x v="9"/>
    <d v="2016-03-20T00:00:00"/>
    <x v="26"/>
    <x v="8"/>
    <s v="4 Seasons"/>
    <x v="5"/>
    <n v="8.1"/>
    <n v="2053081"/>
    <n v="4835178"/>
    <n v="69"/>
    <x v="4"/>
    <x v="4"/>
  </r>
  <r>
    <x v="215"/>
    <s v="Infinite Valley 38"/>
    <x v="1"/>
    <s v="N. Singh"/>
    <x v="6"/>
    <d v="2016-03-21T00:00:00"/>
    <x v="2"/>
    <x v="0"/>
    <s v="1 Seasons"/>
    <x v="2"/>
    <n v="6.6"/>
    <n v="10552801"/>
    <n v="950637"/>
    <n v="99"/>
    <x v="3"/>
    <x v="4"/>
  </r>
  <r>
    <x v="216"/>
    <s v="Royal Files 822"/>
    <x v="0"/>
    <s v="L. Brown"/>
    <x v="0"/>
    <d v="2016-03-23T00:00:00"/>
    <x v="12"/>
    <x v="5"/>
    <s v="167 Min"/>
    <x v="2"/>
    <n v="7.4"/>
    <n v="24075057"/>
    <n v="3495659"/>
    <n v="42"/>
    <x v="3"/>
    <x v="4"/>
  </r>
  <r>
    <x v="217"/>
    <s v="Blue Journey 1834"/>
    <x v="1"/>
    <s v="P. Johnson"/>
    <x v="11"/>
    <d v="2016-03-23T00:00:00"/>
    <x v="26"/>
    <x v="3"/>
    <s v="1 Seasons"/>
    <x v="9"/>
    <n v="8.9"/>
    <n v="6088093"/>
    <n v="4456488"/>
    <n v="84"/>
    <x v="1"/>
    <x v="2"/>
  </r>
  <r>
    <x v="218"/>
    <s v="Secret Mission 1874"/>
    <x v="2"/>
    <s v="A. Smith"/>
    <x v="6"/>
    <d v="2016-03-24T00:00:00"/>
    <x v="17"/>
    <x v="4"/>
    <s v="7 Seasons"/>
    <x v="2"/>
    <n v="8.1999999999999993"/>
    <n v="5325881"/>
    <n v="1525314"/>
    <n v="58"/>
    <x v="5"/>
    <x v="3"/>
  </r>
  <r>
    <x v="219"/>
    <s v="Dark Valley 1798"/>
    <x v="1"/>
    <s v="L. Brown"/>
    <x v="6"/>
    <d v="2016-03-30T00:00:00"/>
    <x v="13"/>
    <x v="1"/>
    <s v="2 Seasons"/>
    <x v="3"/>
    <n v="6.2"/>
    <n v="16166647"/>
    <n v="4799419"/>
    <n v="87"/>
    <x v="4"/>
    <x v="0"/>
  </r>
  <r>
    <x v="220"/>
    <s v="Echo Line 1332"/>
    <x v="0"/>
    <s v="S. Patel"/>
    <x v="7"/>
    <d v="2016-03-31T00:00:00"/>
    <x v="9"/>
    <x v="3"/>
    <s v="169 Min"/>
    <x v="7"/>
    <n v="6.5"/>
    <n v="5308213"/>
    <n v="2195855"/>
    <n v="93"/>
    <x v="9"/>
    <x v="3"/>
  </r>
  <r>
    <x v="221"/>
    <s v="Crimson Story 487"/>
    <x v="1"/>
    <s v="Unknown"/>
    <x v="2"/>
    <d v="2016-04-02T00:00:00"/>
    <x v="26"/>
    <x v="1"/>
    <s v="5 Seasons"/>
    <x v="8"/>
    <n v="4.7"/>
    <n v="23664092"/>
    <n v="1308636"/>
    <n v="98"/>
    <x v="2"/>
    <x v="2"/>
  </r>
  <r>
    <x v="222"/>
    <s v="Urban Signal 1688"/>
    <x v="0"/>
    <s v="K. Tanaka"/>
    <x v="0"/>
    <d v="2016-04-02T00:00:00"/>
    <x v="6"/>
    <x v="3"/>
    <s v="171 Min"/>
    <x v="10"/>
    <n v="7.1"/>
    <n v="18029771"/>
    <n v="1606519"/>
    <n v="73"/>
    <x v="0"/>
    <x v="3"/>
  </r>
  <r>
    <x v="223"/>
    <s v="Golden Chronicles 654"/>
    <x v="1"/>
    <s v="R. Kumar"/>
    <x v="7"/>
    <d v="2016-04-04T00:00:00"/>
    <x v="8"/>
    <x v="1"/>
    <s v="7 Seasons"/>
    <x v="1"/>
    <n v="9.5"/>
    <n v="12836288"/>
    <n v="2028931"/>
    <n v="41"/>
    <x v="6"/>
    <x v="3"/>
  </r>
  <r>
    <x v="224"/>
    <s v="Wild Edge 142"/>
    <x v="0"/>
    <s v="R. Kumar"/>
    <x v="11"/>
    <d v="2016-04-10T00:00:00"/>
    <x v="2"/>
    <x v="1"/>
    <s v="152 Min"/>
    <x v="0"/>
    <n v="7.6"/>
    <n v="179452"/>
    <n v="1579542"/>
    <n v="81"/>
    <x v="6"/>
    <x v="4"/>
  </r>
  <r>
    <x v="225"/>
    <s v="Secret Code 209"/>
    <x v="0"/>
    <s v="P. Johnson"/>
    <x v="11"/>
    <d v="2016-04-14T00:00:00"/>
    <x v="1"/>
    <x v="3"/>
    <s v="126 Min"/>
    <x v="9"/>
    <n v="9.8000000000000007"/>
    <n v="12633846"/>
    <n v="924145"/>
    <n v="67"/>
    <x v="5"/>
    <x v="2"/>
  </r>
  <r>
    <x v="226"/>
    <s v="Urban Zone 526"/>
    <x v="1"/>
    <s v="Unknown"/>
    <x v="11"/>
    <d v="2016-04-19T00:00:00"/>
    <x v="26"/>
    <x v="3"/>
    <s v="Unknown"/>
    <x v="7"/>
    <n v="7.6"/>
    <n v="22779744"/>
    <n v="4077421"/>
    <n v="61"/>
    <x v="1"/>
    <x v="4"/>
  </r>
  <r>
    <x v="227"/>
    <s v="Infinite Truth 1232"/>
    <x v="0"/>
    <s v="L. Brown"/>
    <x v="12"/>
    <d v="2016-04-20T00:00:00"/>
    <x v="26"/>
    <x v="3"/>
    <s v="170 Min"/>
    <x v="3"/>
    <n v="8.8000000000000007"/>
    <n v="13448255"/>
    <n v="1487973"/>
    <n v="82"/>
    <x v="2"/>
    <x v="3"/>
  </r>
  <r>
    <x v="228"/>
    <s v="Silent Files 605"/>
    <x v="0"/>
    <s v="P. Johnson"/>
    <x v="9"/>
    <d v="2016-04-22T00:00:00"/>
    <x v="25"/>
    <x v="3"/>
    <s v="150 Min"/>
    <x v="5"/>
    <n v="5.0999999999999996"/>
    <n v="15023223"/>
    <n v="2709873"/>
    <n v="78"/>
    <x v="0"/>
    <x v="1"/>
  </r>
  <r>
    <x v="229"/>
    <s v="Lost Rise 1271"/>
    <x v="1"/>
    <s v="R. Kumar"/>
    <x v="10"/>
    <d v="2016-04-23T00:00:00"/>
    <x v="15"/>
    <x v="8"/>
    <s v="3 Seasons"/>
    <x v="2"/>
    <n v="9.1"/>
    <n v="18594305"/>
    <n v="1754155"/>
    <n v="43"/>
    <x v="7"/>
    <x v="0"/>
  </r>
  <r>
    <x v="230"/>
    <s v="Last Signal 637"/>
    <x v="1"/>
    <s v="Unknown"/>
    <x v="2"/>
    <d v="2016-04-25T00:00:00"/>
    <x v="2"/>
    <x v="1"/>
    <s v="2 Seasons"/>
    <x v="3"/>
    <n v="4.5999999999999996"/>
    <n v="1595801"/>
    <n v="3415895"/>
    <n v="52"/>
    <x v="3"/>
    <x v="3"/>
  </r>
  <r>
    <x v="231"/>
    <s v="Secret Line 353"/>
    <x v="0"/>
    <s v="A. Smith"/>
    <x v="3"/>
    <d v="2016-04-26T00:00:00"/>
    <x v="27"/>
    <x v="9"/>
    <s v="102 Min"/>
    <x v="2"/>
    <n v="6.3"/>
    <n v="8558744"/>
    <n v="2923439"/>
    <n v="44"/>
    <x v="8"/>
    <x v="0"/>
  </r>
  <r>
    <x v="232"/>
    <s v="Royal Dream 947"/>
    <x v="1"/>
    <s v="K. Tanaka"/>
    <x v="6"/>
    <d v="2016-04-28T00:00:00"/>
    <x v="19"/>
    <x v="3"/>
    <s v="1 Seasons"/>
    <x v="8"/>
    <n v="9.5"/>
    <n v="9574846"/>
    <n v="2619609"/>
    <n v="47"/>
    <x v="8"/>
    <x v="1"/>
  </r>
  <r>
    <x v="233"/>
    <s v="Blue Legacy 1500"/>
    <x v="2"/>
    <s v="N. Singh"/>
    <x v="4"/>
    <d v="2016-05-02T00:00:00"/>
    <x v="12"/>
    <x v="5"/>
    <s v="3 Seasons"/>
    <x v="1"/>
    <n v="4.9000000000000004"/>
    <n v="8106807"/>
    <n v="945376"/>
    <n v="49"/>
    <x v="9"/>
    <x v="1"/>
  </r>
  <r>
    <x v="234"/>
    <s v="Broken Chronicles 1600"/>
    <x v="0"/>
    <s v="S. Patel"/>
    <x v="1"/>
    <d v="2016-05-06T00:00:00"/>
    <x v="26"/>
    <x v="3"/>
    <s v="169 Min"/>
    <x v="4"/>
    <n v="7.7"/>
    <n v="18688543"/>
    <n v="2886651"/>
    <n v="74"/>
    <x v="1"/>
    <x v="2"/>
  </r>
  <r>
    <x v="235"/>
    <s v="Future Story 462"/>
    <x v="0"/>
    <s v="K. Tanaka"/>
    <x v="11"/>
    <d v="2016-05-11T00:00:00"/>
    <x v="13"/>
    <x v="9"/>
    <s v="89 Min"/>
    <x v="6"/>
    <n v="8.6"/>
    <n v="12824925"/>
    <n v="4188883"/>
    <n v="88"/>
    <x v="4"/>
    <x v="2"/>
  </r>
  <r>
    <x v="236"/>
    <s v="Broken Line 1470"/>
    <x v="0"/>
    <s v="Unknown"/>
    <x v="9"/>
    <d v="2016-05-12T00:00:00"/>
    <x v="11"/>
    <x v="4"/>
    <s v="159 Min"/>
    <x v="8"/>
    <n v="9.4"/>
    <n v="17467821"/>
    <n v="2024406"/>
    <n v="89"/>
    <x v="5"/>
    <x v="2"/>
  </r>
  <r>
    <x v="237"/>
    <s v="Beyond Chronicles 252"/>
    <x v="1"/>
    <s v="M. Garcia"/>
    <x v="12"/>
    <d v="2016-05-14T00:00:00"/>
    <x v="2"/>
    <x v="2"/>
    <s v="8 Seasons"/>
    <x v="0"/>
    <n v="6.5"/>
    <n v="14892841"/>
    <n v="1781415"/>
    <n v="98"/>
    <x v="8"/>
    <x v="4"/>
  </r>
  <r>
    <x v="238"/>
    <s v="Dark Rise 1814"/>
    <x v="2"/>
    <s v="Unknown"/>
    <x v="3"/>
    <d v="2016-05-15T00:00:00"/>
    <x v="21"/>
    <x v="7"/>
    <s v="8 Seasons"/>
    <x v="8"/>
    <n v="8"/>
    <n v="9820294"/>
    <n v="3865159"/>
    <n v="79"/>
    <x v="6"/>
    <x v="2"/>
  </r>
  <r>
    <x v="239"/>
    <s v="Lost Truth 1699"/>
    <x v="0"/>
    <s v="Unknown"/>
    <x v="8"/>
    <d v="2016-05-16T00:00:00"/>
    <x v="14"/>
    <x v="2"/>
    <s v="110 Min"/>
    <x v="2"/>
    <n v="6.3"/>
    <n v="22854028"/>
    <n v="3243758"/>
    <n v="76"/>
    <x v="8"/>
    <x v="4"/>
  </r>
  <r>
    <x v="240"/>
    <s v="Blue Rise 624"/>
    <x v="0"/>
    <s v="S. Patel"/>
    <x v="9"/>
    <d v="2016-05-19T00:00:00"/>
    <x v="15"/>
    <x v="3"/>
    <s v="77 Min"/>
    <x v="8"/>
    <n v="8"/>
    <n v="16955947"/>
    <n v="1695126"/>
    <n v="86"/>
    <x v="3"/>
    <x v="1"/>
  </r>
  <r>
    <x v="241"/>
    <s v="Royal Dream 1378"/>
    <x v="1"/>
    <s v="L. Brown"/>
    <x v="5"/>
    <d v="2016-05-21T00:00:00"/>
    <x v="26"/>
    <x v="3"/>
    <s v="5 Seasons"/>
    <x v="3"/>
    <n v="7.9"/>
    <n v="22141389"/>
    <n v="3882631"/>
    <n v="85"/>
    <x v="4"/>
    <x v="0"/>
  </r>
  <r>
    <x v="242"/>
    <s v="Royal Mission 1543"/>
    <x v="2"/>
    <s v="D. Kim"/>
    <x v="4"/>
    <d v="2016-05-21T00:00:00"/>
    <x v="22"/>
    <x v="3"/>
    <s v="4 Seasons"/>
    <x v="1"/>
    <n v="6.9"/>
    <n v="5894415"/>
    <n v="1672695"/>
    <n v="95"/>
    <x v="1"/>
    <x v="3"/>
  </r>
  <r>
    <x v="243"/>
    <s v="Hidden Mission 661"/>
    <x v="1"/>
    <s v="M. Garcia"/>
    <x v="0"/>
    <d v="2016-05-24T00:00:00"/>
    <x v="9"/>
    <x v="8"/>
    <s v="5 Seasons"/>
    <x v="0"/>
    <n v="7.7"/>
    <n v="16231357"/>
    <n v="3137791"/>
    <n v="86"/>
    <x v="6"/>
    <x v="2"/>
  </r>
  <r>
    <x v="244"/>
    <s v="Silent Truth 894"/>
    <x v="1"/>
    <s v="N. Singh"/>
    <x v="3"/>
    <d v="2016-05-29T00:00:00"/>
    <x v="4"/>
    <x v="5"/>
    <s v="5 Seasons"/>
    <x v="9"/>
    <n v="9.4"/>
    <n v="18802931"/>
    <n v="2657548"/>
    <n v="60"/>
    <x v="8"/>
    <x v="0"/>
  </r>
  <r>
    <x v="245"/>
    <s v="Golden Signal 1709"/>
    <x v="1"/>
    <s v="A. Smith"/>
    <x v="10"/>
    <d v="2016-05-29T00:00:00"/>
    <x v="13"/>
    <x v="1"/>
    <s v="1 Seasons"/>
    <x v="10"/>
    <n v="9.1999999999999993"/>
    <n v="11798928"/>
    <n v="586909"/>
    <n v="49"/>
    <x v="3"/>
    <x v="2"/>
  </r>
  <r>
    <x v="246"/>
    <s v="Fire Files 816"/>
    <x v="2"/>
    <s v="S. Patel"/>
    <x v="6"/>
    <d v="2016-05-30T00:00:00"/>
    <x v="27"/>
    <x v="9"/>
    <s v="2 Seasons"/>
    <x v="2"/>
    <n v="5.4"/>
    <n v="1930804"/>
    <n v="3709399"/>
    <n v="44"/>
    <x v="2"/>
    <x v="4"/>
  </r>
  <r>
    <x v="247"/>
    <s v="Broken Rise 1081"/>
    <x v="1"/>
    <s v="P. Johnson"/>
    <x v="10"/>
    <d v="2016-05-30T00:00:00"/>
    <x v="12"/>
    <x v="3"/>
    <s v="5 Seasons"/>
    <x v="2"/>
    <n v="6.9"/>
    <n v="21059181"/>
    <n v="2038371"/>
    <n v="68"/>
    <x v="5"/>
    <x v="3"/>
  </r>
  <r>
    <x v="248"/>
    <s v="Fire Line 190"/>
    <x v="1"/>
    <s v="D. Kim"/>
    <x v="12"/>
    <d v="2016-05-31T00:00:00"/>
    <x v="21"/>
    <x v="6"/>
    <s v="1 Seasons"/>
    <x v="8"/>
    <n v="9.6"/>
    <n v="22381118"/>
    <n v="460065"/>
    <n v="74"/>
    <x v="9"/>
    <x v="4"/>
  </r>
  <r>
    <x v="249"/>
    <s v="Shadow Legacy 1416"/>
    <x v="1"/>
    <s v="J. Lee"/>
    <x v="2"/>
    <d v="2016-06-04T00:00:00"/>
    <x v="14"/>
    <x v="6"/>
    <s v="7 Seasons"/>
    <x v="9"/>
    <n v="7.6"/>
    <n v="3484726"/>
    <n v="1855464"/>
    <n v="65"/>
    <x v="5"/>
    <x v="1"/>
  </r>
  <r>
    <x v="250"/>
    <s v="Dark Code 465"/>
    <x v="0"/>
    <s v="Unknown"/>
    <x v="6"/>
    <d v="2016-06-05T00:00:00"/>
    <x v="19"/>
    <x v="8"/>
    <s v="137 Min"/>
    <x v="3"/>
    <n v="6"/>
    <n v="16722900"/>
    <n v="881566"/>
    <n v="43"/>
    <x v="9"/>
    <x v="4"/>
  </r>
  <r>
    <x v="251"/>
    <s v="Fire Journey 1064"/>
    <x v="0"/>
    <s v="P. Johnson"/>
    <x v="6"/>
    <d v="2016-06-06T00:00:00"/>
    <x v="1"/>
    <x v="0"/>
    <s v="102 Min"/>
    <x v="2"/>
    <n v="9.5"/>
    <n v="24477661"/>
    <n v="2380548"/>
    <n v="120"/>
    <x v="8"/>
    <x v="4"/>
  </r>
  <r>
    <x v="252"/>
    <s v="Hidden Empire 1575"/>
    <x v="1"/>
    <s v="S. Patel"/>
    <x v="9"/>
    <d v="2016-06-09T00:00:00"/>
    <x v="15"/>
    <x v="1"/>
    <s v="7 Seasons"/>
    <x v="8"/>
    <n v="7.7"/>
    <n v="13325392"/>
    <n v="444452"/>
    <n v="50"/>
    <x v="8"/>
    <x v="3"/>
  </r>
  <r>
    <x v="253"/>
    <s v="Crimson Files 1237"/>
    <x v="1"/>
    <s v="P. Johnson"/>
    <x v="5"/>
    <d v="2016-06-13T00:00:00"/>
    <x v="11"/>
    <x v="9"/>
    <s v="3 Seasons"/>
    <x v="5"/>
    <n v="5.5"/>
    <n v="5949738"/>
    <n v="4761880"/>
    <n v="98"/>
    <x v="6"/>
    <x v="4"/>
  </r>
  <r>
    <x v="254"/>
    <s v="Secret Truth 1548"/>
    <x v="2"/>
    <s v="S. Patel"/>
    <x v="0"/>
    <d v="2016-06-14T00:00:00"/>
    <x v="19"/>
    <x v="8"/>
    <s v="1 Seasons"/>
    <x v="2"/>
    <n v="6.2"/>
    <n v="17783462"/>
    <n v="2190480"/>
    <n v="81"/>
    <x v="7"/>
    <x v="4"/>
  </r>
  <r>
    <x v="255"/>
    <s v="Urban Empire 304"/>
    <x v="0"/>
    <s v="Unknown"/>
    <x v="12"/>
    <d v="2016-06-20T00:00:00"/>
    <x v="24"/>
    <x v="5"/>
    <s v="119 Min"/>
    <x v="2"/>
    <n v="5"/>
    <n v="16942709"/>
    <n v="209754"/>
    <n v="78"/>
    <x v="8"/>
    <x v="4"/>
  </r>
  <r>
    <x v="256"/>
    <s v="Infinite Night 1626"/>
    <x v="1"/>
    <s v="L. Brown"/>
    <x v="4"/>
    <d v="2016-06-21T00:00:00"/>
    <x v="14"/>
    <x v="3"/>
    <s v="5 Seasons"/>
    <x v="3"/>
    <n v="9"/>
    <n v="5506769"/>
    <n v="1663723"/>
    <n v="74"/>
    <x v="2"/>
    <x v="4"/>
  </r>
  <r>
    <x v="257"/>
    <s v="Secret Dream 688"/>
    <x v="1"/>
    <s v="S. Patel"/>
    <x v="0"/>
    <d v="2016-06-23T00:00:00"/>
    <x v="13"/>
    <x v="8"/>
    <s v="6 Seasons"/>
    <x v="8"/>
    <n v="5.6"/>
    <n v="23444899"/>
    <n v="2404418"/>
    <n v="64"/>
    <x v="1"/>
    <x v="0"/>
  </r>
  <r>
    <x v="258"/>
    <s v="Dark Edge 445"/>
    <x v="0"/>
    <s v="J. Lee"/>
    <x v="5"/>
    <d v="2016-06-24T00:00:00"/>
    <x v="18"/>
    <x v="3"/>
    <s v="Unknown"/>
    <x v="1"/>
    <n v="5.6"/>
    <n v="6430201"/>
    <n v="2543895"/>
    <n v="78"/>
    <x v="5"/>
    <x v="1"/>
  </r>
  <r>
    <x v="259"/>
    <s v="Secret Rise 1677"/>
    <x v="0"/>
    <s v="A. Smith"/>
    <x v="9"/>
    <d v="2016-06-24T00:00:00"/>
    <x v="10"/>
    <x v="0"/>
    <s v="74 Min"/>
    <x v="1"/>
    <n v="7.7"/>
    <n v="7607063"/>
    <n v="285036"/>
    <n v="85"/>
    <x v="8"/>
    <x v="3"/>
  </r>
  <r>
    <x v="260"/>
    <s v="Future Valley 979"/>
    <x v="1"/>
    <s v="Unknown"/>
    <x v="7"/>
    <d v="2016-06-26T00:00:00"/>
    <x v="19"/>
    <x v="1"/>
    <s v="1 Seasons"/>
    <x v="3"/>
    <n v="4.9000000000000004"/>
    <n v="5145496"/>
    <n v="497923"/>
    <n v="120"/>
    <x v="8"/>
    <x v="0"/>
  </r>
  <r>
    <x v="261"/>
    <s v="Beyond Truth 174"/>
    <x v="1"/>
    <s v="M. Garcia"/>
    <x v="11"/>
    <d v="2016-07-01T00:00:00"/>
    <x v="11"/>
    <x v="3"/>
    <s v="4 Seasons"/>
    <x v="6"/>
    <n v="9.3000000000000007"/>
    <n v="21363679"/>
    <n v="526475"/>
    <n v="80"/>
    <x v="6"/>
    <x v="4"/>
  </r>
  <r>
    <x v="262"/>
    <s v="Secret Legacy 1638"/>
    <x v="0"/>
    <s v="A. Smith"/>
    <x v="10"/>
    <d v="2016-07-09T00:00:00"/>
    <x v="6"/>
    <x v="2"/>
    <s v="158 Min"/>
    <x v="7"/>
    <n v="6.1"/>
    <n v="13007697"/>
    <n v="2989009"/>
    <n v="49"/>
    <x v="0"/>
    <x v="0"/>
  </r>
  <r>
    <x v="263"/>
    <s v="Royal Valley 752"/>
    <x v="0"/>
    <s v="K. Tanaka"/>
    <x v="8"/>
    <d v="2016-07-12T00:00:00"/>
    <x v="5"/>
    <x v="6"/>
    <s v="173 Min"/>
    <x v="2"/>
    <n v="9.1999999999999993"/>
    <n v="2996073"/>
    <n v="4186552"/>
    <n v="61"/>
    <x v="5"/>
    <x v="1"/>
  </r>
  <r>
    <x v="264"/>
    <s v="Fire Rise 233"/>
    <x v="0"/>
    <s v="L. Brown"/>
    <x v="8"/>
    <d v="2016-07-14T00:00:00"/>
    <x v="17"/>
    <x v="1"/>
    <s v="164 Min"/>
    <x v="3"/>
    <n v="5.6"/>
    <n v="22115393"/>
    <n v="1048380"/>
    <n v="76"/>
    <x v="6"/>
    <x v="0"/>
  </r>
  <r>
    <x v="265"/>
    <s v="Urban Zone 335"/>
    <x v="1"/>
    <s v="A. Smith"/>
    <x v="0"/>
    <d v="2016-07-15T00:00:00"/>
    <x v="9"/>
    <x v="7"/>
    <s v="3 Seasons"/>
    <x v="0"/>
    <n v="9.4"/>
    <n v="3354875"/>
    <n v="4938305"/>
    <n v="120"/>
    <x v="7"/>
    <x v="1"/>
  </r>
  <r>
    <x v="266"/>
    <s v="Blue Files 1846"/>
    <x v="0"/>
    <s v="L. Brown"/>
    <x v="8"/>
    <d v="2016-07-17T00:00:00"/>
    <x v="2"/>
    <x v="3"/>
    <s v="147 Min"/>
    <x v="0"/>
    <n v="8.9"/>
    <n v="5958282"/>
    <n v="124453"/>
    <n v="89"/>
    <x v="9"/>
    <x v="2"/>
  </r>
  <r>
    <x v="267"/>
    <s v="Future World 792"/>
    <x v="0"/>
    <s v="Unknown"/>
    <x v="10"/>
    <d v="2016-07-20T00:00:00"/>
    <x v="24"/>
    <x v="1"/>
    <s v="156 Min"/>
    <x v="6"/>
    <n v="5.5"/>
    <n v="11918261"/>
    <n v="1026558"/>
    <n v="61"/>
    <x v="8"/>
    <x v="4"/>
  </r>
  <r>
    <x v="268"/>
    <s v="Echo Story 1146"/>
    <x v="1"/>
    <s v="D. Kim"/>
    <x v="7"/>
    <d v="2016-07-21T00:00:00"/>
    <x v="18"/>
    <x v="9"/>
    <s v="4 Seasons"/>
    <x v="1"/>
    <n v="7.9"/>
    <n v="44013"/>
    <n v="4938587"/>
    <n v="97"/>
    <x v="6"/>
    <x v="1"/>
  </r>
  <r>
    <x v="269"/>
    <s v="Fire World 1609"/>
    <x v="0"/>
    <s v="S. Patel"/>
    <x v="11"/>
    <d v="2016-07-21T00:00:00"/>
    <x v="26"/>
    <x v="9"/>
    <s v="142 Min"/>
    <x v="7"/>
    <n v="6.8"/>
    <n v="19402088"/>
    <n v="442761"/>
    <n v="84"/>
    <x v="4"/>
    <x v="3"/>
  </r>
  <r>
    <x v="270"/>
    <s v="Golden Game 862"/>
    <x v="2"/>
    <s v="S. Patel"/>
    <x v="7"/>
    <d v="2016-07-26T00:00:00"/>
    <x v="20"/>
    <x v="5"/>
    <s v="1 Seasons"/>
    <x v="4"/>
    <n v="9.6999999999999993"/>
    <n v="17586428"/>
    <n v="2863025"/>
    <n v="92"/>
    <x v="0"/>
    <x v="3"/>
  </r>
  <r>
    <x v="271"/>
    <s v="Hidden Rise 1129"/>
    <x v="0"/>
    <s v="P. Johnson"/>
    <x v="10"/>
    <d v="2016-07-30T00:00:00"/>
    <x v="1"/>
    <x v="3"/>
    <s v="93 Min"/>
    <x v="6"/>
    <n v="7"/>
    <n v="12370951"/>
    <n v="3679580"/>
    <n v="63"/>
    <x v="6"/>
    <x v="0"/>
  </r>
  <r>
    <x v="272"/>
    <s v="Urban Quest 1752"/>
    <x v="1"/>
    <s v="Unknown"/>
    <x v="7"/>
    <d v="2016-08-02T00:00:00"/>
    <x v="2"/>
    <x v="2"/>
    <s v="5 Seasons"/>
    <x v="10"/>
    <n v="7.3"/>
    <n v="-849"/>
    <n v="2658846"/>
    <n v="68"/>
    <x v="2"/>
    <x v="1"/>
  </r>
  <r>
    <x v="273"/>
    <s v="Crimson Truth 1409"/>
    <x v="1"/>
    <s v="A. Smith"/>
    <x v="1"/>
    <d v="2016-08-03T00:00:00"/>
    <x v="11"/>
    <x v="3"/>
    <s v="3 Seasons"/>
    <x v="4"/>
    <n v="5.8"/>
    <n v="6645315"/>
    <n v="3368122"/>
    <n v="94"/>
    <x v="7"/>
    <x v="2"/>
  </r>
  <r>
    <x v="274"/>
    <s v="Ocean Zone 1898"/>
    <x v="2"/>
    <s v="M. Garcia"/>
    <x v="11"/>
    <d v="2016-08-06T00:00:00"/>
    <x v="14"/>
    <x v="7"/>
    <s v="4 Seasons"/>
    <x v="3"/>
    <n v="9.5"/>
    <n v="16709877"/>
    <n v="95323"/>
    <n v="70"/>
    <x v="8"/>
    <x v="0"/>
  </r>
  <r>
    <x v="275"/>
    <s v="Dark Code 1393"/>
    <x v="1"/>
    <s v="S. Patel"/>
    <x v="2"/>
    <d v="2016-08-10T00:00:00"/>
    <x v="10"/>
    <x v="8"/>
    <s v="4 Seasons"/>
    <x v="10"/>
    <n v="7.7"/>
    <n v="9282877"/>
    <n v="2161814"/>
    <n v="73"/>
    <x v="0"/>
    <x v="3"/>
  </r>
  <r>
    <x v="276"/>
    <s v="Royal Journey 43"/>
    <x v="0"/>
    <s v="J. Lee"/>
    <x v="0"/>
    <d v="2016-08-14T00:00:00"/>
    <x v="13"/>
    <x v="4"/>
    <s v="111 Min"/>
    <x v="5"/>
    <n v="9.6999999999999993"/>
    <n v="4470429"/>
    <n v="3497712"/>
    <n v="97"/>
    <x v="2"/>
    <x v="3"/>
  </r>
  <r>
    <x v="277"/>
    <s v="Silent Rise 1111"/>
    <x v="0"/>
    <s v="P. Johnson"/>
    <x v="8"/>
    <d v="2016-08-14T00:00:00"/>
    <x v="15"/>
    <x v="3"/>
    <s v="177 Min"/>
    <x v="4"/>
    <n v="11.2"/>
    <n v="16901106"/>
    <n v="3806644"/>
    <n v="73"/>
    <x v="1"/>
    <x v="1"/>
  </r>
  <r>
    <x v="278"/>
    <s v="Dark Story 1427"/>
    <x v="1"/>
    <s v="L. Brown"/>
    <x v="7"/>
    <d v="2016-08-18T00:00:00"/>
    <x v="15"/>
    <x v="4"/>
    <s v="1 Seasons"/>
    <x v="5"/>
    <n v="4.5999999999999996"/>
    <n v="1847533"/>
    <n v="4243463"/>
    <n v="49"/>
    <x v="2"/>
    <x v="3"/>
  </r>
  <r>
    <x v="279"/>
    <s v="Silent Dream 884"/>
    <x v="1"/>
    <s v="R. Kumar"/>
    <x v="4"/>
    <d v="2016-08-19T00:00:00"/>
    <x v="2"/>
    <x v="9"/>
    <s v="4 Seasons"/>
    <x v="10"/>
    <n v="7.9"/>
    <n v="21566452"/>
    <n v="3731318"/>
    <n v="77"/>
    <x v="1"/>
    <x v="2"/>
  </r>
  <r>
    <x v="280"/>
    <s v="Secret Files 949"/>
    <x v="2"/>
    <s v="L. Brown"/>
    <x v="11"/>
    <d v="2016-08-19T00:00:00"/>
    <x v="18"/>
    <x v="2"/>
    <s v="7 Seasons"/>
    <x v="9"/>
    <n v="8"/>
    <n v="19192418"/>
    <n v="2831821"/>
    <n v="77"/>
    <x v="1"/>
    <x v="4"/>
  </r>
  <r>
    <x v="281"/>
    <s v="Last Chronicles 569"/>
    <x v="0"/>
    <s v="A. Smith"/>
    <x v="8"/>
    <d v="2016-08-24T00:00:00"/>
    <x v="4"/>
    <x v="4"/>
    <s v="133 Min"/>
    <x v="10"/>
    <n v="5.6"/>
    <n v="1318341"/>
    <n v="1260129"/>
    <n v="85"/>
    <x v="2"/>
    <x v="2"/>
  </r>
  <r>
    <x v="282"/>
    <s v="Broken Zone 619"/>
    <x v="0"/>
    <s v="K. Tanaka"/>
    <x v="1"/>
    <d v="2016-08-28T00:00:00"/>
    <x v="22"/>
    <x v="8"/>
    <s v="160 Min"/>
    <x v="6"/>
    <n v="8.4"/>
    <n v="13391081"/>
    <n v="4071579"/>
    <n v="69"/>
    <x v="2"/>
    <x v="3"/>
  </r>
  <r>
    <x v="283"/>
    <s v="Ocean Edge 1714"/>
    <x v="1"/>
    <s v="Unknown"/>
    <x v="11"/>
    <d v="2016-08-29T00:00:00"/>
    <x v="9"/>
    <x v="2"/>
    <s v="5 Seasons"/>
    <x v="7"/>
    <n v="7.8"/>
    <n v="-897"/>
    <n v="4093563"/>
    <n v="74"/>
    <x v="8"/>
    <x v="3"/>
  </r>
  <r>
    <x v="284"/>
    <s v="Dark Chronicles 403"/>
    <x v="0"/>
    <s v="N. Singh"/>
    <x v="4"/>
    <d v="2016-08-31T00:00:00"/>
    <x v="19"/>
    <x v="0"/>
    <s v="175 Min"/>
    <x v="10"/>
    <n v="5.3"/>
    <n v="21888281"/>
    <n v="1705144"/>
    <n v="72"/>
    <x v="4"/>
    <x v="1"/>
  </r>
  <r>
    <x v="285"/>
    <s v="Blue Mission 970"/>
    <x v="0"/>
    <s v="D. Kim"/>
    <x v="5"/>
    <d v="2016-09-02T00:00:00"/>
    <x v="9"/>
    <x v="3"/>
    <s v="84 Min"/>
    <x v="5"/>
    <n v="6.3"/>
    <n v="17160499"/>
    <n v="4929260"/>
    <n v="43"/>
    <x v="2"/>
    <x v="3"/>
  </r>
  <r>
    <x v="286"/>
    <s v="Silent World 77"/>
    <x v="2"/>
    <s v="P. Johnson"/>
    <x v="3"/>
    <d v="2016-09-09T00:00:00"/>
    <x v="20"/>
    <x v="7"/>
    <s v="5 Seasons"/>
    <x v="3"/>
    <n v="8.1"/>
    <n v="11098256"/>
    <n v="789325"/>
    <n v="71"/>
    <x v="3"/>
    <x v="2"/>
  </r>
  <r>
    <x v="287"/>
    <s v="Urban Edge 1499"/>
    <x v="0"/>
    <s v="K. Tanaka"/>
    <x v="7"/>
    <d v="2016-09-10T00:00:00"/>
    <x v="4"/>
    <x v="3"/>
    <s v="Unknown"/>
    <x v="0"/>
    <n v="6.4"/>
    <n v="5890854"/>
    <n v="2415118"/>
    <n v="50"/>
    <x v="9"/>
    <x v="1"/>
  </r>
  <r>
    <x v="288"/>
    <s v="Fire Edge 1464"/>
    <x v="0"/>
    <s v="D. Kim"/>
    <x v="9"/>
    <d v="2016-09-12T00:00:00"/>
    <x v="22"/>
    <x v="3"/>
    <s v="135 Min"/>
    <x v="3"/>
    <n v="9.8000000000000007"/>
    <n v="2598063"/>
    <n v="599440"/>
    <n v="68"/>
    <x v="4"/>
    <x v="3"/>
  </r>
  <r>
    <x v="289"/>
    <s v="Golden Valley 1659"/>
    <x v="0"/>
    <s v="N. Singh"/>
    <x v="10"/>
    <d v="2016-09-12T00:00:00"/>
    <x v="14"/>
    <x v="8"/>
    <s v="170 Min"/>
    <x v="9"/>
    <n v="6.4"/>
    <n v="2482215"/>
    <n v="839089"/>
    <n v="84"/>
    <x v="6"/>
    <x v="3"/>
  </r>
  <r>
    <x v="290"/>
    <s v="Shadow Chronicles 420"/>
    <x v="1"/>
    <s v="Unknown"/>
    <x v="2"/>
    <d v="2016-09-13T00:00:00"/>
    <x v="4"/>
    <x v="6"/>
    <s v="4 Seasons"/>
    <x v="2"/>
    <n v="5.7"/>
    <n v="24836571"/>
    <n v="3679681"/>
    <n v="48"/>
    <x v="1"/>
    <x v="1"/>
  </r>
  <r>
    <x v="291"/>
    <s v="Silent Story 842"/>
    <x v="1"/>
    <s v="M. Garcia"/>
    <x v="0"/>
    <d v="2016-09-13T00:00:00"/>
    <x v="17"/>
    <x v="3"/>
    <s v="7 Seasons"/>
    <x v="1"/>
    <n v="8.8000000000000007"/>
    <n v="14422725"/>
    <n v="1998452"/>
    <n v="86"/>
    <x v="5"/>
    <x v="4"/>
  </r>
  <r>
    <x v="292"/>
    <s v="Golden Quest 1227"/>
    <x v="0"/>
    <s v="L. Brown"/>
    <x v="0"/>
    <d v="2016-09-16T00:00:00"/>
    <x v="2"/>
    <x v="9"/>
    <s v="169 Min"/>
    <x v="0"/>
    <n v="7.6"/>
    <n v="19666986"/>
    <n v="4853686"/>
    <n v="120"/>
    <x v="6"/>
    <x v="3"/>
  </r>
  <r>
    <x v="293"/>
    <s v="Lost Mission 393"/>
    <x v="1"/>
    <s v="A. Smith"/>
    <x v="0"/>
    <d v="2016-09-22T00:00:00"/>
    <x v="26"/>
    <x v="7"/>
    <s v="5 Seasons"/>
    <x v="8"/>
    <n v="9.1999999999999993"/>
    <n v="12017459"/>
    <n v="608615"/>
    <n v="74"/>
    <x v="6"/>
    <x v="0"/>
  </r>
  <r>
    <x v="294"/>
    <s v="Infinite Game 397"/>
    <x v="0"/>
    <s v="A. Smith"/>
    <x v="9"/>
    <d v="2016-09-24T00:00:00"/>
    <x v="3"/>
    <x v="8"/>
    <s v="76 Min"/>
    <x v="10"/>
    <n v="7.3"/>
    <n v="14771373"/>
    <n v="4590278"/>
    <n v="75"/>
    <x v="4"/>
    <x v="3"/>
  </r>
  <r>
    <x v="295"/>
    <s v="Crimson Valley 469"/>
    <x v="2"/>
    <s v="P. Johnson"/>
    <x v="7"/>
    <d v="2016-09-26T00:00:00"/>
    <x v="18"/>
    <x v="6"/>
    <s v="4 Seasons"/>
    <x v="2"/>
    <n v="9.6"/>
    <n v="15314962"/>
    <n v="3452690"/>
    <n v="46"/>
    <x v="0"/>
    <x v="4"/>
  </r>
  <r>
    <x v="296"/>
    <s v="Hidden Zone 340"/>
    <x v="0"/>
    <s v="J. Lee"/>
    <x v="8"/>
    <d v="2016-10-02T00:00:00"/>
    <x v="26"/>
    <x v="5"/>
    <s v="72 Min"/>
    <x v="5"/>
    <n v="8.5"/>
    <n v="1552799"/>
    <n v="2561923"/>
    <n v="94"/>
    <x v="1"/>
    <x v="0"/>
  </r>
  <r>
    <x v="297"/>
    <s v="Golden Empire 1443"/>
    <x v="0"/>
    <s v="Unknown"/>
    <x v="10"/>
    <d v="2016-10-02T00:00:00"/>
    <x v="14"/>
    <x v="3"/>
    <s v="80 Min"/>
    <x v="3"/>
    <n v="7.3"/>
    <n v="19422520"/>
    <n v="4588481"/>
    <n v="87"/>
    <x v="3"/>
    <x v="4"/>
  </r>
  <r>
    <x v="298"/>
    <s v="Infinite Line 774"/>
    <x v="1"/>
    <s v="D. Kim"/>
    <x v="9"/>
    <d v="2016-10-06T00:00:00"/>
    <x v="13"/>
    <x v="3"/>
    <s v="6 Seasons"/>
    <x v="2"/>
    <n v="6.3"/>
    <n v="18361651"/>
    <n v="3749713"/>
    <n v="50"/>
    <x v="6"/>
    <x v="3"/>
  </r>
  <r>
    <x v="299"/>
    <s v="Shadow Files 289"/>
    <x v="0"/>
    <s v="L. Brown"/>
    <x v="5"/>
    <d v="2016-10-09T00:00:00"/>
    <x v="11"/>
    <x v="2"/>
    <s v="99 Min"/>
    <x v="6"/>
    <n v="5.4"/>
    <n v="21565022"/>
    <n v="572576"/>
    <n v="59"/>
    <x v="6"/>
    <x v="4"/>
  </r>
  <r>
    <x v="300"/>
    <s v="Royal Game 96"/>
    <x v="1"/>
    <s v="Unknown"/>
    <x v="6"/>
    <d v="2016-10-11T00:00:00"/>
    <x v="2"/>
    <x v="3"/>
    <s v="4 Seasons"/>
    <x v="1"/>
    <n v="7.7"/>
    <n v="6458487"/>
    <n v="4890997"/>
    <n v="40"/>
    <x v="1"/>
    <x v="3"/>
  </r>
  <r>
    <x v="301"/>
    <s v="Fire Zone 1074"/>
    <x v="0"/>
    <s v="N. Singh"/>
    <x v="8"/>
    <d v="2016-10-12T00:00:00"/>
    <x v="19"/>
    <x v="1"/>
    <s v="128 Min"/>
    <x v="4"/>
    <n v="7"/>
    <n v="16316763"/>
    <n v="2280103"/>
    <n v="96"/>
    <x v="4"/>
    <x v="2"/>
  </r>
  <r>
    <x v="302"/>
    <s v="Lost Files 1643"/>
    <x v="2"/>
    <s v="A. Smith"/>
    <x v="3"/>
    <d v="2016-10-17T00:00:00"/>
    <x v="2"/>
    <x v="5"/>
    <s v="2 Seasons"/>
    <x v="7"/>
    <n v="5.8"/>
    <n v="4045996"/>
    <n v="194255"/>
    <n v="56"/>
    <x v="1"/>
    <x v="4"/>
  </r>
  <r>
    <x v="303"/>
    <s v="Dark Zone 908"/>
    <x v="0"/>
    <s v="S. Patel"/>
    <x v="6"/>
    <d v="2016-10-18T00:00:00"/>
    <x v="0"/>
    <x v="6"/>
    <s v="151 Min"/>
    <x v="1"/>
    <n v="8"/>
    <n v="17956286"/>
    <n v="1786586"/>
    <n v="41"/>
    <x v="6"/>
    <x v="3"/>
  </r>
  <r>
    <x v="304"/>
    <s v="Wild Code 128"/>
    <x v="1"/>
    <s v="S. Patel"/>
    <x v="8"/>
    <d v="2016-10-19T00:00:00"/>
    <x v="1"/>
    <x v="0"/>
    <s v="3 Seasons"/>
    <x v="3"/>
    <n v="5"/>
    <n v="14757261"/>
    <n v="4022510"/>
    <n v="86"/>
    <x v="9"/>
    <x v="2"/>
  </r>
  <r>
    <x v="305"/>
    <s v="Fire Chronicles 689"/>
    <x v="2"/>
    <s v="N. Singh"/>
    <x v="3"/>
    <d v="2016-10-21T00:00:00"/>
    <x v="17"/>
    <x v="3"/>
    <s v="Unknown"/>
    <x v="1"/>
    <n v="6.9"/>
    <n v="15467855"/>
    <n v="3890790"/>
    <n v="82"/>
    <x v="5"/>
    <x v="4"/>
  </r>
  <r>
    <x v="306"/>
    <s v="Golden Empire 249"/>
    <x v="0"/>
    <s v="P. Johnson"/>
    <x v="2"/>
    <d v="2016-10-28T00:00:00"/>
    <x v="19"/>
    <x v="8"/>
    <s v="125 Min"/>
    <x v="5"/>
    <n v="6.1"/>
    <n v="8671837"/>
    <n v="2332194"/>
    <n v="53"/>
    <x v="5"/>
    <x v="3"/>
  </r>
  <r>
    <x v="307"/>
    <s v="Last Truth 694"/>
    <x v="1"/>
    <s v="R. Kumar"/>
    <x v="4"/>
    <d v="2016-10-28T00:00:00"/>
    <x v="15"/>
    <x v="9"/>
    <s v="2 Seasons"/>
    <x v="1"/>
    <n v="5.7"/>
    <n v="6309920"/>
    <n v="2758196"/>
    <n v="40"/>
    <x v="6"/>
    <x v="2"/>
  </r>
  <r>
    <x v="308"/>
    <s v="Hidden Dream 1646"/>
    <x v="2"/>
    <s v="Unknown"/>
    <x v="7"/>
    <d v="2016-10-28T00:00:00"/>
    <x v="25"/>
    <x v="3"/>
    <s v="4 Seasons"/>
    <x v="4"/>
    <n v="4.7"/>
    <n v="23349398"/>
    <n v="3241756"/>
    <n v="83"/>
    <x v="2"/>
    <x v="1"/>
  </r>
  <r>
    <x v="309"/>
    <s v="Last Line 130"/>
    <x v="0"/>
    <s v="J. Lee"/>
    <x v="0"/>
    <d v="2016-10-29T00:00:00"/>
    <x v="4"/>
    <x v="7"/>
    <s v="150 Min"/>
    <x v="3"/>
    <n v="7.5"/>
    <n v="16140697"/>
    <n v="1148999"/>
    <n v="61"/>
    <x v="5"/>
    <x v="2"/>
  </r>
  <r>
    <x v="310"/>
    <s v="Beyond Night 1403"/>
    <x v="2"/>
    <s v="M. Garcia"/>
    <x v="8"/>
    <d v="2016-10-29T00:00:00"/>
    <x v="23"/>
    <x v="5"/>
    <s v="3 Seasons"/>
    <x v="3"/>
    <n v="7.2"/>
    <n v="21389592"/>
    <n v="4320632"/>
    <n v="51"/>
    <x v="8"/>
    <x v="1"/>
  </r>
  <r>
    <x v="311"/>
    <s v="Infinite Game 1471"/>
    <x v="1"/>
    <s v="M. Garcia"/>
    <x v="7"/>
    <d v="2016-10-29T00:00:00"/>
    <x v="19"/>
    <x v="0"/>
    <s v="8 Seasons"/>
    <x v="7"/>
    <n v="7.6"/>
    <n v="19318825"/>
    <n v="1622702"/>
    <n v="91"/>
    <x v="1"/>
    <x v="3"/>
  </r>
  <r>
    <x v="312"/>
    <s v="Wild Game 297"/>
    <x v="0"/>
    <s v="L. Brown"/>
    <x v="1"/>
    <d v="2016-10-30T00:00:00"/>
    <x v="14"/>
    <x v="6"/>
    <s v="169 Min"/>
    <x v="1"/>
    <n v="9.1999999999999993"/>
    <n v="15418458"/>
    <n v="3988160"/>
    <n v="78"/>
    <x v="9"/>
    <x v="1"/>
  </r>
  <r>
    <x v="313"/>
    <s v="Ocean Empire 1127"/>
    <x v="0"/>
    <s v="P. Johnson"/>
    <x v="10"/>
    <d v="2016-11-07T00:00:00"/>
    <x v="6"/>
    <x v="3"/>
    <s v="100 Min"/>
    <x v="6"/>
    <n v="4.5999999999999996"/>
    <n v="16718113"/>
    <n v="38755"/>
    <n v="69"/>
    <x v="5"/>
    <x v="1"/>
  </r>
  <r>
    <x v="314"/>
    <s v="Hidden Quest 80"/>
    <x v="0"/>
    <s v="Unknown"/>
    <x v="4"/>
    <d v="2016-11-10T00:00:00"/>
    <x v="10"/>
    <x v="7"/>
    <s v="88 Min"/>
    <x v="0"/>
    <n v="8"/>
    <n v="14155589"/>
    <n v="844942"/>
    <n v="81"/>
    <x v="6"/>
    <x v="4"/>
  </r>
  <r>
    <x v="315"/>
    <s v="Echo Chronicles 248"/>
    <x v="0"/>
    <s v="D. Kim"/>
    <x v="9"/>
    <d v="2016-11-10T00:00:00"/>
    <x v="16"/>
    <x v="1"/>
    <s v="179 Min"/>
    <x v="0"/>
    <n v="6.7"/>
    <n v="17042250"/>
    <n v="3585296"/>
    <n v="40"/>
    <x v="1"/>
    <x v="3"/>
  </r>
  <r>
    <x v="316"/>
    <s v="Lost Empire 1285"/>
    <x v="2"/>
    <s v="D. Kim"/>
    <x v="5"/>
    <d v="2016-11-12T00:00:00"/>
    <x v="4"/>
    <x v="6"/>
    <s v="4 Seasons"/>
    <x v="2"/>
    <n v="8.6"/>
    <n v="4444655"/>
    <n v="2515572"/>
    <n v="81"/>
    <x v="2"/>
    <x v="1"/>
  </r>
  <r>
    <x v="317"/>
    <s v="Last Quest 221"/>
    <x v="2"/>
    <s v="S. Patel"/>
    <x v="3"/>
    <d v="2016-11-18T00:00:00"/>
    <x v="21"/>
    <x v="6"/>
    <s v="8 Seasons"/>
    <x v="3"/>
    <n v="5.9"/>
    <n v="24463512"/>
    <n v="2757943"/>
    <n v="71"/>
    <x v="3"/>
    <x v="1"/>
  </r>
  <r>
    <x v="318"/>
    <s v="Royal Rise 1336"/>
    <x v="1"/>
    <s v="S. Patel"/>
    <x v="3"/>
    <d v="2016-11-18T00:00:00"/>
    <x v="25"/>
    <x v="3"/>
    <s v="7 Seasons"/>
    <x v="2"/>
    <n v="7.8"/>
    <n v="18242773"/>
    <n v="1334330"/>
    <n v="68"/>
    <x v="2"/>
    <x v="1"/>
  </r>
  <r>
    <x v="319"/>
    <s v="Wild Truth 472"/>
    <x v="0"/>
    <s v="D. Kim"/>
    <x v="3"/>
    <d v="2016-11-20T00:00:00"/>
    <x v="16"/>
    <x v="7"/>
    <s v="164 Min"/>
    <x v="1"/>
    <n v="7.4"/>
    <n v="11106099"/>
    <n v="3661943"/>
    <n v="71"/>
    <x v="3"/>
    <x v="0"/>
  </r>
  <r>
    <x v="320"/>
    <s v="Last Files 577"/>
    <x v="0"/>
    <s v="S. Patel"/>
    <x v="9"/>
    <d v="2016-11-20T00:00:00"/>
    <x v="17"/>
    <x v="4"/>
    <s v="114 Min"/>
    <x v="4"/>
    <n v="6.1"/>
    <n v="12862522"/>
    <n v="3861486"/>
    <n v="92"/>
    <x v="9"/>
    <x v="4"/>
  </r>
  <r>
    <x v="321"/>
    <s v="Lost Rise 809"/>
    <x v="0"/>
    <s v="K. Tanaka"/>
    <x v="9"/>
    <d v="2016-11-20T00:00:00"/>
    <x v="24"/>
    <x v="5"/>
    <s v="94 Min"/>
    <x v="3"/>
    <n v="8.8000000000000007"/>
    <n v="24495823"/>
    <n v="611925"/>
    <n v="59"/>
    <x v="9"/>
    <x v="0"/>
  </r>
  <r>
    <x v="322"/>
    <s v="Future Mission 1290"/>
    <x v="2"/>
    <s v="S. Patel"/>
    <x v="0"/>
    <d v="2016-11-21T00:00:00"/>
    <x v="3"/>
    <x v="6"/>
    <s v="3 Seasons"/>
    <x v="9"/>
    <n v="5.9"/>
    <n v="19893553"/>
    <n v="4404822"/>
    <n v="63"/>
    <x v="5"/>
    <x v="4"/>
  </r>
  <r>
    <x v="323"/>
    <s v="Dark Edge 1687"/>
    <x v="0"/>
    <s v="P. Johnson"/>
    <x v="7"/>
    <d v="2016-11-22T00:00:00"/>
    <x v="21"/>
    <x v="5"/>
    <s v="Unknown"/>
    <x v="8"/>
    <n v="7.4"/>
    <n v="2238431"/>
    <n v="3623350"/>
    <n v="73"/>
    <x v="4"/>
    <x v="0"/>
  </r>
  <r>
    <x v="324"/>
    <s v="Beyond Files 1270"/>
    <x v="0"/>
    <s v="S. Patel"/>
    <x v="1"/>
    <d v="2016-11-23T00:00:00"/>
    <x v="3"/>
    <x v="0"/>
    <s v="111 Min"/>
    <x v="3"/>
    <n v="6.5"/>
    <n v="32329"/>
    <n v="1671237"/>
    <n v="68"/>
    <x v="0"/>
    <x v="2"/>
  </r>
  <r>
    <x v="325"/>
    <s v="Secret Legacy 1555"/>
    <x v="2"/>
    <s v="K. Tanaka"/>
    <x v="12"/>
    <d v="2016-11-23T00:00:00"/>
    <x v="11"/>
    <x v="5"/>
    <s v="1 Seasons"/>
    <x v="9"/>
    <n v="8.1999999999999993"/>
    <n v="17368086"/>
    <n v="2958708"/>
    <n v="94"/>
    <x v="6"/>
    <x v="4"/>
  </r>
  <r>
    <x v="326"/>
    <s v="Blue Line 1246"/>
    <x v="1"/>
    <s v="S. Patel"/>
    <x v="6"/>
    <d v="2016-11-27T00:00:00"/>
    <x v="25"/>
    <x v="4"/>
    <s v="8 Seasons"/>
    <x v="9"/>
    <n v="7.2"/>
    <n v="22856404"/>
    <n v="3456097"/>
    <n v="77"/>
    <x v="7"/>
    <x v="4"/>
  </r>
  <r>
    <x v="327"/>
    <s v="Infinite World 1274"/>
    <x v="0"/>
    <s v="M. Garcia"/>
    <x v="11"/>
    <d v="2016-11-29T00:00:00"/>
    <x v="2"/>
    <x v="4"/>
    <s v="99 Min"/>
    <x v="6"/>
    <n v="9.1"/>
    <n v="5998047"/>
    <n v="3431396"/>
    <n v="96"/>
    <x v="1"/>
    <x v="2"/>
  </r>
  <r>
    <x v="328"/>
    <s v="Shadow Chronicles 74"/>
    <x v="0"/>
    <s v="P. Johnson"/>
    <x v="0"/>
    <d v="2016-11-30T00:00:00"/>
    <x v="20"/>
    <x v="0"/>
    <s v="131 Min"/>
    <x v="8"/>
    <n v="8.9"/>
    <n v="4721099"/>
    <n v="4452396"/>
    <n v="80"/>
    <x v="0"/>
    <x v="2"/>
  </r>
  <r>
    <x v="329"/>
    <s v="Silent Mission 484"/>
    <x v="0"/>
    <s v="K. Tanaka"/>
    <x v="4"/>
    <d v="2016-11-30T00:00:00"/>
    <x v="5"/>
    <x v="0"/>
    <s v="132 Min"/>
    <x v="10"/>
    <n v="7.7"/>
    <n v="22577279"/>
    <n v="4064248"/>
    <n v="93"/>
    <x v="1"/>
    <x v="3"/>
  </r>
  <r>
    <x v="330"/>
    <s v="Golden Code 1962"/>
    <x v="2"/>
    <s v="S. Patel"/>
    <x v="12"/>
    <d v="2016-11-30T00:00:00"/>
    <x v="14"/>
    <x v="4"/>
    <s v="1 Seasons"/>
    <x v="8"/>
    <n v="7.4"/>
    <n v="561015"/>
    <n v="1780110"/>
    <n v="78"/>
    <x v="1"/>
    <x v="2"/>
  </r>
  <r>
    <x v="331"/>
    <s v="Golden Signal 1992"/>
    <x v="1"/>
    <s v="D. Kim"/>
    <x v="10"/>
    <d v="2016-12-01T00:00:00"/>
    <x v="18"/>
    <x v="0"/>
    <s v="8 Seasons"/>
    <x v="1"/>
    <n v="7.1"/>
    <n v="24194043"/>
    <n v="4145458"/>
    <n v="63"/>
    <x v="5"/>
    <x v="4"/>
  </r>
  <r>
    <x v="332"/>
    <s v="Secret Story 374"/>
    <x v="0"/>
    <s v="N. Singh"/>
    <x v="6"/>
    <d v="2016-12-05T00:00:00"/>
    <x v="0"/>
    <x v="0"/>
    <s v="119 Min"/>
    <x v="10"/>
    <n v="6.7"/>
    <n v="185186"/>
    <n v="1252104"/>
    <n v="53"/>
    <x v="9"/>
    <x v="1"/>
  </r>
  <r>
    <x v="333"/>
    <s v="Silent Rise 564"/>
    <x v="0"/>
    <s v="D. Kim"/>
    <x v="8"/>
    <d v="2016-12-05T00:00:00"/>
    <x v="14"/>
    <x v="1"/>
    <s v="142 Min"/>
    <x v="7"/>
    <n v="9.6999999999999993"/>
    <n v="24119823"/>
    <n v="2860525"/>
    <n v="41"/>
    <x v="7"/>
    <x v="0"/>
  </r>
  <r>
    <x v="334"/>
    <s v="Ocean Code 483"/>
    <x v="0"/>
    <s v="L. Brown"/>
    <x v="4"/>
    <d v="2016-12-07T00:00:00"/>
    <x v="19"/>
    <x v="7"/>
    <s v="164 Min"/>
    <x v="5"/>
    <n v="5.9"/>
    <n v="4412040"/>
    <n v="1530449"/>
    <n v="73"/>
    <x v="3"/>
    <x v="1"/>
  </r>
  <r>
    <x v="335"/>
    <s v="Hidden Edge 387"/>
    <x v="1"/>
    <s v="L. Brown"/>
    <x v="3"/>
    <d v="2016-12-08T00:00:00"/>
    <x v="24"/>
    <x v="9"/>
    <s v="1 Seasons"/>
    <x v="4"/>
    <n v="5"/>
    <n v="23522598"/>
    <n v="3196827"/>
    <n v="81"/>
    <x v="0"/>
    <x v="3"/>
  </r>
  <r>
    <x v="336"/>
    <s v="Golden World 1784"/>
    <x v="1"/>
    <s v="N. Singh"/>
    <x v="7"/>
    <d v="2016-12-10T00:00:00"/>
    <x v="1"/>
    <x v="1"/>
    <s v="Unknown"/>
    <x v="2"/>
    <n v="6.8"/>
    <n v="19903448"/>
    <n v="4723048"/>
    <n v="40"/>
    <x v="6"/>
    <x v="0"/>
  </r>
  <r>
    <x v="337"/>
    <s v="Urban Line 341"/>
    <x v="1"/>
    <s v="S. Patel"/>
    <x v="12"/>
    <d v="2016-12-11T00:00:00"/>
    <x v="18"/>
    <x v="1"/>
    <s v="6 Seasons"/>
    <x v="8"/>
    <n v="5.5"/>
    <n v="9040074"/>
    <n v="2079259"/>
    <n v="95"/>
    <x v="5"/>
    <x v="3"/>
  </r>
  <r>
    <x v="338"/>
    <s v="Infinite Quest 932"/>
    <x v="0"/>
    <s v="R. Kumar"/>
    <x v="3"/>
    <d v="2016-12-14T00:00:00"/>
    <x v="24"/>
    <x v="9"/>
    <s v="166 Min"/>
    <x v="3"/>
    <n v="5.8"/>
    <n v="14090149"/>
    <n v="1866901"/>
    <n v="74"/>
    <x v="8"/>
    <x v="1"/>
  </r>
  <r>
    <x v="339"/>
    <s v="Broken Rise 79"/>
    <x v="0"/>
    <s v="S. Patel"/>
    <x v="6"/>
    <d v="2016-12-18T00:00:00"/>
    <x v="4"/>
    <x v="5"/>
    <s v="161 Min"/>
    <x v="8"/>
    <n v="4.8"/>
    <n v="218395"/>
    <n v="390203"/>
    <n v="98"/>
    <x v="8"/>
    <x v="3"/>
  </r>
  <r>
    <x v="340"/>
    <s v="Last Chronicles 466"/>
    <x v="1"/>
    <s v="K. Tanaka"/>
    <x v="2"/>
    <d v="2016-12-19T00:00:00"/>
    <x v="4"/>
    <x v="7"/>
    <s v="7 Seasons"/>
    <x v="10"/>
    <n v="8"/>
    <n v="13354192"/>
    <n v="2525944"/>
    <n v="76"/>
    <x v="5"/>
    <x v="4"/>
  </r>
  <r>
    <x v="341"/>
    <s v="Blue Story 691"/>
    <x v="1"/>
    <s v="Unknown"/>
    <x v="5"/>
    <d v="2016-12-19T00:00:00"/>
    <x v="3"/>
    <x v="1"/>
    <s v="1 Seasons"/>
    <x v="9"/>
    <n v="7.2"/>
    <n v="18872001"/>
    <n v="2676716"/>
    <n v="42"/>
    <x v="9"/>
    <x v="3"/>
  </r>
  <r>
    <x v="342"/>
    <s v="Future Edge 1172"/>
    <x v="1"/>
    <s v="N. Singh"/>
    <x v="9"/>
    <d v="2016-12-27T00:00:00"/>
    <x v="4"/>
    <x v="2"/>
    <s v="Unknown"/>
    <x v="6"/>
    <n v="7.8"/>
    <n v="381746"/>
    <n v="1664263"/>
    <n v="99"/>
    <x v="8"/>
    <x v="1"/>
  </r>
  <r>
    <x v="343"/>
    <s v="Hidden Game 1564"/>
    <x v="2"/>
    <s v="S. Patel"/>
    <x v="7"/>
    <d v="2016-12-27T00:00:00"/>
    <x v="9"/>
    <x v="1"/>
    <s v="8 Seasons"/>
    <x v="9"/>
    <n v="9.1999999999999993"/>
    <n v="12125706"/>
    <n v="4363530"/>
    <n v="62"/>
    <x v="0"/>
    <x v="1"/>
  </r>
  <r>
    <x v="344"/>
    <s v="Crimson Zone 1878"/>
    <x v="0"/>
    <s v="M. Garcia"/>
    <x v="3"/>
    <d v="2016-12-30T00:00:00"/>
    <x v="2"/>
    <x v="9"/>
    <s v="97 Min"/>
    <x v="9"/>
    <n v="6"/>
    <n v="6758643"/>
    <n v="1919309"/>
    <n v="67"/>
    <x v="9"/>
    <x v="2"/>
  </r>
  <r>
    <x v="345"/>
    <s v="Hidden Code 388"/>
    <x v="0"/>
    <s v="J. Lee"/>
    <x v="10"/>
    <d v="2016-12-31T00:00:00"/>
    <x v="3"/>
    <x v="4"/>
    <s v="147 Min"/>
    <x v="3"/>
    <n v="9.6999999999999993"/>
    <n v="13837107"/>
    <n v="2865011"/>
    <n v="51"/>
    <x v="0"/>
    <x v="4"/>
  </r>
  <r>
    <x v="346"/>
    <s v="Broken Quest 203"/>
    <x v="1"/>
    <s v="D. Kim"/>
    <x v="2"/>
    <d v="2017-01-04T00:00:00"/>
    <x v="25"/>
    <x v="2"/>
    <s v="7 Seasons"/>
    <x v="3"/>
    <n v="6.8"/>
    <n v="5924926"/>
    <n v="3675143"/>
    <n v="50"/>
    <x v="4"/>
    <x v="0"/>
  </r>
  <r>
    <x v="347"/>
    <s v="Royal Code 97"/>
    <x v="0"/>
    <s v="Unknown"/>
    <x v="7"/>
    <d v="2017-01-09T00:00:00"/>
    <x v="23"/>
    <x v="3"/>
    <s v="177 Min"/>
    <x v="3"/>
    <n v="5.5"/>
    <n v="12327862"/>
    <n v="308617"/>
    <n v="63"/>
    <x v="0"/>
    <x v="3"/>
  </r>
  <r>
    <x v="348"/>
    <s v="Shadow Journey 896"/>
    <x v="0"/>
    <s v="R. Kumar"/>
    <x v="0"/>
    <d v="2017-01-09T00:00:00"/>
    <x v="22"/>
    <x v="4"/>
    <s v="86 Min"/>
    <x v="4"/>
    <n v="7.5"/>
    <n v="9033594"/>
    <n v="1046306"/>
    <n v="67"/>
    <x v="4"/>
    <x v="1"/>
  </r>
  <r>
    <x v="349"/>
    <s v="Blue Signal 452"/>
    <x v="1"/>
    <s v="S. Patel"/>
    <x v="0"/>
    <d v="2017-01-10T00:00:00"/>
    <x v="25"/>
    <x v="3"/>
    <s v="1 Seasons"/>
    <x v="10"/>
    <n v="5.8"/>
    <n v="21805759"/>
    <n v="1243964"/>
    <n v="71"/>
    <x v="3"/>
    <x v="4"/>
  </r>
  <r>
    <x v="350"/>
    <s v="Lost Rise 1559"/>
    <x v="1"/>
    <s v="A. Smith"/>
    <x v="12"/>
    <d v="2017-01-18T00:00:00"/>
    <x v="0"/>
    <x v="9"/>
    <s v="1 Seasons"/>
    <x v="1"/>
    <n v="11.2"/>
    <n v="3278876"/>
    <n v="4709380"/>
    <n v="93"/>
    <x v="2"/>
    <x v="1"/>
  </r>
  <r>
    <x v="351"/>
    <s v="Last Journey 401"/>
    <x v="0"/>
    <s v="Unknown"/>
    <x v="1"/>
    <d v="2017-01-20T00:00:00"/>
    <x v="15"/>
    <x v="8"/>
    <s v="167 Min"/>
    <x v="2"/>
    <n v="8.6"/>
    <n v="12529831"/>
    <n v="2609883"/>
    <n v="72"/>
    <x v="4"/>
    <x v="2"/>
  </r>
  <r>
    <x v="352"/>
    <s v="Urban Dream 666"/>
    <x v="1"/>
    <s v="A. Smith"/>
    <x v="6"/>
    <d v="2017-01-21T00:00:00"/>
    <x v="27"/>
    <x v="9"/>
    <s v="2 Seasons"/>
    <x v="2"/>
    <n v="5.9"/>
    <n v="8631627"/>
    <n v="1716592"/>
    <n v="82"/>
    <x v="8"/>
    <x v="0"/>
  </r>
  <r>
    <x v="353"/>
    <s v="Infinite Journey 1006"/>
    <x v="1"/>
    <s v="R. Kumar"/>
    <x v="5"/>
    <d v="2017-01-24T00:00:00"/>
    <x v="12"/>
    <x v="2"/>
    <s v="4 Seasons"/>
    <x v="5"/>
    <n v="5.3"/>
    <n v="9738312"/>
    <n v="2890693"/>
    <n v="48"/>
    <x v="9"/>
    <x v="0"/>
  </r>
  <r>
    <x v="354"/>
    <s v="Shadow World 1140"/>
    <x v="1"/>
    <s v="P. Johnson"/>
    <x v="11"/>
    <d v="2017-01-29T00:00:00"/>
    <x v="10"/>
    <x v="7"/>
    <s v="2 Seasons"/>
    <x v="0"/>
    <n v="7.8"/>
    <n v="3679955"/>
    <n v="2527150"/>
    <n v="74"/>
    <x v="2"/>
    <x v="4"/>
  </r>
  <r>
    <x v="355"/>
    <s v="Wild Code 1267"/>
    <x v="0"/>
    <s v="R. Kumar"/>
    <x v="11"/>
    <d v="2017-01-30T00:00:00"/>
    <x v="7"/>
    <x v="2"/>
    <s v="78 Min"/>
    <x v="7"/>
    <n v="9.4"/>
    <n v="16356949"/>
    <n v="3124954"/>
    <n v="59"/>
    <x v="1"/>
    <x v="3"/>
  </r>
  <r>
    <x v="356"/>
    <s v="Wild Files 1304"/>
    <x v="2"/>
    <s v="D. Kim"/>
    <x v="2"/>
    <d v="2017-01-30T00:00:00"/>
    <x v="20"/>
    <x v="8"/>
    <s v="8 Seasons"/>
    <x v="9"/>
    <n v="6.8"/>
    <n v="9307550"/>
    <n v="4954016"/>
    <n v="58"/>
    <x v="1"/>
    <x v="4"/>
  </r>
  <r>
    <x v="357"/>
    <s v="Wild Quest 449"/>
    <x v="0"/>
    <s v="Unknown"/>
    <x v="1"/>
    <d v="2017-01-31T00:00:00"/>
    <x v="9"/>
    <x v="1"/>
    <s v="77 Min"/>
    <x v="3"/>
    <n v="5.9"/>
    <n v="17643502"/>
    <n v="3979500"/>
    <n v="120"/>
    <x v="6"/>
    <x v="0"/>
  </r>
  <r>
    <x v="358"/>
    <s v="Secret Quest 789"/>
    <x v="0"/>
    <s v="S. Patel"/>
    <x v="12"/>
    <d v="2017-02-06T00:00:00"/>
    <x v="10"/>
    <x v="5"/>
    <s v="75 Min"/>
    <x v="0"/>
    <n v="7.9"/>
    <n v="7635064"/>
    <n v="4957603"/>
    <n v="65"/>
    <x v="4"/>
    <x v="3"/>
  </r>
  <r>
    <x v="359"/>
    <s v="Lost Legacy 1721"/>
    <x v="0"/>
    <s v="M. Garcia"/>
    <x v="10"/>
    <d v="2017-02-06T00:00:00"/>
    <x v="11"/>
    <x v="3"/>
    <s v="177 Min"/>
    <x v="1"/>
    <n v="5.5"/>
    <n v="14150254"/>
    <n v="2342846"/>
    <n v="71"/>
    <x v="6"/>
    <x v="1"/>
  </r>
  <r>
    <x v="360"/>
    <s v="Crimson Journey 227"/>
    <x v="0"/>
    <s v="D. Kim"/>
    <x v="5"/>
    <d v="2017-02-09T00:00:00"/>
    <x v="14"/>
    <x v="1"/>
    <s v="125 Min"/>
    <x v="0"/>
    <n v="7.3"/>
    <n v="10613443"/>
    <n v="1376585"/>
    <n v="78"/>
    <x v="7"/>
    <x v="1"/>
  </r>
  <r>
    <x v="361"/>
    <s v="Future Files 344"/>
    <x v="0"/>
    <s v="N. Singh"/>
    <x v="9"/>
    <d v="2017-02-14T00:00:00"/>
    <x v="7"/>
    <x v="9"/>
    <s v="112 Min"/>
    <x v="9"/>
    <n v="7.5"/>
    <n v="5108634"/>
    <n v="2755112"/>
    <n v="66"/>
    <x v="6"/>
    <x v="3"/>
  </r>
  <r>
    <x v="362"/>
    <s v="Infinite Quest 1231"/>
    <x v="1"/>
    <s v="A. Smith"/>
    <x v="3"/>
    <d v="2017-02-14T00:00:00"/>
    <x v="9"/>
    <x v="8"/>
    <s v="4 Seasons"/>
    <x v="2"/>
    <n v="7.5"/>
    <n v="17734392"/>
    <n v="4450253"/>
    <n v="43"/>
    <x v="6"/>
    <x v="0"/>
  </r>
  <r>
    <x v="363"/>
    <s v="Wild Truth 708"/>
    <x v="0"/>
    <s v="S. Patel"/>
    <x v="0"/>
    <d v="2017-02-18T00:00:00"/>
    <x v="27"/>
    <x v="1"/>
    <s v="114 Min"/>
    <x v="7"/>
    <n v="5.0999999999999996"/>
    <n v="18521903"/>
    <n v="1174543"/>
    <n v="90"/>
    <x v="9"/>
    <x v="2"/>
  </r>
  <r>
    <x v="364"/>
    <s v="Last Empire 1827"/>
    <x v="0"/>
    <s v="R. Kumar"/>
    <x v="1"/>
    <d v="2017-02-19T00:00:00"/>
    <x v="8"/>
    <x v="7"/>
    <s v="75 Min"/>
    <x v="8"/>
    <n v="7.7"/>
    <n v="3348010"/>
    <n v="2319454"/>
    <n v="87"/>
    <x v="0"/>
    <x v="4"/>
  </r>
  <r>
    <x v="365"/>
    <s v="Blue Empire 1610"/>
    <x v="0"/>
    <s v="L. Brown"/>
    <x v="10"/>
    <d v="2017-02-21T00:00:00"/>
    <x v="22"/>
    <x v="4"/>
    <s v="146 Min"/>
    <x v="8"/>
    <n v="6.6"/>
    <n v="5268856"/>
    <n v="1564631"/>
    <n v="45"/>
    <x v="5"/>
    <x v="2"/>
  </r>
  <r>
    <x v="366"/>
    <s v="Royal Dream 283"/>
    <x v="1"/>
    <s v="Unknown"/>
    <x v="7"/>
    <d v="2017-02-22T00:00:00"/>
    <x v="10"/>
    <x v="5"/>
    <s v="3 Seasons"/>
    <x v="8"/>
    <n v="8.3000000000000007"/>
    <n v="3389706"/>
    <n v="1310733"/>
    <n v="72"/>
    <x v="3"/>
    <x v="4"/>
  </r>
  <r>
    <x v="367"/>
    <s v="Urban Legacy 1178"/>
    <x v="1"/>
    <s v="L. Brown"/>
    <x v="4"/>
    <d v="2017-02-23T00:00:00"/>
    <x v="1"/>
    <x v="4"/>
    <s v="1 Seasons"/>
    <x v="2"/>
    <n v="4.5999999999999996"/>
    <n v="1324698"/>
    <n v="2428988"/>
    <n v="81"/>
    <x v="2"/>
    <x v="0"/>
  </r>
  <r>
    <x v="368"/>
    <s v="Future Quest 1085"/>
    <x v="1"/>
    <s v="Unknown"/>
    <x v="5"/>
    <d v="2017-02-26T00:00:00"/>
    <x v="6"/>
    <x v="0"/>
    <s v="6 Seasons"/>
    <x v="0"/>
    <n v="6.7"/>
    <n v="21613941"/>
    <n v="3750796"/>
    <n v="92"/>
    <x v="0"/>
    <x v="0"/>
  </r>
  <r>
    <x v="369"/>
    <s v="Urban Game 1218"/>
    <x v="0"/>
    <s v="A. Smith"/>
    <x v="5"/>
    <d v="2017-03-02T00:00:00"/>
    <x v="11"/>
    <x v="5"/>
    <s v="168 Min"/>
    <x v="2"/>
    <n v="7.1"/>
    <n v="10200597"/>
    <n v="348168"/>
    <n v="62"/>
    <x v="4"/>
    <x v="3"/>
  </r>
  <r>
    <x v="370"/>
    <s v="Beyond Files 954"/>
    <x v="2"/>
    <s v="D. Kim"/>
    <x v="1"/>
    <d v="2017-03-04T00:00:00"/>
    <x v="27"/>
    <x v="8"/>
    <s v="4 Seasons"/>
    <x v="3"/>
    <n v="7.3"/>
    <n v="24212071"/>
    <n v="4927079"/>
    <n v="70"/>
    <x v="3"/>
    <x v="1"/>
  </r>
  <r>
    <x v="371"/>
    <s v="Last Empire 1827"/>
    <x v="1"/>
    <s v="K. Tanaka"/>
    <x v="0"/>
    <d v="2017-03-04T00:00:00"/>
    <x v="12"/>
    <x v="4"/>
    <s v="5 Seasons"/>
    <x v="7"/>
    <n v="9.1999999999999993"/>
    <n v="12647552"/>
    <n v="64215"/>
    <n v="89"/>
    <x v="3"/>
    <x v="0"/>
  </r>
  <r>
    <x v="372"/>
    <s v="Wild Legacy 1509"/>
    <x v="0"/>
    <s v="K. Tanaka"/>
    <x v="12"/>
    <d v="2017-03-08T00:00:00"/>
    <x v="22"/>
    <x v="7"/>
    <s v="120 Min"/>
    <x v="0"/>
    <n v="7"/>
    <n v="5285298"/>
    <n v="4257903"/>
    <n v="41"/>
    <x v="5"/>
    <x v="2"/>
  </r>
  <r>
    <x v="373"/>
    <s v="Broken Valley 1671"/>
    <x v="0"/>
    <s v="L. Brown"/>
    <x v="7"/>
    <d v="2017-03-09T00:00:00"/>
    <x v="9"/>
    <x v="0"/>
    <s v="87 Min"/>
    <x v="5"/>
    <n v="7.9"/>
    <n v="19824308"/>
    <n v="1249499"/>
    <n v="66"/>
    <x v="5"/>
    <x v="4"/>
  </r>
  <r>
    <x v="374"/>
    <s v="Silent Empire 409"/>
    <x v="2"/>
    <s v="D. Kim"/>
    <x v="9"/>
    <d v="2017-03-10T00:00:00"/>
    <x v="24"/>
    <x v="9"/>
    <s v="2 Seasons"/>
    <x v="2"/>
    <n v="5.5"/>
    <n v="6789082"/>
    <n v="4027102"/>
    <n v="70"/>
    <x v="3"/>
    <x v="1"/>
  </r>
  <r>
    <x v="375"/>
    <s v="Beyond Rise 64"/>
    <x v="0"/>
    <s v="K. Tanaka"/>
    <x v="10"/>
    <d v="2017-03-16T00:00:00"/>
    <x v="27"/>
    <x v="1"/>
    <s v="170 Min"/>
    <x v="4"/>
    <n v="8.9"/>
    <n v="9643802"/>
    <n v="1430177"/>
    <n v="73"/>
    <x v="2"/>
    <x v="4"/>
  </r>
  <r>
    <x v="376"/>
    <s v="Blue Mission 620"/>
    <x v="0"/>
    <s v="M. Garcia"/>
    <x v="0"/>
    <d v="2017-03-17T00:00:00"/>
    <x v="26"/>
    <x v="3"/>
    <s v="81 Min"/>
    <x v="3"/>
    <n v="5.6"/>
    <n v="5303183"/>
    <n v="126236"/>
    <n v="43"/>
    <x v="2"/>
    <x v="2"/>
  </r>
  <r>
    <x v="377"/>
    <s v="Silent Journey 1483"/>
    <x v="1"/>
    <s v="L. Brown"/>
    <x v="10"/>
    <d v="2017-03-19T00:00:00"/>
    <x v="16"/>
    <x v="8"/>
    <s v="4 Seasons"/>
    <x v="8"/>
    <n v="6.1"/>
    <n v="6070148"/>
    <n v="235277"/>
    <n v="120"/>
    <x v="6"/>
    <x v="2"/>
  </r>
  <r>
    <x v="378"/>
    <s v="Last Edge 1810"/>
    <x v="0"/>
    <s v="P. Johnson"/>
    <x v="7"/>
    <d v="2017-03-22T00:00:00"/>
    <x v="3"/>
    <x v="9"/>
    <s v="165 Min"/>
    <x v="0"/>
    <n v="5.2"/>
    <n v="6461772"/>
    <n v="4991886"/>
    <n v="80"/>
    <x v="6"/>
    <x v="1"/>
  </r>
  <r>
    <x v="379"/>
    <s v="Future Journey 1410"/>
    <x v="0"/>
    <s v="R. Kumar"/>
    <x v="7"/>
    <d v="2017-03-23T00:00:00"/>
    <x v="22"/>
    <x v="4"/>
    <s v="178 Min"/>
    <x v="10"/>
    <n v="7.1"/>
    <n v="5693390"/>
    <n v="2355341"/>
    <n v="67"/>
    <x v="4"/>
    <x v="4"/>
  </r>
  <r>
    <x v="380"/>
    <s v="Echo Mission 1475"/>
    <x v="1"/>
    <s v="A. Smith"/>
    <x v="7"/>
    <d v="2017-03-27T00:00:00"/>
    <x v="6"/>
    <x v="9"/>
    <s v="7 Seasons"/>
    <x v="1"/>
    <n v="9.3000000000000007"/>
    <n v="16791471"/>
    <n v="4586151"/>
    <n v="77"/>
    <x v="9"/>
    <x v="4"/>
  </r>
  <r>
    <x v="381"/>
    <s v="Wild Chronicles 1330"/>
    <x v="1"/>
    <s v="N. Singh"/>
    <x v="7"/>
    <d v="2017-03-28T00:00:00"/>
    <x v="20"/>
    <x v="7"/>
    <s v="5 Seasons"/>
    <x v="5"/>
    <n v="5.6"/>
    <n v="12459876"/>
    <n v="904893"/>
    <n v="120"/>
    <x v="6"/>
    <x v="4"/>
  </r>
  <r>
    <x v="382"/>
    <s v="Future Game 63"/>
    <x v="2"/>
    <s v="Unknown"/>
    <x v="4"/>
    <d v="2017-03-29T00:00:00"/>
    <x v="11"/>
    <x v="7"/>
    <s v="2 Seasons"/>
    <x v="10"/>
    <n v="5.9"/>
    <n v="9492255"/>
    <n v="407076"/>
    <n v="63"/>
    <x v="9"/>
    <x v="3"/>
  </r>
  <r>
    <x v="383"/>
    <s v="Hidden Edge 1165"/>
    <x v="0"/>
    <s v="R. Kumar"/>
    <x v="7"/>
    <d v="2017-04-01T00:00:00"/>
    <x v="4"/>
    <x v="9"/>
    <s v="105 Min"/>
    <x v="6"/>
    <n v="7.9"/>
    <n v="21214923"/>
    <n v="116204"/>
    <n v="57"/>
    <x v="7"/>
    <x v="3"/>
  </r>
  <r>
    <x v="384"/>
    <s v="Echo World 1585"/>
    <x v="0"/>
    <s v="A. Smith"/>
    <x v="12"/>
    <d v="2017-04-01T00:00:00"/>
    <x v="25"/>
    <x v="5"/>
    <s v="152 Min"/>
    <x v="4"/>
    <n v="5"/>
    <n v="13373947"/>
    <n v="4531056"/>
    <n v="78"/>
    <x v="1"/>
    <x v="4"/>
  </r>
  <r>
    <x v="385"/>
    <s v="Shadow Signal 1618"/>
    <x v="0"/>
    <s v="L. Brown"/>
    <x v="4"/>
    <d v="2017-04-02T00:00:00"/>
    <x v="3"/>
    <x v="3"/>
    <s v="117 Min"/>
    <x v="10"/>
    <n v="6.2"/>
    <n v="16366065"/>
    <n v="2402357"/>
    <n v="68"/>
    <x v="4"/>
    <x v="1"/>
  </r>
  <r>
    <x v="386"/>
    <s v="Shadow Signal 1530"/>
    <x v="1"/>
    <s v="Unknown"/>
    <x v="5"/>
    <d v="2017-04-04T00:00:00"/>
    <x v="14"/>
    <x v="8"/>
    <s v="7 Seasons"/>
    <x v="5"/>
    <n v="5.0999999999999996"/>
    <n v="4507590"/>
    <n v="1842816"/>
    <n v="82"/>
    <x v="7"/>
    <x v="0"/>
  </r>
  <r>
    <x v="387"/>
    <s v="Infinite Files 1964"/>
    <x v="1"/>
    <s v="L. Brown"/>
    <x v="0"/>
    <d v="2017-04-07T00:00:00"/>
    <x v="4"/>
    <x v="7"/>
    <s v="8 Seasons"/>
    <x v="9"/>
    <n v="9.6"/>
    <n v="9937260"/>
    <n v="3894124"/>
    <n v="90"/>
    <x v="4"/>
    <x v="4"/>
  </r>
  <r>
    <x v="388"/>
    <s v="Last World 1865"/>
    <x v="1"/>
    <s v="P. Johnson"/>
    <x v="3"/>
    <d v="2017-04-10T00:00:00"/>
    <x v="12"/>
    <x v="4"/>
    <s v="6 Seasons"/>
    <x v="8"/>
    <n v="5.6"/>
    <n v="20473888"/>
    <n v="4858920"/>
    <n v="48"/>
    <x v="4"/>
    <x v="4"/>
  </r>
  <r>
    <x v="389"/>
    <s v="Beyond Story 68"/>
    <x v="1"/>
    <s v="Unknown"/>
    <x v="5"/>
    <d v="2017-04-12T00:00:00"/>
    <x v="8"/>
    <x v="0"/>
    <s v="5 Seasons"/>
    <x v="2"/>
    <n v="6"/>
    <n v="3595952"/>
    <n v="2356558"/>
    <n v="64"/>
    <x v="8"/>
    <x v="2"/>
  </r>
  <r>
    <x v="390"/>
    <s v="Wild Rise 1976"/>
    <x v="2"/>
    <s v="Unknown"/>
    <x v="6"/>
    <d v="2017-04-12T00:00:00"/>
    <x v="13"/>
    <x v="6"/>
    <s v="8 Seasons"/>
    <x v="3"/>
    <n v="7.8"/>
    <n v="1709500"/>
    <n v="1857782"/>
    <n v="65"/>
    <x v="9"/>
    <x v="3"/>
  </r>
  <r>
    <x v="391"/>
    <s v="Lost Night 1399"/>
    <x v="0"/>
    <s v="N. Singh"/>
    <x v="6"/>
    <d v="2017-04-13T00:00:00"/>
    <x v="0"/>
    <x v="1"/>
    <s v="168 Min"/>
    <x v="5"/>
    <n v="7"/>
    <n v="891129"/>
    <n v="1080941"/>
    <n v="80"/>
    <x v="9"/>
    <x v="3"/>
  </r>
  <r>
    <x v="392"/>
    <s v="Echo Truth 298"/>
    <x v="0"/>
    <s v="M. Garcia"/>
    <x v="9"/>
    <d v="2017-04-19T00:00:00"/>
    <x v="8"/>
    <x v="9"/>
    <s v="137 Min"/>
    <x v="0"/>
    <n v="9"/>
    <n v="8985786"/>
    <n v="1728635"/>
    <n v="40"/>
    <x v="7"/>
    <x v="1"/>
  </r>
  <r>
    <x v="393"/>
    <s v="Shadow Mission 1630"/>
    <x v="1"/>
    <s v="S. Patel"/>
    <x v="10"/>
    <d v="2017-04-20T00:00:00"/>
    <x v="4"/>
    <x v="5"/>
    <s v="1 Seasons"/>
    <x v="5"/>
    <n v="5.9"/>
    <n v="20999863"/>
    <n v="2088947"/>
    <n v="81"/>
    <x v="8"/>
    <x v="2"/>
  </r>
  <r>
    <x v="394"/>
    <s v="Shadow World 1858"/>
    <x v="0"/>
    <s v="Unknown"/>
    <x v="1"/>
    <d v="2017-04-20T00:00:00"/>
    <x v="23"/>
    <x v="3"/>
    <s v="105 Min"/>
    <x v="7"/>
    <n v="7.1"/>
    <n v="21435462"/>
    <n v="4590418"/>
    <n v="83"/>
    <x v="3"/>
    <x v="0"/>
  </r>
  <r>
    <x v="395"/>
    <s v="Fire Chronicles 1761"/>
    <x v="1"/>
    <s v="Unknown"/>
    <x v="7"/>
    <d v="2017-04-27T00:00:00"/>
    <x v="22"/>
    <x v="2"/>
    <s v="8 Seasons"/>
    <x v="4"/>
    <n v="5.0999999999999996"/>
    <n v="11096803"/>
    <n v="3728807"/>
    <n v="85"/>
    <x v="9"/>
    <x v="1"/>
  </r>
  <r>
    <x v="396"/>
    <s v="Blue Truth 1296"/>
    <x v="0"/>
    <s v="M. Garcia"/>
    <x v="9"/>
    <d v="2017-05-05T00:00:00"/>
    <x v="11"/>
    <x v="8"/>
    <s v="83 Min"/>
    <x v="9"/>
    <n v="9.1999999999999993"/>
    <n v="10443462"/>
    <n v="4436312"/>
    <n v="50"/>
    <x v="5"/>
    <x v="1"/>
  </r>
  <r>
    <x v="397"/>
    <s v="Crimson Empire 911"/>
    <x v="0"/>
    <s v="Unknown"/>
    <x v="1"/>
    <d v="2017-05-08T00:00:00"/>
    <x v="2"/>
    <x v="1"/>
    <s v="160 Min"/>
    <x v="10"/>
    <n v="7.3"/>
    <n v="2521410"/>
    <n v="534168"/>
    <n v="93"/>
    <x v="4"/>
    <x v="1"/>
  </r>
  <r>
    <x v="398"/>
    <s v="Lost Signal 1096"/>
    <x v="0"/>
    <s v="P. Johnson"/>
    <x v="0"/>
    <d v="2017-05-08T00:00:00"/>
    <x v="19"/>
    <x v="7"/>
    <s v="114 Min"/>
    <x v="7"/>
    <n v="4.5999999999999996"/>
    <n v="13465212"/>
    <n v="3641831"/>
    <n v="64"/>
    <x v="6"/>
    <x v="2"/>
  </r>
  <r>
    <x v="399"/>
    <s v="Fire World 461"/>
    <x v="0"/>
    <s v="P. Johnson"/>
    <x v="8"/>
    <d v="2017-05-09T00:00:00"/>
    <x v="5"/>
    <x v="2"/>
    <s v="177 Min"/>
    <x v="6"/>
    <n v="5.7"/>
    <n v="22291540"/>
    <n v="3238509"/>
    <n v="64"/>
    <x v="7"/>
    <x v="0"/>
  </r>
  <r>
    <x v="400"/>
    <s v="Ocean Zone 1841"/>
    <x v="0"/>
    <s v="A. Smith"/>
    <x v="3"/>
    <d v="2017-05-11T00:00:00"/>
    <x v="6"/>
    <x v="5"/>
    <s v="168 Min"/>
    <x v="5"/>
    <n v="6.2"/>
    <n v="11877772"/>
    <n v="918826"/>
    <n v="96"/>
    <x v="5"/>
    <x v="4"/>
  </r>
  <r>
    <x v="401"/>
    <s v="Blue World 1850"/>
    <x v="0"/>
    <s v="Unknown"/>
    <x v="11"/>
    <d v="2017-05-12T00:00:00"/>
    <x v="19"/>
    <x v="1"/>
    <s v="88 Min"/>
    <x v="0"/>
    <n v="6.2"/>
    <n v="11989522"/>
    <n v="2231714"/>
    <n v="74"/>
    <x v="4"/>
    <x v="0"/>
  </r>
  <r>
    <x v="402"/>
    <s v="Wild Night 914"/>
    <x v="0"/>
    <s v="A. Smith"/>
    <x v="2"/>
    <d v="2017-05-17T00:00:00"/>
    <x v="9"/>
    <x v="6"/>
    <s v="180 Min"/>
    <x v="3"/>
    <n v="7"/>
    <n v="4815741"/>
    <n v="19022"/>
    <n v="59"/>
    <x v="3"/>
    <x v="3"/>
  </r>
  <r>
    <x v="403"/>
    <s v="Golden Valley 474"/>
    <x v="1"/>
    <s v="L. Brown"/>
    <x v="1"/>
    <d v="2017-05-20T00:00:00"/>
    <x v="12"/>
    <x v="9"/>
    <s v="2 Seasons"/>
    <x v="2"/>
    <n v="9.3000000000000007"/>
    <n v="13340948"/>
    <n v="1473180"/>
    <n v="46"/>
    <x v="7"/>
    <x v="2"/>
  </r>
  <r>
    <x v="404"/>
    <s v="Ocean Valley 1788"/>
    <x v="0"/>
    <s v="Unknown"/>
    <x v="7"/>
    <d v="2017-05-21T00:00:00"/>
    <x v="24"/>
    <x v="3"/>
    <s v="129 Min"/>
    <x v="7"/>
    <n v="7.3"/>
    <n v="14458874"/>
    <n v="660459"/>
    <n v="71"/>
    <x v="5"/>
    <x v="3"/>
  </r>
  <r>
    <x v="405"/>
    <s v="Royal Truth 111"/>
    <x v="1"/>
    <s v="K. Tanaka"/>
    <x v="6"/>
    <d v="2017-05-23T00:00:00"/>
    <x v="19"/>
    <x v="7"/>
    <s v="4 Seasons"/>
    <x v="2"/>
    <n v="8.6999999999999993"/>
    <n v="23185974"/>
    <n v="4639332"/>
    <n v="120"/>
    <x v="4"/>
    <x v="0"/>
  </r>
  <r>
    <x v="406"/>
    <s v="Infinite Truth 332"/>
    <x v="1"/>
    <s v="R. Kumar"/>
    <x v="2"/>
    <d v="2017-05-23T00:00:00"/>
    <x v="14"/>
    <x v="8"/>
    <s v="6 Seasons"/>
    <x v="0"/>
    <n v="7.6"/>
    <n v="22962813"/>
    <n v="400237"/>
    <n v="77"/>
    <x v="6"/>
    <x v="0"/>
  </r>
  <r>
    <x v="407"/>
    <s v="Royal Chronicles 503"/>
    <x v="1"/>
    <s v="J. Lee"/>
    <x v="12"/>
    <d v="2017-05-25T00:00:00"/>
    <x v="7"/>
    <x v="1"/>
    <s v="8 Seasons"/>
    <x v="10"/>
    <n v="6.4"/>
    <n v="24184811"/>
    <n v="4671368"/>
    <n v="87"/>
    <x v="0"/>
    <x v="3"/>
  </r>
  <r>
    <x v="408"/>
    <s v="Blue Zone 459"/>
    <x v="2"/>
    <s v="A. Smith"/>
    <x v="2"/>
    <d v="2017-05-27T00:00:00"/>
    <x v="20"/>
    <x v="5"/>
    <s v="7 Seasons"/>
    <x v="9"/>
    <n v="7.4"/>
    <n v="2163277"/>
    <n v="4801067"/>
    <n v="63"/>
    <x v="7"/>
    <x v="2"/>
  </r>
  <r>
    <x v="409"/>
    <s v="Blue Chronicles 1046"/>
    <x v="2"/>
    <s v="M. Garcia"/>
    <x v="8"/>
    <d v="2017-05-27T00:00:00"/>
    <x v="20"/>
    <x v="3"/>
    <s v="7 Seasons"/>
    <x v="0"/>
    <n v="8.8000000000000007"/>
    <n v="14215993"/>
    <n v="1899108"/>
    <n v="64"/>
    <x v="6"/>
    <x v="1"/>
  </r>
  <r>
    <x v="410"/>
    <s v="Beyond Journey 1229"/>
    <x v="1"/>
    <s v="M. Garcia"/>
    <x v="4"/>
    <d v="2017-06-04T00:00:00"/>
    <x v="14"/>
    <x v="3"/>
    <s v="8 Seasons"/>
    <x v="7"/>
    <n v="7.9"/>
    <n v="21326993"/>
    <n v="2072578"/>
    <n v="43"/>
    <x v="8"/>
    <x v="4"/>
  </r>
  <r>
    <x v="411"/>
    <s v="Crimson World 542"/>
    <x v="0"/>
    <s v="R. Kumar"/>
    <x v="3"/>
    <d v="2017-06-05T00:00:00"/>
    <x v="7"/>
    <x v="0"/>
    <s v="114 Min"/>
    <x v="7"/>
    <n v="5"/>
    <n v="17305863"/>
    <n v="1768708"/>
    <n v="90"/>
    <x v="0"/>
    <x v="1"/>
  </r>
  <r>
    <x v="412"/>
    <s v="Lost Dream 1524"/>
    <x v="0"/>
    <s v="S. Patel"/>
    <x v="2"/>
    <d v="2017-06-10T00:00:00"/>
    <x v="26"/>
    <x v="6"/>
    <s v="150 Min"/>
    <x v="3"/>
    <n v="4.8"/>
    <n v="20901160"/>
    <n v="307808"/>
    <n v="40"/>
    <x v="4"/>
    <x v="1"/>
  </r>
  <r>
    <x v="413"/>
    <s v="Shadow Dream 922"/>
    <x v="0"/>
    <s v="S. Patel"/>
    <x v="5"/>
    <d v="2017-06-11T00:00:00"/>
    <x v="0"/>
    <x v="4"/>
    <s v="170 Min"/>
    <x v="2"/>
    <n v="9.1"/>
    <n v="17486112"/>
    <n v="4457623"/>
    <n v="95"/>
    <x v="2"/>
    <x v="0"/>
  </r>
  <r>
    <x v="414"/>
    <s v="Royal Code 1010"/>
    <x v="0"/>
    <s v="A. Smith"/>
    <x v="10"/>
    <d v="2017-06-17T00:00:00"/>
    <x v="4"/>
    <x v="0"/>
    <s v="151 Min"/>
    <x v="3"/>
    <n v="8.3000000000000007"/>
    <n v="15241135"/>
    <n v="75982"/>
    <n v="72"/>
    <x v="1"/>
    <x v="4"/>
  </r>
  <r>
    <x v="415"/>
    <s v="Crimson Zone 568"/>
    <x v="1"/>
    <s v="M. Garcia"/>
    <x v="8"/>
    <d v="2017-06-29T00:00:00"/>
    <x v="26"/>
    <x v="2"/>
    <s v="6 Seasons"/>
    <x v="8"/>
    <n v="5.9"/>
    <n v="9396362"/>
    <n v="1612390"/>
    <n v="40"/>
    <x v="2"/>
    <x v="0"/>
  </r>
  <r>
    <x v="416"/>
    <s v="Broken Journey 1951"/>
    <x v="0"/>
    <s v="A. Smith"/>
    <x v="3"/>
    <d v="2017-06-29T00:00:00"/>
    <x v="3"/>
    <x v="3"/>
    <s v="72 Min"/>
    <x v="5"/>
    <n v="4.8"/>
    <n v="15302623"/>
    <n v="3909371"/>
    <n v="41"/>
    <x v="6"/>
    <x v="0"/>
  </r>
  <r>
    <x v="417"/>
    <s v="Silent Signal 533"/>
    <x v="0"/>
    <s v="D. Kim"/>
    <x v="11"/>
    <d v="2017-06-30T00:00:00"/>
    <x v="1"/>
    <x v="3"/>
    <s v="93 Min"/>
    <x v="3"/>
    <n v="6.6"/>
    <n v="18330849"/>
    <n v="3751764"/>
    <n v="51"/>
    <x v="5"/>
    <x v="4"/>
  </r>
  <r>
    <x v="418"/>
    <s v="Lost Legacy 1476"/>
    <x v="0"/>
    <s v="L. Brown"/>
    <x v="7"/>
    <d v="2017-07-01T00:00:00"/>
    <x v="26"/>
    <x v="2"/>
    <s v="72 Min"/>
    <x v="10"/>
    <n v="8.4"/>
    <n v="22484206"/>
    <n v="3084433"/>
    <n v="52"/>
    <x v="6"/>
    <x v="0"/>
  </r>
  <r>
    <x v="419"/>
    <s v="Hidden World 1583"/>
    <x v="0"/>
    <s v="J. Lee"/>
    <x v="5"/>
    <d v="2017-07-04T00:00:00"/>
    <x v="25"/>
    <x v="5"/>
    <s v="111 Min"/>
    <x v="5"/>
    <n v="7.7"/>
    <n v="14970096"/>
    <n v="3405702"/>
    <n v="47"/>
    <x v="3"/>
    <x v="4"/>
  </r>
  <r>
    <x v="420"/>
    <s v="Last Rise 191"/>
    <x v="2"/>
    <s v="M. Garcia"/>
    <x v="3"/>
    <d v="2017-07-05T00:00:00"/>
    <x v="0"/>
    <x v="4"/>
    <s v="8 Seasons"/>
    <x v="6"/>
    <n v="11.2"/>
    <n v="23623494"/>
    <n v="1651311"/>
    <n v="52"/>
    <x v="5"/>
    <x v="4"/>
  </r>
  <r>
    <x v="421"/>
    <s v="Echo Story 615"/>
    <x v="1"/>
    <s v="Unknown"/>
    <x v="3"/>
    <d v="2017-07-07T00:00:00"/>
    <x v="10"/>
    <x v="4"/>
    <s v="1 Seasons"/>
    <x v="10"/>
    <n v="7.2"/>
    <n v="8658920"/>
    <n v="4108080"/>
    <n v="120"/>
    <x v="8"/>
    <x v="4"/>
  </r>
  <r>
    <x v="422"/>
    <s v="Hidden Signal 404"/>
    <x v="0"/>
    <s v="Unknown"/>
    <x v="1"/>
    <d v="2017-07-12T00:00:00"/>
    <x v="6"/>
    <x v="5"/>
    <s v="80 Min"/>
    <x v="3"/>
    <n v="7.2"/>
    <n v="23812947"/>
    <n v="4863078"/>
    <n v="42"/>
    <x v="4"/>
    <x v="1"/>
  </r>
  <r>
    <x v="423"/>
    <s v="Future Mission 492"/>
    <x v="2"/>
    <s v="A. Smith"/>
    <x v="7"/>
    <d v="2017-07-12T00:00:00"/>
    <x v="10"/>
    <x v="8"/>
    <s v="2 Seasons"/>
    <x v="6"/>
    <n v="8.1"/>
    <n v="12344054"/>
    <n v="2888132"/>
    <n v="79"/>
    <x v="8"/>
    <x v="4"/>
  </r>
  <r>
    <x v="424"/>
    <s v="Broken Code 125"/>
    <x v="1"/>
    <s v="Unknown"/>
    <x v="12"/>
    <d v="2017-07-14T00:00:00"/>
    <x v="9"/>
    <x v="3"/>
    <s v="2 Seasons"/>
    <x v="7"/>
    <n v="4.9000000000000004"/>
    <n v="-769"/>
    <n v="4073877"/>
    <n v="85"/>
    <x v="9"/>
    <x v="3"/>
  </r>
  <r>
    <x v="425"/>
    <s v="Broken Quest 132"/>
    <x v="1"/>
    <s v="M. Garcia"/>
    <x v="1"/>
    <d v="2017-07-14T00:00:00"/>
    <x v="26"/>
    <x v="3"/>
    <s v="8 Seasons"/>
    <x v="8"/>
    <n v="8.6999999999999993"/>
    <n v="16892261"/>
    <n v="4619455"/>
    <n v="93"/>
    <x v="1"/>
    <x v="3"/>
  </r>
  <r>
    <x v="426"/>
    <s v="Urban Legacy 1932"/>
    <x v="1"/>
    <s v="Unknown"/>
    <x v="4"/>
    <d v="2017-07-17T00:00:00"/>
    <x v="3"/>
    <x v="4"/>
    <s v="7 Seasons"/>
    <x v="3"/>
    <n v="7.4"/>
    <n v="24055263"/>
    <n v="4364372"/>
    <n v="90"/>
    <x v="7"/>
    <x v="4"/>
  </r>
  <r>
    <x v="427"/>
    <s v="Infinite Night 645"/>
    <x v="0"/>
    <s v="Unknown"/>
    <x v="1"/>
    <d v="2017-07-20T00:00:00"/>
    <x v="1"/>
    <x v="9"/>
    <s v="98 Min"/>
    <x v="7"/>
    <n v="6.1"/>
    <n v="4463774"/>
    <n v="1792516"/>
    <n v="79"/>
    <x v="2"/>
    <x v="2"/>
  </r>
  <r>
    <x v="428"/>
    <s v="Infinite World 1629"/>
    <x v="1"/>
    <s v="A. Smith"/>
    <x v="9"/>
    <d v="2017-07-20T00:00:00"/>
    <x v="15"/>
    <x v="2"/>
    <s v="7 Seasons"/>
    <x v="2"/>
    <n v="7.6"/>
    <n v="1562416"/>
    <n v="3944239"/>
    <n v="77"/>
    <x v="2"/>
    <x v="1"/>
  </r>
  <r>
    <x v="429"/>
    <s v="Wild Line 836"/>
    <x v="1"/>
    <s v="Unknown"/>
    <x v="7"/>
    <d v="2017-07-23T00:00:00"/>
    <x v="16"/>
    <x v="5"/>
    <s v="7 Seasons"/>
    <x v="9"/>
    <n v="7.4"/>
    <n v="22074413"/>
    <n v="1446637"/>
    <n v="91"/>
    <x v="9"/>
    <x v="3"/>
  </r>
  <r>
    <x v="430"/>
    <s v="Fire Mission 94"/>
    <x v="1"/>
    <s v="L. Brown"/>
    <x v="9"/>
    <d v="2017-07-24T00:00:00"/>
    <x v="24"/>
    <x v="1"/>
    <s v="2 Seasons"/>
    <x v="0"/>
    <n v="5.6"/>
    <n v="9614390"/>
    <n v="1000830"/>
    <n v="52"/>
    <x v="9"/>
    <x v="0"/>
  </r>
  <r>
    <x v="431"/>
    <s v="Blue Code 431"/>
    <x v="1"/>
    <s v="K. Tanaka"/>
    <x v="12"/>
    <d v="2017-07-25T00:00:00"/>
    <x v="14"/>
    <x v="1"/>
    <s v="4 Seasons"/>
    <x v="2"/>
    <n v="8.6"/>
    <n v="22955568"/>
    <n v="202191"/>
    <n v="42"/>
    <x v="8"/>
    <x v="4"/>
  </r>
  <r>
    <x v="432"/>
    <s v="Ocean Files 803"/>
    <x v="2"/>
    <s v="Unknown"/>
    <x v="4"/>
    <d v="2017-07-28T00:00:00"/>
    <x v="10"/>
    <x v="4"/>
    <s v="8 Seasons"/>
    <x v="3"/>
    <n v="8.4"/>
    <n v="7158965"/>
    <n v="858431"/>
    <n v="120"/>
    <x v="3"/>
    <x v="2"/>
  </r>
  <r>
    <x v="433"/>
    <s v="Crimson Edge 1284"/>
    <x v="2"/>
    <s v="Unknown"/>
    <x v="4"/>
    <d v="2017-07-29T00:00:00"/>
    <x v="8"/>
    <x v="3"/>
    <s v="8 Seasons"/>
    <x v="2"/>
    <n v="5.7"/>
    <n v="7494632"/>
    <n v="2411763"/>
    <n v="41"/>
    <x v="7"/>
    <x v="2"/>
  </r>
  <r>
    <x v="434"/>
    <s v="Fire World 1432"/>
    <x v="1"/>
    <s v="J. Lee"/>
    <x v="4"/>
    <d v="2017-07-29T00:00:00"/>
    <x v="4"/>
    <x v="9"/>
    <s v="2 Seasons"/>
    <x v="2"/>
    <n v="8.8000000000000007"/>
    <n v="20309626"/>
    <n v="817460"/>
    <n v="66"/>
    <x v="5"/>
    <x v="2"/>
  </r>
  <r>
    <x v="435"/>
    <s v="Crimson Quest 1400"/>
    <x v="0"/>
    <s v="S. Patel"/>
    <x v="10"/>
    <d v="2017-07-30T00:00:00"/>
    <x v="23"/>
    <x v="9"/>
    <s v="174 Min"/>
    <x v="5"/>
    <n v="9.4"/>
    <n v="20693063"/>
    <n v="4159306"/>
    <n v="57"/>
    <x v="9"/>
    <x v="1"/>
  </r>
  <r>
    <x v="436"/>
    <s v="Beyond Legacy 1796"/>
    <x v="0"/>
    <s v="L. Brown"/>
    <x v="10"/>
    <d v="2017-08-02T00:00:00"/>
    <x v="14"/>
    <x v="5"/>
    <s v="135 Min"/>
    <x v="6"/>
    <n v="5"/>
    <n v="3606122"/>
    <n v="3252377"/>
    <n v="45"/>
    <x v="3"/>
    <x v="0"/>
  </r>
  <r>
    <x v="437"/>
    <s v="Broken Chronicles 376"/>
    <x v="1"/>
    <s v="J. Lee"/>
    <x v="9"/>
    <d v="2017-08-04T00:00:00"/>
    <x v="15"/>
    <x v="6"/>
    <s v="5 Seasons"/>
    <x v="6"/>
    <n v="8.3000000000000007"/>
    <n v="3944681"/>
    <n v="843996"/>
    <n v="92"/>
    <x v="2"/>
    <x v="0"/>
  </r>
  <r>
    <x v="438"/>
    <s v="Shadow World 1099"/>
    <x v="0"/>
    <s v="R. Kumar"/>
    <x v="10"/>
    <d v="2017-08-13T00:00:00"/>
    <x v="3"/>
    <x v="9"/>
    <s v="115 Min"/>
    <x v="2"/>
    <n v="6.6"/>
    <n v="9993462"/>
    <n v="4274629"/>
    <n v="43"/>
    <x v="1"/>
    <x v="0"/>
  </r>
  <r>
    <x v="439"/>
    <s v="Silent Signal 570"/>
    <x v="0"/>
    <s v="L. Brown"/>
    <x v="1"/>
    <d v="2017-08-17T00:00:00"/>
    <x v="3"/>
    <x v="0"/>
    <s v="132 Min"/>
    <x v="6"/>
    <n v="7.5"/>
    <n v="9530995"/>
    <n v="4253393"/>
    <n v="59"/>
    <x v="8"/>
    <x v="3"/>
  </r>
  <r>
    <x v="440"/>
    <s v="Secret Legacy 961"/>
    <x v="1"/>
    <s v="Unknown"/>
    <x v="6"/>
    <d v="2017-08-18T00:00:00"/>
    <x v="7"/>
    <x v="2"/>
    <s v="5 Seasons"/>
    <x v="4"/>
    <n v="5.8"/>
    <n v="16122903"/>
    <n v="1724489"/>
    <n v="58"/>
    <x v="8"/>
    <x v="0"/>
  </r>
  <r>
    <x v="441"/>
    <s v="Fire Files 2"/>
    <x v="0"/>
    <s v="J. Lee"/>
    <x v="12"/>
    <d v="2017-08-22T00:00:00"/>
    <x v="7"/>
    <x v="7"/>
    <s v="179 Min"/>
    <x v="9"/>
    <n v="5.5"/>
    <n v="23904472"/>
    <n v="527712"/>
    <n v="79"/>
    <x v="2"/>
    <x v="0"/>
  </r>
  <r>
    <x v="442"/>
    <s v="Urban Mission 124"/>
    <x v="0"/>
    <s v="M. Garcia"/>
    <x v="3"/>
    <d v="2017-08-24T00:00:00"/>
    <x v="18"/>
    <x v="0"/>
    <s v="142 Min"/>
    <x v="1"/>
    <n v="6.9"/>
    <n v="6933131"/>
    <n v="961313"/>
    <n v="40"/>
    <x v="9"/>
    <x v="0"/>
  </r>
  <r>
    <x v="443"/>
    <s v="Blue Rise 232"/>
    <x v="1"/>
    <s v="L. Brown"/>
    <x v="11"/>
    <d v="2017-08-27T00:00:00"/>
    <x v="5"/>
    <x v="1"/>
    <s v="6 Seasons"/>
    <x v="2"/>
    <n v="7.1"/>
    <n v="15514434"/>
    <n v="3371915"/>
    <n v="70"/>
    <x v="7"/>
    <x v="4"/>
  </r>
  <r>
    <x v="444"/>
    <s v="Hidden World 225"/>
    <x v="2"/>
    <s v="P. Johnson"/>
    <x v="10"/>
    <d v="2017-09-06T00:00:00"/>
    <x v="27"/>
    <x v="9"/>
    <s v="4 Seasons"/>
    <x v="3"/>
    <n v="7.3"/>
    <n v="3574009"/>
    <n v="588653"/>
    <n v="67"/>
    <x v="8"/>
    <x v="2"/>
  </r>
  <r>
    <x v="445"/>
    <s v="Hidden Files 253"/>
    <x v="0"/>
    <s v="S. Patel"/>
    <x v="6"/>
    <d v="2017-09-07T00:00:00"/>
    <x v="12"/>
    <x v="0"/>
    <s v="95 Min"/>
    <x v="5"/>
    <n v="9.4"/>
    <n v="3328911"/>
    <n v="4648580"/>
    <n v="77"/>
    <x v="9"/>
    <x v="1"/>
  </r>
  <r>
    <x v="446"/>
    <s v="Ocean Edge 849"/>
    <x v="0"/>
    <s v="P. Johnson"/>
    <x v="0"/>
    <d v="2017-09-07T00:00:00"/>
    <x v="18"/>
    <x v="6"/>
    <s v="167 Min"/>
    <x v="9"/>
    <n v="9.1999999999999993"/>
    <n v="11153050"/>
    <n v="3266507"/>
    <n v="50"/>
    <x v="1"/>
    <x v="1"/>
  </r>
  <r>
    <x v="447"/>
    <s v="Urban Edge 90"/>
    <x v="0"/>
    <s v="N. Singh"/>
    <x v="4"/>
    <d v="2017-09-09T00:00:00"/>
    <x v="13"/>
    <x v="2"/>
    <s v="180 Min"/>
    <x v="4"/>
    <n v="9.6"/>
    <n v="13200860"/>
    <n v="1533349"/>
    <n v="50"/>
    <x v="9"/>
    <x v="1"/>
  </r>
  <r>
    <x v="448"/>
    <s v="Echo Rise 553"/>
    <x v="1"/>
    <s v="Unknown"/>
    <x v="9"/>
    <d v="2017-09-10T00:00:00"/>
    <x v="9"/>
    <x v="3"/>
    <s v="4 Seasons"/>
    <x v="7"/>
    <n v="7.4"/>
    <n v="7960583"/>
    <n v="4107246"/>
    <n v="44"/>
    <x v="7"/>
    <x v="0"/>
  </r>
  <r>
    <x v="449"/>
    <s v="Lost Rise 1235"/>
    <x v="2"/>
    <s v="P. Johnson"/>
    <x v="4"/>
    <d v="2017-09-10T00:00:00"/>
    <x v="10"/>
    <x v="3"/>
    <s v="6 Seasons"/>
    <x v="2"/>
    <n v="9.6"/>
    <n v="2517384"/>
    <n v="27703"/>
    <n v="61"/>
    <x v="9"/>
    <x v="2"/>
  </r>
  <r>
    <x v="450"/>
    <s v="Secret Truth 14"/>
    <x v="1"/>
    <s v="J. Lee"/>
    <x v="9"/>
    <d v="2017-09-12T00:00:00"/>
    <x v="6"/>
    <x v="7"/>
    <s v="3 Seasons"/>
    <x v="6"/>
    <n v="8.6"/>
    <n v="1916649"/>
    <n v="2085521"/>
    <n v="42"/>
    <x v="1"/>
    <x v="3"/>
  </r>
  <r>
    <x v="451"/>
    <s v="Ocean Chronicles 214"/>
    <x v="0"/>
    <s v="K. Tanaka"/>
    <x v="6"/>
    <d v="2017-09-14T00:00:00"/>
    <x v="17"/>
    <x v="0"/>
    <s v="161 Min"/>
    <x v="6"/>
    <n v="6.2"/>
    <n v="5638682"/>
    <n v="1966536"/>
    <n v="45"/>
    <x v="0"/>
    <x v="0"/>
  </r>
  <r>
    <x v="452"/>
    <s v="Silent Quest 594"/>
    <x v="1"/>
    <s v="R. Kumar"/>
    <x v="7"/>
    <d v="2017-09-19T00:00:00"/>
    <x v="6"/>
    <x v="5"/>
    <s v="2 Seasons"/>
    <x v="4"/>
    <n v="6.8"/>
    <n v="13795239"/>
    <n v="3212357"/>
    <n v="55"/>
    <x v="6"/>
    <x v="0"/>
  </r>
  <r>
    <x v="453"/>
    <s v="Hidden World 682"/>
    <x v="0"/>
    <s v="J. Lee"/>
    <x v="1"/>
    <d v="2017-09-19T00:00:00"/>
    <x v="3"/>
    <x v="2"/>
    <s v="89 Min"/>
    <x v="5"/>
    <n v="6.7"/>
    <n v="13176724"/>
    <n v="99749"/>
    <n v="93"/>
    <x v="3"/>
    <x v="1"/>
  </r>
  <r>
    <x v="454"/>
    <s v="Dark World 1485"/>
    <x v="1"/>
    <s v="P. Johnson"/>
    <x v="4"/>
    <d v="2017-09-19T00:00:00"/>
    <x v="7"/>
    <x v="6"/>
    <s v="4 Seasons"/>
    <x v="2"/>
    <n v="7.5"/>
    <n v="13518818"/>
    <n v="4029878"/>
    <n v="54"/>
    <x v="9"/>
    <x v="0"/>
  </r>
  <r>
    <x v="455"/>
    <s v="Urban World 681"/>
    <x v="0"/>
    <s v="D. Kim"/>
    <x v="7"/>
    <d v="2017-09-21T00:00:00"/>
    <x v="7"/>
    <x v="2"/>
    <s v="173 Min"/>
    <x v="4"/>
    <n v="7.3"/>
    <n v="288565"/>
    <n v="2541288"/>
    <n v="96"/>
    <x v="4"/>
    <x v="4"/>
  </r>
  <r>
    <x v="456"/>
    <s v="Ocean Story 746"/>
    <x v="0"/>
    <s v="S. Patel"/>
    <x v="11"/>
    <d v="2017-09-21T00:00:00"/>
    <x v="20"/>
    <x v="0"/>
    <s v="120 Min"/>
    <x v="3"/>
    <n v="6.1"/>
    <n v="21968175"/>
    <n v="2604854"/>
    <n v="93"/>
    <x v="5"/>
    <x v="3"/>
  </r>
  <r>
    <x v="457"/>
    <s v="Infinite Night 1192"/>
    <x v="2"/>
    <s v="N. Singh"/>
    <x v="1"/>
    <d v="2017-09-22T00:00:00"/>
    <x v="11"/>
    <x v="6"/>
    <s v="2 Seasons"/>
    <x v="2"/>
    <n v="7.6"/>
    <n v="12455226"/>
    <n v="3910734"/>
    <n v="120"/>
    <x v="3"/>
    <x v="3"/>
  </r>
  <r>
    <x v="458"/>
    <s v="Crimson Quest 707"/>
    <x v="0"/>
    <s v="N. Singh"/>
    <x v="1"/>
    <d v="2017-09-23T00:00:00"/>
    <x v="7"/>
    <x v="2"/>
    <s v="155 Min"/>
    <x v="2"/>
    <n v="8.3000000000000007"/>
    <n v="1610211"/>
    <n v="1147940"/>
    <n v="83"/>
    <x v="0"/>
    <x v="4"/>
  </r>
  <r>
    <x v="459"/>
    <s v="Echo Chronicles 1278"/>
    <x v="1"/>
    <s v="A. Smith"/>
    <x v="7"/>
    <d v="2017-09-26T00:00:00"/>
    <x v="19"/>
    <x v="4"/>
    <s v="3 Seasons"/>
    <x v="3"/>
    <n v="8.3000000000000007"/>
    <n v="19196206"/>
    <n v="1260493"/>
    <n v="54"/>
    <x v="1"/>
    <x v="4"/>
  </r>
  <r>
    <x v="460"/>
    <s v="Silent Game 1592"/>
    <x v="0"/>
    <s v="J. Lee"/>
    <x v="1"/>
    <d v="2017-09-29T00:00:00"/>
    <x v="15"/>
    <x v="7"/>
    <s v="132 Min"/>
    <x v="7"/>
    <n v="8.6"/>
    <n v="17965951"/>
    <n v="1869245"/>
    <n v="77"/>
    <x v="8"/>
    <x v="1"/>
  </r>
  <r>
    <x v="461"/>
    <s v="Dark Edge 1221"/>
    <x v="2"/>
    <s v="K. Tanaka"/>
    <x v="9"/>
    <d v="2017-10-01T00:00:00"/>
    <x v="21"/>
    <x v="3"/>
    <s v="8 Seasons"/>
    <x v="3"/>
    <n v="11.2"/>
    <n v="19141779"/>
    <n v="3579862"/>
    <n v="87"/>
    <x v="0"/>
    <x v="1"/>
  </r>
  <r>
    <x v="462"/>
    <s v="Last Code 1394"/>
    <x v="0"/>
    <s v="Unknown"/>
    <x v="7"/>
    <d v="2017-10-03T00:00:00"/>
    <x v="20"/>
    <x v="9"/>
    <s v="169 Min"/>
    <x v="2"/>
    <n v="8.6"/>
    <n v="6661089"/>
    <n v="1219564"/>
    <n v="100"/>
    <x v="0"/>
    <x v="3"/>
  </r>
  <r>
    <x v="463"/>
    <s v="Crimson Edge 1924"/>
    <x v="0"/>
    <s v="S. Patel"/>
    <x v="7"/>
    <d v="2017-10-05T00:00:00"/>
    <x v="1"/>
    <x v="1"/>
    <s v="126 Min"/>
    <x v="3"/>
    <n v="7"/>
    <n v="2414324"/>
    <n v="2271276"/>
    <n v="49"/>
    <x v="9"/>
    <x v="0"/>
  </r>
  <r>
    <x v="464"/>
    <s v="Fire Signal 1588"/>
    <x v="1"/>
    <s v="K. Tanaka"/>
    <x v="6"/>
    <d v="2017-10-14T00:00:00"/>
    <x v="25"/>
    <x v="9"/>
    <s v="3 Seasons"/>
    <x v="1"/>
    <n v="5"/>
    <n v="16607042"/>
    <n v="496811"/>
    <n v="120"/>
    <x v="6"/>
    <x v="2"/>
  </r>
  <r>
    <x v="465"/>
    <s v="Blue Empire 1770"/>
    <x v="0"/>
    <s v="Unknown"/>
    <x v="0"/>
    <d v="2017-10-14T00:00:00"/>
    <x v="10"/>
    <x v="4"/>
    <s v="Unknown"/>
    <x v="9"/>
    <n v="7.7"/>
    <n v="3867220"/>
    <n v="1323533"/>
    <n v="87"/>
    <x v="6"/>
    <x v="1"/>
  </r>
  <r>
    <x v="466"/>
    <s v="Future Mission 782"/>
    <x v="1"/>
    <s v="Unknown"/>
    <x v="9"/>
    <d v="2017-10-20T00:00:00"/>
    <x v="20"/>
    <x v="3"/>
    <s v="1 Seasons"/>
    <x v="4"/>
    <n v="6.5"/>
    <n v="9828743"/>
    <n v="4174827"/>
    <n v="49"/>
    <x v="0"/>
    <x v="3"/>
  </r>
  <r>
    <x v="467"/>
    <s v="Blue Rise 1778"/>
    <x v="2"/>
    <s v="J. Lee"/>
    <x v="9"/>
    <d v="2017-10-20T00:00:00"/>
    <x v="16"/>
    <x v="3"/>
    <s v="8 Seasons"/>
    <x v="5"/>
    <n v="5.8"/>
    <n v="20451193"/>
    <n v="1339547"/>
    <n v="74"/>
    <x v="4"/>
    <x v="1"/>
  </r>
  <r>
    <x v="468"/>
    <s v="Fire Chronicles 703"/>
    <x v="1"/>
    <s v="K. Tanaka"/>
    <x v="12"/>
    <d v="2017-10-23T00:00:00"/>
    <x v="6"/>
    <x v="7"/>
    <s v="7 Seasons"/>
    <x v="8"/>
    <n v="9.8000000000000007"/>
    <n v="19793239"/>
    <n v="201103"/>
    <n v="66"/>
    <x v="8"/>
    <x v="0"/>
  </r>
  <r>
    <x v="469"/>
    <s v="Golden World 1354"/>
    <x v="0"/>
    <s v="J. Lee"/>
    <x v="7"/>
    <d v="2017-10-24T00:00:00"/>
    <x v="16"/>
    <x v="7"/>
    <s v="140 Min"/>
    <x v="6"/>
    <n v="6.5"/>
    <n v="20242762"/>
    <n v="2847465"/>
    <n v="44"/>
    <x v="9"/>
    <x v="3"/>
  </r>
  <r>
    <x v="470"/>
    <s v="Shadow Valley 1466"/>
    <x v="0"/>
    <s v="D. Kim"/>
    <x v="6"/>
    <d v="2017-10-25T00:00:00"/>
    <x v="20"/>
    <x v="3"/>
    <s v="106 Min"/>
    <x v="2"/>
    <n v="9.6999999999999993"/>
    <n v="17832738"/>
    <n v="3837676"/>
    <n v="65"/>
    <x v="7"/>
    <x v="1"/>
  </r>
  <r>
    <x v="471"/>
    <s v="Crimson Zone 1473"/>
    <x v="2"/>
    <s v="J. Lee"/>
    <x v="4"/>
    <d v="2017-10-29T00:00:00"/>
    <x v="4"/>
    <x v="3"/>
    <s v="2 Seasons"/>
    <x v="6"/>
    <n v="8.9"/>
    <n v="19452024"/>
    <n v="152568"/>
    <n v="90"/>
    <x v="8"/>
    <x v="2"/>
  </r>
  <r>
    <x v="472"/>
    <s v="Secret Legacy 1295"/>
    <x v="2"/>
    <s v="Unknown"/>
    <x v="8"/>
    <d v="2017-11-01T00:00:00"/>
    <x v="24"/>
    <x v="7"/>
    <s v="1 Seasons"/>
    <x v="6"/>
    <n v="6.4"/>
    <n v="14577910"/>
    <n v="4824670"/>
    <n v="43"/>
    <x v="6"/>
    <x v="1"/>
  </r>
  <r>
    <x v="473"/>
    <s v="Dark Code 1429"/>
    <x v="0"/>
    <s v="P. Johnson"/>
    <x v="8"/>
    <d v="2017-11-06T00:00:00"/>
    <x v="18"/>
    <x v="0"/>
    <s v="147 Min"/>
    <x v="7"/>
    <n v="7.9"/>
    <n v="1503232"/>
    <n v="1710125"/>
    <n v="76"/>
    <x v="9"/>
    <x v="2"/>
  </r>
  <r>
    <x v="474"/>
    <s v="Infinite Quest 1628"/>
    <x v="0"/>
    <s v="D. Kim"/>
    <x v="0"/>
    <d v="2017-11-12T00:00:00"/>
    <x v="18"/>
    <x v="3"/>
    <s v="128 Min"/>
    <x v="3"/>
    <n v="4.5"/>
    <n v="13116865"/>
    <n v="2778319"/>
    <n v="72"/>
    <x v="2"/>
    <x v="0"/>
  </r>
  <r>
    <x v="475"/>
    <s v="Hidden Edge 1937"/>
    <x v="0"/>
    <s v="L. Brown"/>
    <x v="8"/>
    <d v="2017-11-12T00:00:00"/>
    <x v="12"/>
    <x v="8"/>
    <s v="149 Min"/>
    <x v="8"/>
    <n v="5"/>
    <n v="6601867"/>
    <n v="4395762"/>
    <n v="72"/>
    <x v="4"/>
    <x v="3"/>
  </r>
  <r>
    <x v="476"/>
    <s v="Wild Mission 1217"/>
    <x v="2"/>
    <s v="S. Patel"/>
    <x v="1"/>
    <d v="2017-11-13T00:00:00"/>
    <x v="11"/>
    <x v="9"/>
    <s v="8 Seasons"/>
    <x v="2"/>
    <n v="8.4"/>
    <n v="13463435"/>
    <n v="1171029"/>
    <n v="91"/>
    <x v="9"/>
    <x v="0"/>
  </r>
  <r>
    <x v="477"/>
    <s v="Hidden Zone 1980"/>
    <x v="1"/>
    <s v="A. Smith"/>
    <x v="4"/>
    <d v="2017-11-13T00:00:00"/>
    <x v="8"/>
    <x v="4"/>
    <s v="3 Seasons"/>
    <x v="10"/>
    <n v="6.6"/>
    <n v="21176187"/>
    <n v="774200"/>
    <n v="80"/>
    <x v="1"/>
    <x v="3"/>
  </r>
  <r>
    <x v="478"/>
    <s v="Beyond Mission 1917"/>
    <x v="0"/>
    <s v="Unknown"/>
    <x v="12"/>
    <d v="2017-11-14T00:00:00"/>
    <x v="22"/>
    <x v="0"/>
    <s v="137 Min"/>
    <x v="4"/>
    <n v="8.8000000000000007"/>
    <n v="9496221"/>
    <n v="1556810"/>
    <n v="59"/>
    <x v="7"/>
    <x v="1"/>
  </r>
  <r>
    <x v="479"/>
    <s v="Silent Signal 364"/>
    <x v="0"/>
    <s v="A. Smith"/>
    <x v="3"/>
    <d v="2017-11-15T00:00:00"/>
    <x v="16"/>
    <x v="3"/>
    <s v="120 Min"/>
    <x v="7"/>
    <n v="8.6"/>
    <n v="13882603"/>
    <n v="1729289"/>
    <n v="84"/>
    <x v="2"/>
    <x v="4"/>
  </r>
  <r>
    <x v="480"/>
    <s v="Future Truth 1454"/>
    <x v="0"/>
    <s v="S. Patel"/>
    <x v="12"/>
    <d v="2017-11-19T00:00:00"/>
    <x v="18"/>
    <x v="2"/>
    <s v="136 Min"/>
    <x v="10"/>
    <n v="9.1999999999999993"/>
    <n v="6263018"/>
    <n v="3921785"/>
    <n v="65"/>
    <x v="4"/>
    <x v="0"/>
  </r>
  <r>
    <x v="481"/>
    <s v="Broken Code 1897"/>
    <x v="1"/>
    <s v="K. Tanaka"/>
    <x v="10"/>
    <d v="2017-11-19T00:00:00"/>
    <x v="12"/>
    <x v="0"/>
    <s v="2 Seasons"/>
    <x v="10"/>
    <n v="7.2"/>
    <n v="9448106"/>
    <n v="2373092"/>
    <n v="64"/>
    <x v="5"/>
    <x v="4"/>
  </r>
  <r>
    <x v="482"/>
    <s v="Infinite Chronicles 733"/>
    <x v="0"/>
    <s v="K. Tanaka"/>
    <x v="6"/>
    <d v="2017-11-24T00:00:00"/>
    <x v="27"/>
    <x v="7"/>
    <s v="75 Min"/>
    <x v="6"/>
    <n v="4.7"/>
    <n v="1790622"/>
    <n v="1251462"/>
    <n v="64"/>
    <x v="9"/>
    <x v="0"/>
  </r>
  <r>
    <x v="483"/>
    <s v="Golden Chronicles 713"/>
    <x v="1"/>
    <s v="N. Singh"/>
    <x v="1"/>
    <d v="2017-11-25T00:00:00"/>
    <x v="19"/>
    <x v="8"/>
    <s v="2 Seasons"/>
    <x v="3"/>
    <n v="7.8"/>
    <n v="24439948"/>
    <n v="2612482"/>
    <n v="99"/>
    <x v="6"/>
    <x v="0"/>
  </r>
  <r>
    <x v="484"/>
    <s v="Wild Legacy 1852"/>
    <x v="0"/>
    <s v="J. Lee"/>
    <x v="9"/>
    <d v="2017-11-25T00:00:00"/>
    <x v="16"/>
    <x v="0"/>
    <s v="105 Min"/>
    <x v="8"/>
    <n v="8.8000000000000007"/>
    <n v="11032926"/>
    <n v="2973330"/>
    <n v="74"/>
    <x v="5"/>
    <x v="3"/>
  </r>
  <r>
    <x v="485"/>
    <s v="Wild Line 714"/>
    <x v="0"/>
    <s v="K. Tanaka"/>
    <x v="5"/>
    <d v="2017-11-30T00:00:00"/>
    <x v="5"/>
    <x v="5"/>
    <s v="145 Min"/>
    <x v="3"/>
    <n v="8.5"/>
    <n v="24807100"/>
    <n v="1241100"/>
    <n v="90"/>
    <x v="3"/>
    <x v="2"/>
  </r>
  <r>
    <x v="486"/>
    <s v="Broken World 481"/>
    <x v="0"/>
    <s v="J. Lee"/>
    <x v="2"/>
    <d v="2017-12-03T00:00:00"/>
    <x v="18"/>
    <x v="1"/>
    <s v="145 Min"/>
    <x v="0"/>
    <n v="6.7"/>
    <n v="20014024"/>
    <n v="2547365"/>
    <n v="61"/>
    <x v="1"/>
    <x v="4"/>
  </r>
  <r>
    <x v="487"/>
    <s v="Ocean Empire 1164"/>
    <x v="0"/>
    <s v="A. Smith"/>
    <x v="4"/>
    <d v="2017-12-03T00:00:00"/>
    <x v="1"/>
    <x v="0"/>
    <s v="125 Min"/>
    <x v="0"/>
    <n v="7.3"/>
    <n v="21414967"/>
    <n v="2156623"/>
    <n v="92"/>
    <x v="8"/>
    <x v="2"/>
  </r>
  <r>
    <x v="488"/>
    <s v="Beyond Mission 802"/>
    <x v="0"/>
    <s v="P. Johnson"/>
    <x v="9"/>
    <d v="2017-12-04T00:00:00"/>
    <x v="6"/>
    <x v="5"/>
    <s v="155 Min"/>
    <x v="1"/>
    <n v="9.1999999999999993"/>
    <n v="15692567"/>
    <n v="3972908"/>
    <n v="43"/>
    <x v="4"/>
    <x v="4"/>
  </r>
  <r>
    <x v="489"/>
    <s v="Ocean Dream 891"/>
    <x v="0"/>
    <s v="J. Lee"/>
    <x v="2"/>
    <d v="2017-12-05T00:00:00"/>
    <x v="5"/>
    <x v="3"/>
    <s v="152 Min"/>
    <x v="0"/>
    <n v="6.6"/>
    <n v="14702249"/>
    <n v="3067362"/>
    <n v="79"/>
    <x v="5"/>
    <x v="2"/>
  </r>
  <r>
    <x v="490"/>
    <s v="Dark Rise 1408"/>
    <x v="1"/>
    <s v="D. Kim"/>
    <x v="10"/>
    <d v="2017-12-05T00:00:00"/>
    <x v="11"/>
    <x v="3"/>
    <s v="3 Seasons"/>
    <x v="10"/>
    <n v="6.9"/>
    <n v="405339"/>
    <n v="4719617"/>
    <n v="69"/>
    <x v="9"/>
    <x v="2"/>
  </r>
  <r>
    <x v="491"/>
    <s v="Wild Zone 117"/>
    <x v="0"/>
    <s v="M. Garcia"/>
    <x v="7"/>
    <d v="2017-12-08T00:00:00"/>
    <x v="21"/>
    <x v="3"/>
    <s v="96 Min"/>
    <x v="9"/>
    <n v="7.3"/>
    <n v="17129266"/>
    <n v="1783931"/>
    <n v="88"/>
    <x v="1"/>
    <x v="3"/>
  </r>
  <r>
    <x v="492"/>
    <s v="Broken Dream 13"/>
    <x v="1"/>
    <s v="S. Patel"/>
    <x v="1"/>
    <d v="2017-12-09T00:00:00"/>
    <x v="14"/>
    <x v="8"/>
    <s v="6 Seasons"/>
    <x v="3"/>
    <n v="9.3000000000000007"/>
    <n v="16842545"/>
    <n v="1097921"/>
    <n v="73"/>
    <x v="5"/>
    <x v="2"/>
  </r>
  <r>
    <x v="493"/>
    <s v="Shadow World 1099"/>
    <x v="1"/>
    <s v="S. Patel"/>
    <x v="12"/>
    <d v="2017-12-09T00:00:00"/>
    <x v="24"/>
    <x v="9"/>
    <s v="4 Seasons"/>
    <x v="8"/>
    <n v="5.9"/>
    <n v="12706390"/>
    <n v="2509501"/>
    <n v="57"/>
    <x v="6"/>
    <x v="1"/>
  </r>
  <r>
    <x v="494"/>
    <s v="Dark Dream 972"/>
    <x v="1"/>
    <s v="J. Lee"/>
    <x v="8"/>
    <d v="2017-12-10T00:00:00"/>
    <x v="27"/>
    <x v="1"/>
    <s v="8 Seasons"/>
    <x v="9"/>
    <n v="8.5"/>
    <n v="10293112"/>
    <n v="3346762"/>
    <n v="86"/>
    <x v="4"/>
    <x v="3"/>
  </r>
  <r>
    <x v="495"/>
    <s v="Secret Truth 1444"/>
    <x v="1"/>
    <s v="L. Brown"/>
    <x v="10"/>
    <d v="2017-12-13T00:00:00"/>
    <x v="12"/>
    <x v="5"/>
    <s v="3 Seasons"/>
    <x v="5"/>
    <n v="4.7"/>
    <n v="23149505"/>
    <n v="2736719"/>
    <n v="66"/>
    <x v="6"/>
    <x v="1"/>
  </r>
  <r>
    <x v="496"/>
    <s v="Last Edge 279"/>
    <x v="1"/>
    <s v="Unknown"/>
    <x v="3"/>
    <d v="2017-12-14T00:00:00"/>
    <x v="13"/>
    <x v="6"/>
    <s v="Unknown"/>
    <x v="2"/>
    <n v="5.3"/>
    <n v="9363140"/>
    <n v="2523496"/>
    <n v="97"/>
    <x v="1"/>
    <x v="1"/>
  </r>
  <r>
    <x v="497"/>
    <s v="Broken Zone 1939"/>
    <x v="1"/>
    <s v="Unknown"/>
    <x v="9"/>
    <d v="2017-12-15T00:00:00"/>
    <x v="27"/>
    <x v="3"/>
    <s v="4 Seasons"/>
    <x v="8"/>
    <n v="9.6"/>
    <n v="23286725"/>
    <n v="4515202"/>
    <n v="41"/>
    <x v="1"/>
    <x v="2"/>
  </r>
  <r>
    <x v="498"/>
    <s v="Silent Night 356"/>
    <x v="1"/>
    <s v="A. Smith"/>
    <x v="4"/>
    <d v="2017-12-16T00:00:00"/>
    <x v="9"/>
    <x v="3"/>
    <s v="4 Seasons"/>
    <x v="2"/>
    <n v="4.5"/>
    <n v="20105997"/>
    <n v="3058714"/>
    <n v="43"/>
    <x v="7"/>
    <x v="4"/>
  </r>
  <r>
    <x v="499"/>
    <s v="Beyond Signal 1452"/>
    <x v="2"/>
    <s v="L. Brown"/>
    <x v="2"/>
    <d v="2017-12-16T00:00:00"/>
    <x v="14"/>
    <x v="8"/>
    <s v="5 Seasons"/>
    <x v="10"/>
    <n v="6.8"/>
    <n v="15408177"/>
    <n v="2184415"/>
    <n v="42"/>
    <x v="8"/>
    <x v="3"/>
  </r>
  <r>
    <x v="500"/>
    <s v="Infinite Files 592"/>
    <x v="0"/>
    <s v="L. Brown"/>
    <x v="5"/>
    <d v="2017-12-20T00:00:00"/>
    <x v="6"/>
    <x v="3"/>
    <s v="108 Min"/>
    <x v="3"/>
    <n v="8.6999999999999993"/>
    <n v="22985488"/>
    <n v="2778123"/>
    <n v="45"/>
    <x v="1"/>
    <x v="4"/>
  </r>
  <r>
    <x v="501"/>
    <s v="Beyond World 1018"/>
    <x v="0"/>
    <s v="M. Garcia"/>
    <x v="9"/>
    <d v="2017-12-21T00:00:00"/>
    <x v="19"/>
    <x v="2"/>
    <s v="140 Min"/>
    <x v="3"/>
    <n v="5.9"/>
    <n v="175897"/>
    <n v="1335443"/>
    <n v="77"/>
    <x v="1"/>
    <x v="1"/>
  </r>
  <r>
    <x v="502"/>
    <s v="Shadow Line 1110"/>
    <x v="0"/>
    <s v="L. Brown"/>
    <x v="6"/>
    <d v="2017-12-25T00:00:00"/>
    <x v="25"/>
    <x v="3"/>
    <s v="98 Min"/>
    <x v="9"/>
    <n v="5"/>
    <n v="14250858"/>
    <n v="1195791"/>
    <n v="81"/>
    <x v="7"/>
    <x v="4"/>
  </r>
  <r>
    <x v="503"/>
    <s v="Broken Dream 785"/>
    <x v="1"/>
    <s v="S. Patel"/>
    <x v="12"/>
    <d v="2017-12-29T00:00:00"/>
    <x v="19"/>
    <x v="1"/>
    <s v="3 Seasons"/>
    <x v="0"/>
    <n v="11.2"/>
    <n v="11385066"/>
    <n v="1277759"/>
    <n v="68"/>
    <x v="5"/>
    <x v="3"/>
  </r>
  <r>
    <x v="504"/>
    <s v="Silent Edge 728"/>
    <x v="2"/>
    <s v="S. Patel"/>
    <x v="4"/>
    <d v="2017-12-31T00:00:00"/>
    <x v="5"/>
    <x v="8"/>
    <s v="7 Seasons"/>
    <x v="2"/>
    <n v="4.9000000000000004"/>
    <n v="844896"/>
    <n v="1840860"/>
    <n v="57"/>
    <x v="9"/>
    <x v="2"/>
  </r>
  <r>
    <x v="505"/>
    <s v="Future Edge 408"/>
    <x v="1"/>
    <s v="A. Smith"/>
    <x v="8"/>
    <d v="2018-01-02T00:00:00"/>
    <x v="18"/>
    <x v="7"/>
    <s v="2 Seasons"/>
    <x v="0"/>
    <n v="7.4"/>
    <n v="17040881"/>
    <n v="929332"/>
    <n v="69"/>
    <x v="3"/>
    <x v="0"/>
  </r>
  <r>
    <x v="506"/>
    <s v="Future Empire 1818"/>
    <x v="0"/>
    <s v="P. Johnson"/>
    <x v="9"/>
    <d v="2018-01-02T00:00:00"/>
    <x v="10"/>
    <x v="9"/>
    <s v="104 Min"/>
    <x v="2"/>
    <n v="9.4"/>
    <n v="16159674"/>
    <n v="4841089"/>
    <n v="90"/>
    <x v="7"/>
    <x v="4"/>
  </r>
  <r>
    <x v="507"/>
    <s v="Hidden Line 850"/>
    <x v="1"/>
    <s v="K. Tanaka"/>
    <x v="6"/>
    <d v="2018-01-03T00:00:00"/>
    <x v="25"/>
    <x v="5"/>
    <s v="8 Seasons"/>
    <x v="9"/>
    <n v="9.4"/>
    <n v="8436654"/>
    <n v="205676"/>
    <n v="86"/>
    <x v="9"/>
    <x v="4"/>
  </r>
  <r>
    <x v="508"/>
    <s v="Dark Journey 1498"/>
    <x v="1"/>
    <s v="P. Johnson"/>
    <x v="0"/>
    <d v="2018-01-04T00:00:00"/>
    <x v="4"/>
    <x v="0"/>
    <s v="7 Seasons"/>
    <x v="1"/>
    <n v="9.8000000000000007"/>
    <n v="6749886"/>
    <n v="234676"/>
    <n v="74"/>
    <x v="5"/>
    <x v="2"/>
  </r>
  <r>
    <x v="509"/>
    <s v="Lost Truth 890"/>
    <x v="1"/>
    <s v="S. Patel"/>
    <x v="12"/>
    <d v="2018-01-05T00:00:00"/>
    <x v="18"/>
    <x v="0"/>
    <s v="7 Seasons"/>
    <x v="2"/>
    <n v="7.8"/>
    <n v="20781536"/>
    <n v="1258930"/>
    <n v="58"/>
    <x v="2"/>
    <x v="4"/>
  </r>
  <r>
    <x v="510"/>
    <s v="Echo Dream 1549"/>
    <x v="0"/>
    <s v="P. Johnson"/>
    <x v="10"/>
    <d v="2018-01-08T00:00:00"/>
    <x v="4"/>
    <x v="4"/>
    <s v="126 Min"/>
    <x v="6"/>
    <n v="6.6"/>
    <n v="2893663"/>
    <n v="3369096"/>
    <n v="72"/>
    <x v="1"/>
    <x v="3"/>
  </r>
  <r>
    <x v="511"/>
    <s v="Crimson Story 1956"/>
    <x v="0"/>
    <s v="K. Tanaka"/>
    <x v="3"/>
    <d v="2018-01-20T00:00:00"/>
    <x v="26"/>
    <x v="7"/>
    <s v="168 Min"/>
    <x v="1"/>
    <n v="8.6999999999999993"/>
    <n v="137388"/>
    <n v="1229945"/>
    <n v="97"/>
    <x v="0"/>
    <x v="3"/>
  </r>
  <r>
    <x v="512"/>
    <s v="Dark Story 938"/>
    <x v="1"/>
    <s v="J. Lee"/>
    <x v="3"/>
    <d v="2018-01-22T00:00:00"/>
    <x v="21"/>
    <x v="6"/>
    <s v="7 Seasons"/>
    <x v="7"/>
    <n v="7.8"/>
    <n v="15088812"/>
    <n v="2670557"/>
    <n v="65"/>
    <x v="6"/>
    <x v="0"/>
  </r>
  <r>
    <x v="513"/>
    <s v="Dark Files 1057"/>
    <x v="2"/>
    <s v="L. Brown"/>
    <x v="6"/>
    <d v="2018-01-22T00:00:00"/>
    <x v="3"/>
    <x v="9"/>
    <s v="2 Seasons"/>
    <x v="2"/>
    <n v="7.2"/>
    <n v="3144288"/>
    <n v="182054"/>
    <n v="67"/>
    <x v="7"/>
    <x v="3"/>
  </r>
  <r>
    <x v="514"/>
    <s v="Broken Night 1650"/>
    <x v="1"/>
    <s v="A. Smith"/>
    <x v="6"/>
    <d v="2018-01-22T00:00:00"/>
    <x v="19"/>
    <x v="4"/>
    <s v="4 Seasons"/>
    <x v="6"/>
    <n v="4.8"/>
    <n v="22258875"/>
    <n v="3181862"/>
    <n v="51"/>
    <x v="0"/>
    <x v="4"/>
  </r>
  <r>
    <x v="515"/>
    <s v="Beyond Journey 1668"/>
    <x v="1"/>
    <s v="J. Lee"/>
    <x v="2"/>
    <d v="2018-01-24T00:00:00"/>
    <x v="5"/>
    <x v="7"/>
    <s v="2 Seasons"/>
    <x v="2"/>
    <n v="6.5"/>
    <n v="19823819"/>
    <n v="1883553"/>
    <n v="53"/>
    <x v="3"/>
    <x v="3"/>
  </r>
  <r>
    <x v="516"/>
    <s v="Dark Edge 133"/>
    <x v="1"/>
    <s v="N. Singh"/>
    <x v="9"/>
    <d v="2018-01-25T00:00:00"/>
    <x v="2"/>
    <x v="1"/>
    <s v="4 Seasons"/>
    <x v="3"/>
    <n v="4.5999999999999996"/>
    <n v="7161580"/>
    <n v="3857290"/>
    <n v="85"/>
    <x v="3"/>
    <x v="0"/>
  </r>
  <r>
    <x v="517"/>
    <s v="Lost Empire 100"/>
    <x v="0"/>
    <s v="R. Kumar"/>
    <x v="5"/>
    <d v="2018-01-26T00:00:00"/>
    <x v="1"/>
    <x v="4"/>
    <s v="84 Min"/>
    <x v="9"/>
    <n v="6.6"/>
    <n v="631052"/>
    <n v="3262027"/>
    <n v="78"/>
    <x v="0"/>
    <x v="3"/>
  </r>
  <r>
    <x v="518"/>
    <s v="Golden World 1209"/>
    <x v="0"/>
    <s v="K. Tanaka"/>
    <x v="4"/>
    <d v="2018-01-27T00:00:00"/>
    <x v="20"/>
    <x v="1"/>
    <s v="126 Min"/>
    <x v="3"/>
    <n v="5.0999999999999996"/>
    <n v="14487895"/>
    <n v="4883164"/>
    <n v="40"/>
    <x v="0"/>
    <x v="2"/>
  </r>
  <r>
    <x v="519"/>
    <s v="Urban Code 1159"/>
    <x v="0"/>
    <s v="D. Kim"/>
    <x v="5"/>
    <d v="2018-01-29T00:00:00"/>
    <x v="22"/>
    <x v="7"/>
    <s v="134 Min"/>
    <x v="8"/>
    <n v="4.8"/>
    <n v="6877187"/>
    <n v="1712187"/>
    <n v="72"/>
    <x v="4"/>
    <x v="3"/>
  </r>
  <r>
    <x v="520"/>
    <s v="Infinite Journey 1245"/>
    <x v="1"/>
    <s v="Unknown"/>
    <x v="0"/>
    <d v="2018-01-30T00:00:00"/>
    <x v="7"/>
    <x v="4"/>
    <s v="7 Seasons"/>
    <x v="6"/>
    <n v="7.1"/>
    <n v="5014480"/>
    <n v="1992431"/>
    <n v="81"/>
    <x v="2"/>
    <x v="1"/>
  </r>
  <r>
    <x v="521"/>
    <s v="Crimson Journey 275"/>
    <x v="0"/>
    <s v="Unknown"/>
    <x v="1"/>
    <d v="2018-01-31T00:00:00"/>
    <x v="22"/>
    <x v="8"/>
    <s v="116 Min"/>
    <x v="3"/>
    <n v="6.4"/>
    <n v="5445241"/>
    <n v="1659469"/>
    <n v="68"/>
    <x v="9"/>
    <x v="0"/>
  </r>
  <r>
    <x v="522"/>
    <s v="Silent Valley 1424"/>
    <x v="0"/>
    <s v="S. Patel"/>
    <x v="9"/>
    <d v="2018-02-06T00:00:00"/>
    <x v="22"/>
    <x v="5"/>
    <s v="94 Min"/>
    <x v="10"/>
    <n v="8.6999999999999993"/>
    <n v="1036578"/>
    <n v="1345849"/>
    <n v="68"/>
    <x v="5"/>
    <x v="4"/>
  </r>
  <r>
    <x v="523"/>
    <s v="Blue Chronicles 1969"/>
    <x v="2"/>
    <s v="R. Kumar"/>
    <x v="7"/>
    <d v="2018-02-09T00:00:00"/>
    <x v="21"/>
    <x v="6"/>
    <s v="3 Seasons"/>
    <x v="6"/>
    <n v="9"/>
    <n v="6908888"/>
    <n v="3134913"/>
    <n v="68"/>
    <x v="2"/>
    <x v="0"/>
  </r>
  <r>
    <x v="524"/>
    <s v="Broken Journey 1003"/>
    <x v="0"/>
    <s v="D. Kim"/>
    <x v="8"/>
    <d v="2018-02-12T00:00:00"/>
    <x v="15"/>
    <x v="8"/>
    <s v="73 Min"/>
    <x v="2"/>
    <n v="4.7"/>
    <n v="8823329"/>
    <n v="1454316"/>
    <n v="90"/>
    <x v="6"/>
    <x v="2"/>
  </r>
  <r>
    <x v="525"/>
    <s v="Crimson Valley 24"/>
    <x v="2"/>
    <s v="Unknown"/>
    <x v="2"/>
    <d v="2018-02-15T00:00:00"/>
    <x v="18"/>
    <x v="9"/>
    <s v="7 Seasons"/>
    <x v="0"/>
    <n v="11.2"/>
    <n v="23873447"/>
    <n v="1929882"/>
    <n v="42"/>
    <x v="3"/>
    <x v="4"/>
  </r>
  <r>
    <x v="526"/>
    <s v="Echo Files 21"/>
    <x v="1"/>
    <s v="L. Brown"/>
    <x v="11"/>
    <d v="2018-02-18T00:00:00"/>
    <x v="20"/>
    <x v="1"/>
    <s v="4 Seasons"/>
    <x v="3"/>
    <n v="8.4"/>
    <n v="5487644"/>
    <n v="465738"/>
    <n v="93"/>
    <x v="7"/>
    <x v="3"/>
  </r>
  <r>
    <x v="527"/>
    <s v="Wild Line 995"/>
    <x v="0"/>
    <s v="P. Johnson"/>
    <x v="8"/>
    <d v="2018-02-18T00:00:00"/>
    <x v="2"/>
    <x v="7"/>
    <s v="117 Min"/>
    <x v="4"/>
    <n v="6.3"/>
    <n v="1854999"/>
    <n v="585804"/>
    <n v="48"/>
    <x v="8"/>
    <x v="0"/>
  </r>
  <r>
    <x v="528"/>
    <s v="Hidden Rise 1591"/>
    <x v="2"/>
    <s v="Unknown"/>
    <x v="4"/>
    <d v="2018-02-21T00:00:00"/>
    <x v="8"/>
    <x v="1"/>
    <s v="2 Seasons"/>
    <x v="1"/>
    <n v="4.8"/>
    <n v="16072583"/>
    <n v="2427921"/>
    <n v="88"/>
    <x v="6"/>
    <x v="1"/>
  </r>
  <r>
    <x v="529"/>
    <s v="Echo Rise 863"/>
    <x v="1"/>
    <s v="L. Brown"/>
    <x v="9"/>
    <d v="2018-02-22T00:00:00"/>
    <x v="9"/>
    <x v="0"/>
    <s v="6 Seasons"/>
    <x v="9"/>
    <n v="8.3000000000000007"/>
    <n v="15274484"/>
    <n v="2965693"/>
    <n v="86"/>
    <x v="0"/>
    <x v="4"/>
  </r>
  <r>
    <x v="530"/>
    <s v="Dark Quest 106"/>
    <x v="2"/>
    <s v="K. Tanaka"/>
    <x v="3"/>
    <d v="2018-02-23T00:00:00"/>
    <x v="2"/>
    <x v="3"/>
    <s v="3 Seasons"/>
    <x v="6"/>
    <n v="9"/>
    <n v="15956355"/>
    <n v="2254873"/>
    <n v="85"/>
    <x v="3"/>
    <x v="0"/>
  </r>
  <r>
    <x v="531"/>
    <s v="Fire Night 667"/>
    <x v="1"/>
    <s v="D. Kim"/>
    <x v="3"/>
    <d v="2018-02-23T00:00:00"/>
    <x v="9"/>
    <x v="9"/>
    <s v="1 Seasons"/>
    <x v="3"/>
    <n v="7.7"/>
    <n v="5118860"/>
    <n v="4198804"/>
    <n v="99"/>
    <x v="6"/>
    <x v="2"/>
  </r>
  <r>
    <x v="532"/>
    <s v="Shadow Valley 212"/>
    <x v="1"/>
    <s v="A. Smith"/>
    <x v="12"/>
    <d v="2018-02-24T00:00:00"/>
    <x v="0"/>
    <x v="8"/>
    <s v="4 Seasons"/>
    <x v="2"/>
    <n v="8.1"/>
    <n v="-972"/>
    <n v="4062846"/>
    <n v="70"/>
    <x v="9"/>
    <x v="3"/>
  </r>
  <r>
    <x v="533"/>
    <s v="Future World 671"/>
    <x v="1"/>
    <s v="L. Brown"/>
    <x v="3"/>
    <d v="2018-02-26T00:00:00"/>
    <x v="7"/>
    <x v="6"/>
    <s v="4 Seasons"/>
    <x v="0"/>
    <n v="6.8"/>
    <n v="19896642"/>
    <n v="2438159"/>
    <n v="89"/>
    <x v="8"/>
    <x v="3"/>
  </r>
  <r>
    <x v="534"/>
    <s v="Beyond Zone 1211"/>
    <x v="1"/>
    <s v="A. Smith"/>
    <x v="11"/>
    <d v="2018-03-02T00:00:00"/>
    <x v="2"/>
    <x v="5"/>
    <s v="7 Seasons"/>
    <x v="5"/>
    <n v="8.1999999999999993"/>
    <n v="4725895"/>
    <n v="1043705"/>
    <n v="87"/>
    <x v="2"/>
    <x v="3"/>
  </r>
  <r>
    <x v="535"/>
    <s v="Echo Files 258"/>
    <x v="0"/>
    <s v="L. Brown"/>
    <x v="3"/>
    <d v="2018-03-06T00:00:00"/>
    <x v="8"/>
    <x v="0"/>
    <s v="87 Min"/>
    <x v="0"/>
    <n v="5.3"/>
    <n v="19284784"/>
    <n v="806881"/>
    <n v="66"/>
    <x v="8"/>
    <x v="3"/>
  </r>
  <r>
    <x v="536"/>
    <s v="Wild Edge 586"/>
    <x v="0"/>
    <s v="D. Kim"/>
    <x v="10"/>
    <d v="2018-03-06T00:00:00"/>
    <x v="21"/>
    <x v="8"/>
    <s v="160 Min"/>
    <x v="8"/>
    <n v="7.8"/>
    <n v="9095945"/>
    <n v="2910702"/>
    <n v="86"/>
    <x v="7"/>
    <x v="0"/>
  </r>
  <r>
    <x v="537"/>
    <s v="Echo Night 1672"/>
    <x v="1"/>
    <s v="Unknown"/>
    <x v="7"/>
    <d v="2018-03-08T00:00:00"/>
    <x v="26"/>
    <x v="3"/>
    <s v="3 Seasons"/>
    <x v="0"/>
    <n v="8.4"/>
    <n v="18057001"/>
    <n v="3002122"/>
    <n v="92"/>
    <x v="3"/>
    <x v="3"/>
  </r>
  <r>
    <x v="538"/>
    <s v="Broken Quest 203"/>
    <x v="2"/>
    <s v="Unknown"/>
    <x v="12"/>
    <d v="2018-03-09T00:00:00"/>
    <x v="2"/>
    <x v="6"/>
    <s v="4 Seasons"/>
    <x v="7"/>
    <n v="8.4"/>
    <n v="2474538"/>
    <n v="3033489"/>
    <n v="75"/>
    <x v="1"/>
    <x v="0"/>
  </r>
  <r>
    <x v="539"/>
    <s v="Shadow Game 1670"/>
    <x v="0"/>
    <s v="N. Singh"/>
    <x v="7"/>
    <d v="2018-03-09T00:00:00"/>
    <x v="5"/>
    <x v="5"/>
    <s v="115 Min"/>
    <x v="5"/>
    <n v="7.6"/>
    <n v="13412014"/>
    <n v="1392031"/>
    <n v="61"/>
    <x v="0"/>
    <x v="2"/>
  </r>
  <r>
    <x v="540"/>
    <s v="Urban Empire 1931"/>
    <x v="0"/>
    <s v="Unknown"/>
    <x v="11"/>
    <d v="2018-03-09T00:00:00"/>
    <x v="15"/>
    <x v="8"/>
    <s v="177 Min"/>
    <x v="1"/>
    <n v="9.1"/>
    <n v="23601324"/>
    <n v="3171961"/>
    <n v="96"/>
    <x v="3"/>
    <x v="4"/>
  </r>
  <r>
    <x v="541"/>
    <s v="Infinite Night 925"/>
    <x v="1"/>
    <s v="A. Smith"/>
    <x v="7"/>
    <d v="2018-03-11T00:00:00"/>
    <x v="8"/>
    <x v="3"/>
    <s v="7 Seasons"/>
    <x v="2"/>
    <n v="11.2"/>
    <n v="-860"/>
    <n v="2868266"/>
    <n v="86"/>
    <x v="5"/>
    <x v="4"/>
  </r>
  <r>
    <x v="542"/>
    <s v="Infinite Chronicles 1877"/>
    <x v="1"/>
    <s v="M. Garcia"/>
    <x v="7"/>
    <d v="2018-03-11T00:00:00"/>
    <x v="16"/>
    <x v="4"/>
    <s v="8 Seasons"/>
    <x v="5"/>
    <n v="4.5999999999999996"/>
    <n v="5363242"/>
    <n v="414654"/>
    <n v="81"/>
    <x v="2"/>
    <x v="4"/>
  </r>
  <r>
    <x v="543"/>
    <s v="Last Story 871"/>
    <x v="0"/>
    <s v="D. Kim"/>
    <x v="9"/>
    <d v="2018-03-12T00:00:00"/>
    <x v="3"/>
    <x v="3"/>
    <s v="80 Min"/>
    <x v="3"/>
    <n v="6"/>
    <n v="22216092"/>
    <n v="1629170"/>
    <n v="120"/>
    <x v="7"/>
    <x v="2"/>
  </r>
  <r>
    <x v="544"/>
    <s v="Blue Code 144"/>
    <x v="0"/>
    <s v="R. Kumar"/>
    <x v="10"/>
    <d v="2018-03-14T00:00:00"/>
    <x v="16"/>
    <x v="6"/>
    <s v="90 Min"/>
    <x v="10"/>
    <n v="7.4"/>
    <n v="18632534"/>
    <n v="1287895"/>
    <n v="78"/>
    <x v="0"/>
    <x v="4"/>
  </r>
  <r>
    <x v="545"/>
    <s v="Blue Story 92"/>
    <x v="1"/>
    <s v="J. Lee"/>
    <x v="9"/>
    <d v="2018-03-18T00:00:00"/>
    <x v="5"/>
    <x v="3"/>
    <s v="7 Seasons"/>
    <x v="4"/>
    <n v="5.3"/>
    <n v="2620081"/>
    <n v="3130751"/>
    <n v="48"/>
    <x v="8"/>
    <x v="2"/>
  </r>
  <r>
    <x v="546"/>
    <s v="Crimson Rise 561"/>
    <x v="1"/>
    <s v="K. Tanaka"/>
    <x v="4"/>
    <d v="2018-03-18T00:00:00"/>
    <x v="10"/>
    <x v="7"/>
    <s v="3 Seasons"/>
    <x v="2"/>
    <n v="9"/>
    <n v="18550535"/>
    <n v="1613932"/>
    <n v="61"/>
    <x v="4"/>
    <x v="4"/>
  </r>
  <r>
    <x v="547"/>
    <s v="Blue Mission 235"/>
    <x v="1"/>
    <s v="D. Kim"/>
    <x v="7"/>
    <d v="2018-03-19T00:00:00"/>
    <x v="12"/>
    <x v="9"/>
    <s v="8 Seasons"/>
    <x v="1"/>
    <n v="9.3000000000000007"/>
    <n v="3795012"/>
    <n v="4774962"/>
    <n v="99"/>
    <x v="6"/>
    <x v="1"/>
  </r>
  <r>
    <x v="548"/>
    <s v="Beyond World 941"/>
    <x v="0"/>
    <s v="S. Patel"/>
    <x v="12"/>
    <d v="2018-03-20T00:00:00"/>
    <x v="7"/>
    <x v="2"/>
    <s v="166 Min"/>
    <x v="0"/>
    <n v="8.1"/>
    <n v="12241936"/>
    <n v="1154609"/>
    <n v="76"/>
    <x v="8"/>
    <x v="1"/>
  </r>
  <r>
    <x v="549"/>
    <s v="Ocean Journey 450"/>
    <x v="0"/>
    <s v="M. Garcia"/>
    <x v="7"/>
    <d v="2018-03-21T00:00:00"/>
    <x v="17"/>
    <x v="6"/>
    <s v="138 Min"/>
    <x v="2"/>
    <n v="9.4"/>
    <n v="23401655"/>
    <n v="3279702"/>
    <n v="54"/>
    <x v="6"/>
    <x v="4"/>
  </r>
  <r>
    <x v="550"/>
    <s v="Crimson Truth 411"/>
    <x v="1"/>
    <s v="J. Lee"/>
    <x v="7"/>
    <d v="2018-03-22T00:00:00"/>
    <x v="21"/>
    <x v="9"/>
    <s v="6 Seasons"/>
    <x v="3"/>
    <n v="9.3000000000000007"/>
    <n v="7835420"/>
    <n v="928669"/>
    <n v="73"/>
    <x v="6"/>
    <x v="3"/>
  </r>
  <r>
    <x v="551"/>
    <s v="Urban Rise 974"/>
    <x v="0"/>
    <s v="D. Kim"/>
    <x v="3"/>
    <d v="2018-03-22T00:00:00"/>
    <x v="13"/>
    <x v="4"/>
    <s v="110 Min"/>
    <x v="0"/>
    <n v="8.5"/>
    <n v="15440258"/>
    <n v="1169994"/>
    <n v="67"/>
    <x v="3"/>
    <x v="0"/>
  </r>
  <r>
    <x v="552"/>
    <s v="Royal Truth 111"/>
    <x v="1"/>
    <s v="D. Kim"/>
    <x v="8"/>
    <d v="2018-03-23T00:00:00"/>
    <x v="17"/>
    <x v="3"/>
    <s v="8 Seasons"/>
    <x v="1"/>
    <n v="7.2"/>
    <n v="2564501"/>
    <n v="1431557"/>
    <n v="71"/>
    <x v="8"/>
    <x v="3"/>
  </r>
  <r>
    <x v="553"/>
    <s v="Crimson Edge 1720"/>
    <x v="1"/>
    <s v="Unknown"/>
    <x v="0"/>
    <d v="2018-03-26T00:00:00"/>
    <x v="0"/>
    <x v="6"/>
    <s v="8 Seasons"/>
    <x v="7"/>
    <n v="4.5"/>
    <n v="19825544"/>
    <n v="664111"/>
    <n v="41"/>
    <x v="1"/>
    <x v="1"/>
  </r>
  <r>
    <x v="554"/>
    <s v="Future Rise 1764"/>
    <x v="1"/>
    <s v="Unknown"/>
    <x v="8"/>
    <d v="2018-03-28T00:00:00"/>
    <x v="8"/>
    <x v="5"/>
    <s v="1 Seasons"/>
    <x v="9"/>
    <n v="5.6"/>
    <n v="19004794"/>
    <n v="1939086"/>
    <n v="79"/>
    <x v="2"/>
    <x v="0"/>
  </r>
  <r>
    <x v="555"/>
    <s v="Broken Journey 814"/>
    <x v="1"/>
    <s v="P. Johnson"/>
    <x v="7"/>
    <d v="2018-03-30T00:00:00"/>
    <x v="18"/>
    <x v="1"/>
    <s v="8 Seasons"/>
    <x v="3"/>
    <n v="9.4"/>
    <n v="10563295"/>
    <n v="4248987"/>
    <n v="62"/>
    <x v="0"/>
    <x v="4"/>
  </r>
  <r>
    <x v="556"/>
    <s v="Silent Edge 895"/>
    <x v="1"/>
    <s v="J. Lee"/>
    <x v="4"/>
    <d v="2018-03-30T00:00:00"/>
    <x v="0"/>
    <x v="7"/>
    <s v="5 Seasons"/>
    <x v="4"/>
    <n v="9.3000000000000007"/>
    <n v="22850428"/>
    <n v="3878352"/>
    <n v="64"/>
    <x v="3"/>
    <x v="2"/>
  </r>
  <r>
    <x v="557"/>
    <s v="Infinite Code 1190"/>
    <x v="1"/>
    <s v="L. Brown"/>
    <x v="7"/>
    <d v="2018-03-31T00:00:00"/>
    <x v="9"/>
    <x v="0"/>
    <s v="5 Seasons"/>
    <x v="10"/>
    <n v="5.9"/>
    <n v="2358476"/>
    <n v="1212720"/>
    <n v="86"/>
    <x v="0"/>
    <x v="4"/>
  </r>
  <r>
    <x v="558"/>
    <s v="Infinite Valley 84"/>
    <x v="0"/>
    <s v="P. Johnson"/>
    <x v="9"/>
    <d v="2018-04-02T00:00:00"/>
    <x v="22"/>
    <x v="8"/>
    <s v="163 Min"/>
    <x v="1"/>
    <n v="6.7"/>
    <n v="15201954"/>
    <n v="2282539"/>
    <n v="76"/>
    <x v="9"/>
    <x v="4"/>
  </r>
  <r>
    <x v="559"/>
    <s v="Shadow Night 1406"/>
    <x v="2"/>
    <s v="Unknown"/>
    <x v="0"/>
    <d v="2018-04-05T00:00:00"/>
    <x v="23"/>
    <x v="3"/>
    <s v="5 Seasons"/>
    <x v="7"/>
    <n v="6.2"/>
    <n v="20960744"/>
    <n v="3979522"/>
    <n v="63"/>
    <x v="3"/>
    <x v="3"/>
  </r>
  <r>
    <x v="560"/>
    <s v="Hidden Line 998"/>
    <x v="0"/>
    <s v="Unknown"/>
    <x v="7"/>
    <d v="2018-04-06T00:00:00"/>
    <x v="16"/>
    <x v="0"/>
    <s v="110 Min"/>
    <x v="6"/>
    <n v="6.6"/>
    <n v="8017839"/>
    <n v="2555656"/>
    <n v="92"/>
    <x v="0"/>
    <x v="2"/>
  </r>
  <r>
    <x v="561"/>
    <s v="Hidden Truth 1319"/>
    <x v="2"/>
    <s v="J. Lee"/>
    <x v="4"/>
    <d v="2018-04-07T00:00:00"/>
    <x v="26"/>
    <x v="7"/>
    <s v="8 Seasons"/>
    <x v="1"/>
    <n v="9"/>
    <n v="24913932"/>
    <n v="2391698"/>
    <n v="67"/>
    <x v="9"/>
    <x v="0"/>
  </r>
  <r>
    <x v="562"/>
    <s v="Secret Journey 1839"/>
    <x v="1"/>
    <s v="R. Kumar"/>
    <x v="12"/>
    <d v="2018-04-10T00:00:00"/>
    <x v="10"/>
    <x v="3"/>
    <s v="5 Seasons"/>
    <x v="4"/>
    <n v="8.3000000000000007"/>
    <n v="21158203"/>
    <n v="2907082"/>
    <n v="41"/>
    <x v="1"/>
    <x v="4"/>
  </r>
  <r>
    <x v="563"/>
    <s v="Crimson Game 1854"/>
    <x v="1"/>
    <s v="N. Singh"/>
    <x v="11"/>
    <d v="2018-04-11T00:00:00"/>
    <x v="0"/>
    <x v="7"/>
    <s v="3 Seasons"/>
    <x v="5"/>
    <n v="4.5"/>
    <n v="592935"/>
    <n v="980756"/>
    <n v="79"/>
    <x v="2"/>
    <x v="3"/>
  </r>
  <r>
    <x v="564"/>
    <s v="Wild Truth 1525"/>
    <x v="1"/>
    <s v="K. Tanaka"/>
    <x v="7"/>
    <d v="2018-04-12T00:00:00"/>
    <x v="15"/>
    <x v="6"/>
    <s v="3 Seasons"/>
    <x v="2"/>
    <n v="5.7"/>
    <n v="5222371"/>
    <n v="1782150"/>
    <n v="83"/>
    <x v="4"/>
    <x v="3"/>
  </r>
  <r>
    <x v="565"/>
    <s v="Lost Game 1793"/>
    <x v="0"/>
    <s v="Unknown"/>
    <x v="12"/>
    <d v="2018-04-12T00:00:00"/>
    <x v="14"/>
    <x v="0"/>
    <s v="91 Min"/>
    <x v="1"/>
    <n v="5.4"/>
    <n v="3093234"/>
    <n v="4732585"/>
    <n v="87"/>
    <x v="9"/>
    <x v="0"/>
  </r>
  <r>
    <x v="566"/>
    <s v="Lost Dream 429"/>
    <x v="2"/>
    <s v="S. Patel"/>
    <x v="11"/>
    <d v="2018-04-14T00:00:00"/>
    <x v="23"/>
    <x v="7"/>
    <s v="Unknown"/>
    <x v="4"/>
    <n v="6"/>
    <n v="24716876"/>
    <n v="1215977"/>
    <n v="81"/>
    <x v="1"/>
    <x v="1"/>
  </r>
  <r>
    <x v="567"/>
    <s v="Blue Game 766"/>
    <x v="2"/>
    <s v="P. Johnson"/>
    <x v="12"/>
    <d v="2018-04-14T00:00:00"/>
    <x v="15"/>
    <x v="4"/>
    <s v="4 Seasons"/>
    <x v="2"/>
    <n v="4.8"/>
    <n v="6829833"/>
    <n v="2993755"/>
    <n v="71"/>
    <x v="8"/>
    <x v="2"/>
  </r>
  <r>
    <x v="568"/>
    <s v="Dark Dream 1425"/>
    <x v="1"/>
    <s v="M. Garcia"/>
    <x v="2"/>
    <d v="2018-04-14T00:00:00"/>
    <x v="22"/>
    <x v="6"/>
    <s v="2 Seasons"/>
    <x v="9"/>
    <n v="6.8"/>
    <n v="10202379"/>
    <n v="874170"/>
    <n v="50"/>
    <x v="1"/>
    <x v="4"/>
  </r>
  <r>
    <x v="569"/>
    <s v="Blue Game 766"/>
    <x v="0"/>
    <s v="N. Singh"/>
    <x v="2"/>
    <d v="2018-04-17T00:00:00"/>
    <x v="17"/>
    <x v="7"/>
    <s v="119 Min"/>
    <x v="7"/>
    <n v="6.8"/>
    <n v="8196478"/>
    <n v="3376343"/>
    <n v="60"/>
    <x v="2"/>
    <x v="0"/>
  </r>
  <r>
    <x v="570"/>
    <s v="Lost Night 86"/>
    <x v="0"/>
    <s v="J. Lee"/>
    <x v="7"/>
    <d v="2018-04-19T00:00:00"/>
    <x v="11"/>
    <x v="9"/>
    <s v="106 Min"/>
    <x v="5"/>
    <n v="5"/>
    <n v="12818994"/>
    <n v="1682333"/>
    <n v="86"/>
    <x v="2"/>
    <x v="4"/>
  </r>
  <r>
    <x v="571"/>
    <s v="Lost Zone 716"/>
    <x v="1"/>
    <s v="M. Garcia"/>
    <x v="4"/>
    <d v="2018-04-21T00:00:00"/>
    <x v="6"/>
    <x v="9"/>
    <s v="3 Seasons"/>
    <x v="3"/>
    <n v="8.4"/>
    <n v="7494918"/>
    <n v="1790518"/>
    <n v="44"/>
    <x v="5"/>
    <x v="2"/>
  </r>
  <r>
    <x v="572"/>
    <s v="Royal Valley 847"/>
    <x v="1"/>
    <s v="L. Brown"/>
    <x v="10"/>
    <d v="2018-04-22T00:00:00"/>
    <x v="20"/>
    <x v="6"/>
    <s v="8 Seasons"/>
    <x v="3"/>
    <n v="9"/>
    <n v="20718239"/>
    <n v="4380600"/>
    <n v="52"/>
    <x v="2"/>
    <x v="1"/>
  </r>
  <r>
    <x v="573"/>
    <s v="Ocean Truth 1759"/>
    <x v="2"/>
    <s v="J. Lee"/>
    <x v="7"/>
    <d v="2018-05-01T00:00:00"/>
    <x v="3"/>
    <x v="2"/>
    <s v="7 Seasons"/>
    <x v="10"/>
    <n v="7.8"/>
    <n v="4967482"/>
    <n v="1216012"/>
    <n v="98"/>
    <x v="0"/>
    <x v="2"/>
  </r>
  <r>
    <x v="574"/>
    <s v="Wild Signal 550"/>
    <x v="0"/>
    <s v="K. Tanaka"/>
    <x v="7"/>
    <d v="2018-05-02T00:00:00"/>
    <x v="1"/>
    <x v="4"/>
    <s v="162 Min"/>
    <x v="10"/>
    <n v="9.3000000000000007"/>
    <n v="828861"/>
    <n v="1236332"/>
    <n v="98"/>
    <x v="4"/>
    <x v="4"/>
  </r>
  <r>
    <x v="575"/>
    <s v="Urban Night 30"/>
    <x v="0"/>
    <s v="A. Smith"/>
    <x v="7"/>
    <d v="2018-05-04T00:00:00"/>
    <x v="21"/>
    <x v="5"/>
    <s v="83 Min"/>
    <x v="4"/>
    <n v="8.6999999999999993"/>
    <n v="983458"/>
    <n v="3356792"/>
    <n v="100"/>
    <x v="5"/>
    <x v="3"/>
  </r>
  <r>
    <x v="576"/>
    <s v="Shadow Night 660"/>
    <x v="0"/>
    <s v="M. Garcia"/>
    <x v="8"/>
    <d v="2018-05-12T00:00:00"/>
    <x v="6"/>
    <x v="6"/>
    <s v="155 Min"/>
    <x v="6"/>
    <n v="4.5999999999999996"/>
    <n v="24705018"/>
    <n v="499962"/>
    <n v="83"/>
    <x v="4"/>
    <x v="1"/>
  </r>
  <r>
    <x v="577"/>
    <s v="Last Truth 741"/>
    <x v="0"/>
    <s v="L. Brown"/>
    <x v="8"/>
    <d v="2018-05-12T00:00:00"/>
    <x v="27"/>
    <x v="5"/>
    <s v="131 Min"/>
    <x v="3"/>
    <n v="6.1"/>
    <n v="13285445"/>
    <n v="4081885"/>
    <n v="76"/>
    <x v="8"/>
    <x v="4"/>
  </r>
  <r>
    <x v="578"/>
    <s v="Lost Chronicles 426"/>
    <x v="1"/>
    <s v="K. Tanaka"/>
    <x v="1"/>
    <d v="2018-05-16T00:00:00"/>
    <x v="24"/>
    <x v="3"/>
    <s v="1 Seasons"/>
    <x v="3"/>
    <n v="7.2"/>
    <n v="242714"/>
    <n v="4326797"/>
    <n v="120"/>
    <x v="6"/>
    <x v="0"/>
  </r>
  <r>
    <x v="579"/>
    <s v="Ocean Valley 1775"/>
    <x v="2"/>
    <s v="Unknown"/>
    <x v="3"/>
    <d v="2018-05-19T00:00:00"/>
    <x v="8"/>
    <x v="6"/>
    <s v="2 Seasons"/>
    <x v="10"/>
    <n v="6.6"/>
    <n v="19018942"/>
    <n v="1968644"/>
    <n v="92"/>
    <x v="3"/>
    <x v="1"/>
  </r>
  <r>
    <x v="580"/>
    <s v="Fire Chronicles 136"/>
    <x v="0"/>
    <s v="A. Smith"/>
    <x v="10"/>
    <d v="2018-05-21T00:00:00"/>
    <x v="15"/>
    <x v="1"/>
    <s v="126 Min"/>
    <x v="3"/>
    <n v="7.8"/>
    <n v="20141516"/>
    <n v="3294070"/>
    <n v="50"/>
    <x v="8"/>
    <x v="0"/>
  </r>
  <r>
    <x v="581"/>
    <s v="Royal Story 1273"/>
    <x v="1"/>
    <s v="M. Garcia"/>
    <x v="1"/>
    <d v="2018-05-21T00:00:00"/>
    <x v="10"/>
    <x v="6"/>
    <s v="7 Seasons"/>
    <x v="3"/>
    <n v="7.2"/>
    <n v="7537139"/>
    <n v="873947"/>
    <n v="98"/>
    <x v="9"/>
    <x v="0"/>
  </r>
  <r>
    <x v="582"/>
    <s v="Lost Code 85"/>
    <x v="0"/>
    <s v="N. Singh"/>
    <x v="2"/>
    <d v="2018-05-22T00:00:00"/>
    <x v="0"/>
    <x v="3"/>
    <s v="112 Min"/>
    <x v="4"/>
    <n v="8.1"/>
    <n v="7873591"/>
    <n v="3786522"/>
    <n v="40"/>
    <x v="9"/>
    <x v="4"/>
  </r>
  <r>
    <x v="583"/>
    <s v="Wild Truth 499"/>
    <x v="1"/>
    <s v="R. Kumar"/>
    <x v="9"/>
    <d v="2018-05-25T00:00:00"/>
    <x v="20"/>
    <x v="8"/>
    <s v="8 Seasons"/>
    <x v="4"/>
    <n v="5.2"/>
    <n v="8084787"/>
    <n v="1598777"/>
    <n v="52"/>
    <x v="1"/>
    <x v="1"/>
  </r>
  <r>
    <x v="584"/>
    <s v="Infinite Legacy 1289"/>
    <x v="0"/>
    <s v="A. Smith"/>
    <x v="6"/>
    <d v="2018-05-25T00:00:00"/>
    <x v="13"/>
    <x v="0"/>
    <s v="Unknown"/>
    <x v="6"/>
    <n v="6.8"/>
    <n v="2643278"/>
    <n v="895695"/>
    <n v="40"/>
    <x v="0"/>
    <x v="2"/>
  </r>
  <r>
    <x v="585"/>
    <s v="Golden Line 791"/>
    <x v="0"/>
    <s v="Unknown"/>
    <x v="2"/>
    <d v="2018-05-26T00:00:00"/>
    <x v="10"/>
    <x v="1"/>
    <s v="75 Min"/>
    <x v="10"/>
    <n v="6.3"/>
    <n v="18487246"/>
    <n v="3524037"/>
    <n v="80"/>
    <x v="1"/>
    <x v="1"/>
  </r>
  <r>
    <x v="586"/>
    <s v="Echo Chronicles 1725"/>
    <x v="1"/>
    <s v="K. Tanaka"/>
    <x v="3"/>
    <d v="2018-05-26T00:00:00"/>
    <x v="11"/>
    <x v="1"/>
    <s v="1 Seasons"/>
    <x v="2"/>
    <n v="5.0999999999999996"/>
    <n v="4575603"/>
    <n v="3878795"/>
    <n v="55"/>
    <x v="6"/>
    <x v="2"/>
  </r>
  <r>
    <x v="587"/>
    <s v="Fire Legacy 82"/>
    <x v="0"/>
    <s v="Unknown"/>
    <x v="9"/>
    <d v="2018-05-28T00:00:00"/>
    <x v="17"/>
    <x v="1"/>
    <s v="Unknown"/>
    <x v="3"/>
    <n v="9.6"/>
    <n v="4081745"/>
    <n v="1082866"/>
    <n v="57"/>
    <x v="0"/>
    <x v="1"/>
  </r>
  <r>
    <x v="588"/>
    <s v="Golden Chronicles 1666"/>
    <x v="0"/>
    <s v="Unknown"/>
    <x v="8"/>
    <d v="2018-05-30T00:00:00"/>
    <x v="15"/>
    <x v="6"/>
    <s v="84 Min"/>
    <x v="2"/>
    <n v="6.8"/>
    <n v="11093736"/>
    <n v="4391577"/>
    <n v="83"/>
    <x v="3"/>
    <x v="4"/>
  </r>
  <r>
    <x v="589"/>
    <s v="Beyond Mission 1717"/>
    <x v="0"/>
    <s v="M. Garcia"/>
    <x v="12"/>
    <d v="2018-06-01T00:00:00"/>
    <x v="1"/>
    <x v="7"/>
    <s v="83 Min"/>
    <x v="3"/>
    <n v="7.2"/>
    <n v="11112156"/>
    <n v="1172028"/>
    <n v="64"/>
    <x v="2"/>
    <x v="0"/>
  </r>
  <r>
    <x v="590"/>
    <s v="Urban World 777"/>
    <x v="0"/>
    <s v="Unknown"/>
    <x v="10"/>
    <d v="2018-06-02T00:00:00"/>
    <x v="20"/>
    <x v="6"/>
    <s v="104 Min"/>
    <x v="5"/>
    <n v="9.5"/>
    <n v="13871171"/>
    <n v="3084984"/>
    <n v="99"/>
    <x v="4"/>
    <x v="2"/>
  </r>
  <r>
    <x v="591"/>
    <s v="Royal Signal 1822"/>
    <x v="2"/>
    <s v="K. Tanaka"/>
    <x v="1"/>
    <d v="2018-06-08T00:00:00"/>
    <x v="5"/>
    <x v="3"/>
    <s v="8 Seasons"/>
    <x v="7"/>
    <n v="7.4"/>
    <n v="847673"/>
    <n v="486347"/>
    <n v="96"/>
    <x v="3"/>
    <x v="0"/>
  </r>
  <r>
    <x v="592"/>
    <s v="Infinite Zone 1794"/>
    <x v="0"/>
    <s v="P. Johnson"/>
    <x v="12"/>
    <d v="2018-06-10T00:00:00"/>
    <x v="19"/>
    <x v="7"/>
    <s v="85 Min"/>
    <x v="2"/>
    <n v="7.2"/>
    <n v="18896965"/>
    <n v="3045403"/>
    <n v="79"/>
    <x v="1"/>
    <x v="3"/>
  </r>
  <r>
    <x v="593"/>
    <s v="Beyond Valley 1103"/>
    <x v="0"/>
    <s v="K. Tanaka"/>
    <x v="0"/>
    <d v="2018-06-11T00:00:00"/>
    <x v="16"/>
    <x v="7"/>
    <s v="88 Min"/>
    <x v="1"/>
    <n v="6.9"/>
    <n v="7695009"/>
    <n v="4872869"/>
    <n v="60"/>
    <x v="8"/>
    <x v="3"/>
  </r>
  <r>
    <x v="594"/>
    <s v="Future Chronicles 1665"/>
    <x v="0"/>
    <s v="N. Singh"/>
    <x v="7"/>
    <d v="2018-06-14T00:00:00"/>
    <x v="13"/>
    <x v="1"/>
    <s v="177 Min"/>
    <x v="7"/>
    <n v="9.6"/>
    <n v="19500811"/>
    <n v="3141815"/>
    <n v="99"/>
    <x v="0"/>
    <x v="4"/>
  </r>
  <r>
    <x v="595"/>
    <s v="Silent Edge 166"/>
    <x v="0"/>
    <s v="L. Brown"/>
    <x v="2"/>
    <d v="2018-06-15T00:00:00"/>
    <x v="21"/>
    <x v="8"/>
    <s v="172 Min"/>
    <x v="4"/>
    <n v="8.6999999999999993"/>
    <n v="13146599"/>
    <n v="277340"/>
    <n v="49"/>
    <x v="4"/>
    <x v="1"/>
  </r>
  <r>
    <x v="596"/>
    <s v="Wild Signal 1780"/>
    <x v="1"/>
    <s v="Unknown"/>
    <x v="9"/>
    <d v="2018-06-17T00:00:00"/>
    <x v="13"/>
    <x v="3"/>
    <s v="5 Seasons"/>
    <x v="1"/>
    <n v="5.5"/>
    <n v="7980111"/>
    <n v="2821624"/>
    <n v="97"/>
    <x v="4"/>
    <x v="2"/>
  </r>
  <r>
    <x v="597"/>
    <s v="Ocean Code 1311"/>
    <x v="1"/>
    <s v="L. Brown"/>
    <x v="0"/>
    <d v="2018-06-21T00:00:00"/>
    <x v="9"/>
    <x v="2"/>
    <s v="6 Seasons"/>
    <x v="8"/>
    <n v="4.7"/>
    <n v="4986147"/>
    <n v="2087633"/>
    <n v="62"/>
    <x v="9"/>
    <x v="0"/>
  </r>
  <r>
    <x v="598"/>
    <s v="Royal Line 795"/>
    <x v="2"/>
    <s v="N. Singh"/>
    <x v="3"/>
    <d v="2018-06-28T00:00:00"/>
    <x v="20"/>
    <x v="8"/>
    <s v="1 Seasons"/>
    <x v="1"/>
    <n v="5.7"/>
    <n v="7323288"/>
    <n v="3118990"/>
    <n v="43"/>
    <x v="2"/>
    <x v="0"/>
  </r>
  <r>
    <x v="599"/>
    <s v="Silent Valley 935"/>
    <x v="0"/>
    <s v="R. Kumar"/>
    <x v="3"/>
    <d v="2018-06-30T00:00:00"/>
    <x v="7"/>
    <x v="7"/>
    <s v="148 Min"/>
    <x v="9"/>
    <n v="6.2"/>
    <n v="16040887"/>
    <n v="4648003"/>
    <n v="44"/>
    <x v="9"/>
    <x v="2"/>
  </r>
  <r>
    <x v="600"/>
    <s v="Last World 1536"/>
    <x v="1"/>
    <s v="D. Kim"/>
    <x v="1"/>
    <d v="2018-07-04T00:00:00"/>
    <x v="21"/>
    <x v="2"/>
    <s v="7 Seasons"/>
    <x v="10"/>
    <n v="5.4"/>
    <n v="4007445"/>
    <n v="1552485"/>
    <n v="44"/>
    <x v="9"/>
    <x v="2"/>
  </r>
  <r>
    <x v="601"/>
    <s v="Wild Valley 50"/>
    <x v="1"/>
    <s v="A. Smith"/>
    <x v="0"/>
    <d v="2018-07-05T00:00:00"/>
    <x v="22"/>
    <x v="0"/>
    <s v="4 Seasons"/>
    <x v="2"/>
    <n v="5.5"/>
    <n v="22567082"/>
    <n v="320846"/>
    <n v="60"/>
    <x v="1"/>
    <x v="0"/>
  </r>
  <r>
    <x v="602"/>
    <s v="Secret Night 70"/>
    <x v="0"/>
    <s v="M. Garcia"/>
    <x v="7"/>
    <d v="2018-07-05T00:00:00"/>
    <x v="17"/>
    <x v="3"/>
    <s v="123 Min"/>
    <x v="9"/>
    <n v="7.2"/>
    <n v="6152543"/>
    <n v="2752912"/>
    <n v="64"/>
    <x v="8"/>
    <x v="2"/>
  </r>
  <r>
    <x v="603"/>
    <s v="Dark Mission 1896"/>
    <x v="0"/>
    <s v="L. Brown"/>
    <x v="4"/>
    <d v="2018-07-06T00:00:00"/>
    <x v="11"/>
    <x v="2"/>
    <s v="101 Min"/>
    <x v="2"/>
    <n v="8.5"/>
    <n v="20523295"/>
    <n v="2284771"/>
    <n v="46"/>
    <x v="7"/>
    <x v="1"/>
  </r>
  <r>
    <x v="604"/>
    <s v="Future Signal 148"/>
    <x v="1"/>
    <s v="S. Patel"/>
    <x v="9"/>
    <d v="2018-07-07T00:00:00"/>
    <x v="18"/>
    <x v="2"/>
    <s v="5 Seasons"/>
    <x v="1"/>
    <n v="6"/>
    <n v="16302401"/>
    <n v="2095911"/>
    <n v="83"/>
    <x v="0"/>
    <x v="3"/>
  </r>
  <r>
    <x v="605"/>
    <s v="Golden Edge 1339"/>
    <x v="2"/>
    <s v="D. Kim"/>
    <x v="2"/>
    <d v="2018-07-07T00:00:00"/>
    <x v="5"/>
    <x v="5"/>
    <s v="2 Seasons"/>
    <x v="7"/>
    <n v="8"/>
    <n v="10147571"/>
    <n v="3711531"/>
    <n v="57"/>
    <x v="3"/>
    <x v="2"/>
  </r>
  <r>
    <x v="606"/>
    <s v="Echo Signal 1904"/>
    <x v="1"/>
    <s v="M. Garcia"/>
    <x v="4"/>
    <d v="2018-07-09T00:00:00"/>
    <x v="6"/>
    <x v="0"/>
    <s v="7 Seasons"/>
    <x v="9"/>
    <n v="6.1"/>
    <n v="9628414"/>
    <n v="2589897"/>
    <n v="96"/>
    <x v="6"/>
    <x v="0"/>
  </r>
  <r>
    <x v="607"/>
    <s v="Urban Files 1104"/>
    <x v="0"/>
    <s v="J. Lee"/>
    <x v="9"/>
    <d v="2018-07-11T00:00:00"/>
    <x v="0"/>
    <x v="4"/>
    <s v="109 Min"/>
    <x v="4"/>
    <n v="9.1"/>
    <n v="2822450"/>
    <n v="4060679"/>
    <n v="60"/>
    <x v="3"/>
    <x v="0"/>
  </r>
  <r>
    <x v="608"/>
    <s v="Silent Signal 1755"/>
    <x v="0"/>
    <s v="M. Garcia"/>
    <x v="9"/>
    <d v="2018-07-11T00:00:00"/>
    <x v="22"/>
    <x v="3"/>
    <s v="171 Min"/>
    <x v="3"/>
    <n v="9.6999999999999993"/>
    <n v="10793454"/>
    <n v="4417851"/>
    <n v="72"/>
    <x v="2"/>
    <x v="0"/>
  </r>
  <r>
    <x v="609"/>
    <s v="Ocean Signal 285"/>
    <x v="0"/>
    <s v="R. Kumar"/>
    <x v="9"/>
    <d v="2018-07-15T00:00:00"/>
    <x v="8"/>
    <x v="2"/>
    <s v="117 Min"/>
    <x v="2"/>
    <n v="4.8"/>
    <n v="1704201"/>
    <n v="1657165"/>
    <n v="45"/>
    <x v="4"/>
    <x v="4"/>
  </r>
  <r>
    <x v="610"/>
    <s v="Shadow Signal 1701"/>
    <x v="1"/>
    <s v="M. Garcia"/>
    <x v="12"/>
    <d v="2018-07-19T00:00:00"/>
    <x v="18"/>
    <x v="5"/>
    <s v="5 Seasons"/>
    <x v="3"/>
    <n v="7.7"/>
    <n v="23128915"/>
    <n v="3556387"/>
    <n v="53"/>
    <x v="1"/>
    <x v="0"/>
  </r>
  <r>
    <x v="611"/>
    <s v="Wild Game 1527"/>
    <x v="2"/>
    <s v="A. Smith"/>
    <x v="3"/>
    <d v="2018-07-21T00:00:00"/>
    <x v="4"/>
    <x v="8"/>
    <s v="3 Seasons"/>
    <x v="9"/>
    <n v="7.9"/>
    <n v="3738511"/>
    <n v="675999"/>
    <n v="63"/>
    <x v="8"/>
    <x v="1"/>
  </r>
  <r>
    <x v="612"/>
    <s v="Dark Valley 868"/>
    <x v="0"/>
    <s v="Unknown"/>
    <x v="2"/>
    <d v="2018-07-22T00:00:00"/>
    <x v="3"/>
    <x v="9"/>
    <s v="83 Min"/>
    <x v="10"/>
    <n v="9.1999999999999993"/>
    <n v="13091260"/>
    <n v="4882244"/>
    <n v="85"/>
    <x v="1"/>
    <x v="3"/>
  </r>
  <r>
    <x v="613"/>
    <s v="Crimson Mission 859"/>
    <x v="2"/>
    <s v="A. Smith"/>
    <x v="9"/>
    <d v="2018-07-30T00:00:00"/>
    <x v="2"/>
    <x v="5"/>
    <s v="6 Seasons"/>
    <x v="5"/>
    <n v="5"/>
    <n v="22802945"/>
    <n v="408070"/>
    <n v="61"/>
    <x v="4"/>
    <x v="0"/>
  </r>
  <r>
    <x v="614"/>
    <s v="Wild Rise 739"/>
    <x v="2"/>
    <s v="M. Garcia"/>
    <x v="9"/>
    <d v="2018-08-05T00:00:00"/>
    <x v="8"/>
    <x v="7"/>
    <s v="3 Seasons"/>
    <x v="0"/>
    <n v="9.3000000000000007"/>
    <n v="17125759"/>
    <n v="3794974"/>
    <n v="99"/>
    <x v="9"/>
    <x v="1"/>
  </r>
  <r>
    <x v="615"/>
    <s v="Dark Legacy 1228"/>
    <x v="2"/>
    <s v="D. Kim"/>
    <x v="10"/>
    <d v="2018-08-09T00:00:00"/>
    <x v="15"/>
    <x v="7"/>
    <s v="6 Seasons"/>
    <x v="1"/>
    <n v="5.6"/>
    <n v="22045648"/>
    <n v="3032905"/>
    <n v="58"/>
    <x v="4"/>
    <x v="0"/>
  </r>
  <r>
    <x v="616"/>
    <s v="Lost Zone 1959"/>
    <x v="0"/>
    <s v="D. Kim"/>
    <x v="7"/>
    <d v="2018-08-12T00:00:00"/>
    <x v="6"/>
    <x v="9"/>
    <s v="108 Min"/>
    <x v="2"/>
    <n v="8.6999999999999993"/>
    <n v="10912595"/>
    <n v="794622"/>
    <n v="55"/>
    <x v="4"/>
    <x v="4"/>
  </r>
  <r>
    <x v="617"/>
    <s v="Beyond Edge 1223"/>
    <x v="0"/>
    <s v="N. Singh"/>
    <x v="3"/>
    <d v="2018-08-13T00:00:00"/>
    <x v="21"/>
    <x v="6"/>
    <s v="139 Min"/>
    <x v="4"/>
    <n v="6.7"/>
    <n v="8865465"/>
    <n v="3117317"/>
    <n v="95"/>
    <x v="9"/>
    <x v="2"/>
  </r>
  <r>
    <x v="618"/>
    <s v="Wild Valley 1726"/>
    <x v="0"/>
    <s v="J. Lee"/>
    <x v="4"/>
    <d v="2018-08-14T00:00:00"/>
    <x v="18"/>
    <x v="5"/>
    <s v="130 Min"/>
    <x v="2"/>
    <n v="7.9"/>
    <n v="22824975"/>
    <n v="3091454"/>
    <n v="45"/>
    <x v="9"/>
    <x v="1"/>
  </r>
  <r>
    <x v="619"/>
    <s v="Golden Dream 1052"/>
    <x v="2"/>
    <s v="N. Singh"/>
    <x v="0"/>
    <d v="2018-08-16T00:00:00"/>
    <x v="19"/>
    <x v="2"/>
    <s v="6 Seasons"/>
    <x v="3"/>
    <n v="5.2"/>
    <n v="14273888"/>
    <n v="2710693"/>
    <n v="98"/>
    <x v="7"/>
    <x v="1"/>
  </r>
  <r>
    <x v="620"/>
    <s v="Future Quest 549"/>
    <x v="0"/>
    <s v="N. Singh"/>
    <x v="5"/>
    <d v="2018-08-27T00:00:00"/>
    <x v="22"/>
    <x v="3"/>
    <s v="83 Min"/>
    <x v="2"/>
    <n v="7.5"/>
    <n v="2133281"/>
    <n v="3176146"/>
    <n v="65"/>
    <x v="0"/>
    <x v="3"/>
  </r>
  <r>
    <x v="621"/>
    <s v="Lost Signal 1322"/>
    <x v="1"/>
    <s v="D. Kim"/>
    <x v="0"/>
    <d v="2018-08-29T00:00:00"/>
    <x v="18"/>
    <x v="0"/>
    <s v="5 Seasons"/>
    <x v="9"/>
    <n v="4.7"/>
    <n v="19330209"/>
    <n v="525674"/>
    <n v="100"/>
    <x v="7"/>
    <x v="1"/>
  </r>
  <r>
    <x v="622"/>
    <s v="Future Quest 1836"/>
    <x v="0"/>
    <s v="D. Kim"/>
    <x v="0"/>
    <d v="2018-08-31T00:00:00"/>
    <x v="6"/>
    <x v="4"/>
    <s v="119 Min"/>
    <x v="3"/>
    <n v="6.4"/>
    <n v="6749457"/>
    <n v="298140"/>
    <n v="53"/>
    <x v="8"/>
    <x v="0"/>
  </r>
  <r>
    <x v="623"/>
    <s v="Last Night 47"/>
    <x v="0"/>
    <s v="Unknown"/>
    <x v="1"/>
    <d v="2018-09-02T00:00:00"/>
    <x v="21"/>
    <x v="5"/>
    <s v="89 Min"/>
    <x v="3"/>
    <n v="9.6"/>
    <n v="19019258"/>
    <n v="2997257"/>
    <n v="41"/>
    <x v="9"/>
    <x v="1"/>
  </r>
  <r>
    <x v="624"/>
    <s v="Crimson Signal 1138"/>
    <x v="2"/>
    <s v="A. Smith"/>
    <x v="9"/>
    <d v="2018-09-02T00:00:00"/>
    <x v="1"/>
    <x v="5"/>
    <s v="5 Seasons"/>
    <x v="3"/>
    <n v="9.3000000000000007"/>
    <n v="5145165"/>
    <n v="646794"/>
    <n v="83"/>
    <x v="5"/>
    <x v="2"/>
  </r>
  <r>
    <x v="625"/>
    <s v="Fire Legacy 1972"/>
    <x v="1"/>
    <s v="N. Singh"/>
    <x v="10"/>
    <d v="2018-09-04T00:00:00"/>
    <x v="18"/>
    <x v="7"/>
    <s v="6 Seasons"/>
    <x v="4"/>
    <n v="7.1"/>
    <n v="14790065"/>
    <n v="3578079"/>
    <n v="61"/>
    <x v="1"/>
    <x v="4"/>
  </r>
  <r>
    <x v="626"/>
    <s v="Secret Code 783"/>
    <x v="0"/>
    <s v="S. Patel"/>
    <x v="1"/>
    <d v="2018-09-09T00:00:00"/>
    <x v="7"/>
    <x v="6"/>
    <s v="174 Min"/>
    <x v="4"/>
    <n v="8.3000000000000007"/>
    <n v="7775830"/>
    <n v="3162788"/>
    <n v="94"/>
    <x v="4"/>
    <x v="2"/>
  </r>
  <r>
    <x v="627"/>
    <s v="Last Valley 53"/>
    <x v="1"/>
    <s v="P. Johnson"/>
    <x v="12"/>
    <d v="2018-09-14T00:00:00"/>
    <x v="14"/>
    <x v="4"/>
    <s v="3 Seasons"/>
    <x v="10"/>
    <n v="5.8"/>
    <n v="20596708"/>
    <n v="2307805"/>
    <n v="69"/>
    <x v="3"/>
    <x v="4"/>
  </r>
  <r>
    <x v="628"/>
    <s v="Hidden Night 1269"/>
    <x v="0"/>
    <s v="A. Smith"/>
    <x v="6"/>
    <d v="2018-09-14T00:00:00"/>
    <x v="9"/>
    <x v="6"/>
    <s v="71 Min"/>
    <x v="0"/>
    <n v="7.6"/>
    <n v="8768807"/>
    <n v="4588506"/>
    <n v="75"/>
    <x v="4"/>
    <x v="1"/>
  </r>
  <r>
    <x v="629"/>
    <s v="Last Code 1872"/>
    <x v="0"/>
    <s v="Unknown"/>
    <x v="7"/>
    <d v="2018-09-15T00:00:00"/>
    <x v="19"/>
    <x v="8"/>
    <s v="78 Min"/>
    <x v="4"/>
    <n v="9.1999999999999993"/>
    <n v="9337800"/>
    <n v="4304717"/>
    <n v="91"/>
    <x v="5"/>
    <x v="2"/>
  </r>
  <r>
    <x v="630"/>
    <s v="Broken Edge 1011"/>
    <x v="0"/>
    <s v="J. Lee"/>
    <x v="7"/>
    <d v="2018-09-16T00:00:00"/>
    <x v="13"/>
    <x v="7"/>
    <s v="163 Min"/>
    <x v="5"/>
    <n v="4.5999999999999996"/>
    <n v="3540326"/>
    <n v="1696838"/>
    <n v="47"/>
    <x v="0"/>
    <x v="4"/>
  </r>
  <r>
    <x v="631"/>
    <s v="Dark Journey 635"/>
    <x v="0"/>
    <s v="J. Lee"/>
    <x v="9"/>
    <d v="2018-09-20T00:00:00"/>
    <x v="19"/>
    <x v="3"/>
    <s v="116 Min"/>
    <x v="2"/>
    <n v="5"/>
    <n v="24012317"/>
    <n v="351197"/>
    <n v="78"/>
    <x v="4"/>
    <x v="0"/>
  </r>
  <r>
    <x v="632"/>
    <s v="Infinite Signal 1088"/>
    <x v="0"/>
    <s v="M. Garcia"/>
    <x v="7"/>
    <d v="2018-09-21T00:00:00"/>
    <x v="14"/>
    <x v="6"/>
    <s v="73 Min"/>
    <x v="1"/>
    <n v="5.7"/>
    <n v="5371961"/>
    <n v="3964053"/>
    <n v="81"/>
    <x v="9"/>
    <x v="1"/>
  </r>
  <r>
    <x v="633"/>
    <s v="Urban Story 207"/>
    <x v="0"/>
    <s v="Unknown"/>
    <x v="12"/>
    <d v="2018-09-23T00:00:00"/>
    <x v="22"/>
    <x v="4"/>
    <s v="170 Min"/>
    <x v="1"/>
    <n v="6.5"/>
    <n v="7525571"/>
    <n v="1627797"/>
    <n v="88"/>
    <x v="7"/>
    <x v="4"/>
  </r>
  <r>
    <x v="634"/>
    <s v="Lost Night 1868"/>
    <x v="0"/>
    <s v="A. Smith"/>
    <x v="3"/>
    <d v="2018-09-26T00:00:00"/>
    <x v="21"/>
    <x v="3"/>
    <s v="86 Min"/>
    <x v="5"/>
    <n v="7"/>
    <n v="22527019"/>
    <n v="1920428"/>
    <n v="54"/>
    <x v="8"/>
    <x v="4"/>
  </r>
  <r>
    <x v="635"/>
    <s v="Dark Quest 102"/>
    <x v="1"/>
    <s v="S. Patel"/>
    <x v="5"/>
    <d v="2018-09-29T00:00:00"/>
    <x v="2"/>
    <x v="9"/>
    <s v="1 Seasons"/>
    <x v="2"/>
    <n v="7.3"/>
    <n v="4168066"/>
    <n v="4292884"/>
    <n v="58"/>
    <x v="7"/>
    <x v="3"/>
  </r>
  <r>
    <x v="636"/>
    <s v="Last Files 1372"/>
    <x v="2"/>
    <s v="R. Kumar"/>
    <x v="9"/>
    <d v="2018-09-29T00:00:00"/>
    <x v="22"/>
    <x v="0"/>
    <s v="2 Seasons"/>
    <x v="4"/>
    <n v="11.2"/>
    <n v="15525440"/>
    <n v="233450"/>
    <n v="44"/>
    <x v="4"/>
    <x v="4"/>
  </r>
  <r>
    <x v="637"/>
    <s v="Crimson Signal 799"/>
    <x v="1"/>
    <s v="A. Smith"/>
    <x v="9"/>
    <d v="2018-10-01T00:00:00"/>
    <x v="21"/>
    <x v="2"/>
    <s v="8 Seasons"/>
    <x v="0"/>
    <n v="6.8"/>
    <n v="2174152"/>
    <n v="224134"/>
    <n v="70"/>
    <x v="2"/>
    <x v="4"/>
  </r>
  <r>
    <x v="638"/>
    <s v="Last Story 878"/>
    <x v="1"/>
    <s v="Unknown"/>
    <x v="5"/>
    <d v="2018-10-01T00:00:00"/>
    <x v="3"/>
    <x v="9"/>
    <s v="1 Seasons"/>
    <x v="2"/>
    <n v="5.3"/>
    <n v="16274160"/>
    <n v="3027747"/>
    <n v="85"/>
    <x v="0"/>
    <x v="1"/>
  </r>
  <r>
    <x v="639"/>
    <s v="Infinite Game 628"/>
    <x v="0"/>
    <s v="J. Lee"/>
    <x v="2"/>
    <d v="2018-10-07T00:00:00"/>
    <x v="25"/>
    <x v="6"/>
    <s v="110 Min"/>
    <x v="2"/>
    <n v="5.7"/>
    <n v="11818671"/>
    <n v="3154548"/>
    <n v="100"/>
    <x v="3"/>
    <x v="0"/>
  </r>
  <r>
    <x v="640"/>
    <s v="Fire Journey 1948"/>
    <x v="1"/>
    <s v="N. Singh"/>
    <x v="11"/>
    <d v="2018-10-10T00:00:00"/>
    <x v="2"/>
    <x v="0"/>
    <s v="5 Seasons"/>
    <x v="3"/>
    <n v="9"/>
    <n v="15163882"/>
    <n v="2499837"/>
    <n v="70"/>
    <x v="1"/>
    <x v="1"/>
  </r>
  <r>
    <x v="641"/>
    <s v="Infinite Files 1486"/>
    <x v="0"/>
    <s v="S. Patel"/>
    <x v="11"/>
    <d v="2018-10-11T00:00:00"/>
    <x v="19"/>
    <x v="2"/>
    <s v="72 Min"/>
    <x v="10"/>
    <n v="5.7"/>
    <n v="7553173"/>
    <n v="886152"/>
    <n v="44"/>
    <x v="2"/>
    <x v="3"/>
  </r>
  <r>
    <x v="642"/>
    <s v="Wild Story 1112"/>
    <x v="0"/>
    <s v="P. Johnson"/>
    <x v="4"/>
    <d v="2018-10-12T00:00:00"/>
    <x v="0"/>
    <x v="5"/>
    <s v="167 Min"/>
    <x v="0"/>
    <n v="8.9"/>
    <n v="3379233"/>
    <n v="666707"/>
    <n v="40"/>
    <x v="5"/>
    <x v="0"/>
  </r>
  <r>
    <x v="643"/>
    <s v="Royal Night 274"/>
    <x v="2"/>
    <s v="D. Kim"/>
    <x v="3"/>
    <d v="2018-10-18T00:00:00"/>
    <x v="24"/>
    <x v="3"/>
    <s v="6 Seasons"/>
    <x v="7"/>
    <n v="5.6"/>
    <n v="12014917"/>
    <n v="2815200"/>
    <n v="75"/>
    <x v="0"/>
    <x v="4"/>
  </r>
  <r>
    <x v="644"/>
    <s v="Beyond Empire 832"/>
    <x v="0"/>
    <s v="R. Kumar"/>
    <x v="5"/>
    <d v="2018-10-18T00:00:00"/>
    <x v="17"/>
    <x v="3"/>
    <s v="133 Min"/>
    <x v="3"/>
    <n v="8.5"/>
    <n v="22442880"/>
    <n v="377920"/>
    <n v="43"/>
    <x v="5"/>
    <x v="4"/>
  </r>
  <r>
    <x v="645"/>
    <s v="Echo Legacy 1885"/>
    <x v="0"/>
    <s v="R. Kumar"/>
    <x v="3"/>
    <d v="2018-10-20T00:00:00"/>
    <x v="9"/>
    <x v="3"/>
    <s v="140 Min"/>
    <x v="4"/>
    <n v="9.1"/>
    <n v="12207590"/>
    <n v="2211757"/>
    <n v="85"/>
    <x v="9"/>
    <x v="1"/>
  </r>
  <r>
    <x v="646"/>
    <s v="Hidden Dream 351"/>
    <x v="2"/>
    <s v="N. Singh"/>
    <x v="2"/>
    <d v="2018-10-23T00:00:00"/>
    <x v="9"/>
    <x v="2"/>
    <s v="7 Seasons"/>
    <x v="2"/>
    <n v="7.8"/>
    <n v="17019083"/>
    <n v="232582"/>
    <n v="92"/>
    <x v="8"/>
    <x v="1"/>
  </r>
  <r>
    <x v="647"/>
    <s v="Echo Quest 510"/>
    <x v="1"/>
    <s v="K. Tanaka"/>
    <x v="10"/>
    <d v="2018-10-25T00:00:00"/>
    <x v="11"/>
    <x v="0"/>
    <s v="8 Seasons"/>
    <x v="8"/>
    <n v="4.8"/>
    <n v="10752868"/>
    <n v="3836741"/>
    <n v="76"/>
    <x v="6"/>
    <x v="4"/>
  </r>
  <r>
    <x v="648"/>
    <s v="Shadow Chronicles 992"/>
    <x v="2"/>
    <s v="P. Johnson"/>
    <x v="8"/>
    <d v="2018-10-25T00:00:00"/>
    <x v="16"/>
    <x v="7"/>
    <s v="7 Seasons"/>
    <x v="9"/>
    <n v="8.4"/>
    <n v="2592619"/>
    <n v="3032530"/>
    <n v="83"/>
    <x v="1"/>
    <x v="1"/>
  </r>
  <r>
    <x v="649"/>
    <s v="Infinite Truth 1090"/>
    <x v="1"/>
    <s v="R. Kumar"/>
    <x v="7"/>
    <d v="2018-10-26T00:00:00"/>
    <x v="26"/>
    <x v="7"/>
    <s v="6 Seasons"/>
    <x v="4"/>
    <n v="8.9"/>
    <n v="10557194"/>
    <n v="3254145"/>
    <n v="57"/>
    <x v="5"/>
    <x v="3"/>
  </r>
  <r>
    <x v="650"/>
    <s v="Future Journey 1367"/>
    <x v="2"/>
    <s v="P. Johnson"/>
    <x v="2"/>
    <d v="2018-10-26T00:00:00"/>
    <x v="7"/>
    <x v="6"/>
    <s v="8 Seasons"/>
    <x v="10"/>
    <n v="9.6"/>
    <n v="14993221"/>
    <n v="4013016"/>
    <n v="43"/>
    <x v="9"/>
    <x v="0"/>
  </r>
  <r>
    <x v="651"/>
    <s v="Shadow Valley 573"/>
    <x v="0"/>
    <s v="L. Brown"/>
    <x v="7"/>
    <d v="2018-10-29T00:00:00"/>
    <x v="8"/>
    <x v="1"/>
    <s v="176 Min"/>
    <x v="1"/>
    <n v="8.1999999999999993"/>
    <n v="8327306"/>
    <n v="191315"/>
    <n v="55"/>
    <x v="0"/>
    <x v="2"/>
  </r>
  <r>
    <x v="652"/>
    <s v="Hidden Line 183"/>
    <x v="0"/>
    <s v="A. Smith"/>
    <x v="6"/>
    <d v="2018-10-30T00:00:00"/>
    <x v="4"/>
    <x v="3"/>
    <s v="173 Min"/>
    <x v="8"/>
    <n v="6.4"/>
    <n v="9148532"/>
    <n v="2596464"/>
    <n v="70"/>
    <x v="2"/>
    <x v="3"/>
  </r>
  <r>
    <x v="653"/>
    <s v="Silent Quest 735"/>
    <x v="1"/>
    <s v="D. Kim"/>
    <x v="9"/>
    <d v="2018-11-01T00:00:00"/>
    <x v="16"/>
    <x v="3"/>
    <s v="6 Seasons"/>
    <x v="4"/>
    <n v="5.2"/>
    <n v="12273081"/>
    <n v="3005024"/>
    <n v="79"/>
    <x v="4"/>
    <x v="3"/>
  </r>
  <r>
    <x v="654"/>
    <s v="Ocean Game 1921"/>
    <x v="0"/>
    <s v="N. Singh"/>
    <x v="4"/>
    <d v="2018-11-02T00:00:00"/>
    <x v="15"/>
    <x v="3"/>
    <s v="104 Min"/>
    <x v="6"/>
    <n v="4.7"/>
    <n v="11674187"/>
    <n v="1604973"/>
    <n v="98"/>
    <x v="6"/>
    <x v="3"/>
  </r>
  <r>
    <x v="655"/>
    <s v="Secret Truth 603"/>
    <x v="1"/>
    <s v="D. Kim"/>
    <x v="12"/>
    <d v="2018-11-05T00:00:00"/>
    <x v="13"/>
    <x v="3"/>
    <s v="7 Seasons"/>
    <x v="9"/>
    <n v="6.5"/>
    <n v="6520356"/>
    <n v="1142289"/>
    <n v="73"/>
    <x v="2"/>
    <x v="1"/>
  </r>
  <r>
    <x v="656"/>
    <s v="Blue Story 1862"/>
    <x v="0"/>
    <s v="S. Patel"/>
    <x v="4"/>
    <d v="2018-11-13T00:00:00"/>
    <x v="7"/>
    <x v="3"/>
    <s v="104 Min"/>
    <x v="4"/>
    <n v="7.6"/>
    <n v="3600019"/>
    <n v="1213676"/>
    <n v="94"/>
    <x v="1"/>
    <x v="1"/>
  </r>
  <r>
    <x v="657"/>
    <s v="Infinite Rise 1496"/>
    <x v="1"/>
    <s v="Unknown"/>
    <x v="12"/>
    <d v="2018-11-14T00:00:00"/>
    <x v="3"/>
    <x v="7"/>
    <s v="7 Seasons"/>
    <x v="8"/>
    <n v="5.3"/>
    <n v="3776884"/>
    <n v="316421"/>
    <n v="69"/>
    <x v="8"/>
    <x v="0"/>
  </r>
  <r>
    <x v="658"/>
    <s v="Hidden Code 1335"/>
    <x v="1"/>
    <s v="M. Garcia"/>
    <x v="10"/>
    <d v="2018-11-15T00:00:00"/>
    <x v="22"/>
    <x v="8"/>
    <s v="5 Seasons"/>
    <x v="9"/>
    <n v="9.3000000000000007"/>
    <n v="13795562"/>
    <n v="3260115"/>
    <n v="55"/>
    <x v="6"/>
    <x v="3"/>
  </r>
  <r>
    <x v="659"/>
    <s v="Beyond Chronicles 205"/>
    <x v="0"/>
    <s v="S. Patel"/>
    <x v="0"/>
    <d v="2018-11-20T00:00:00"/>
    <x v="14"/>
    <x v="6"/>
    <s v="102 Min"/>
    <x v="5"/>
    <n v="8.9"/>
    <n v="7601886"/>
    <n v="895018"/>
    <n v="91"/>
    <x v="9"/>
    <x v="4"/>
  </r>
  <r>
    <x v="660"/>
    <s v="Last Line 1044"/>
    <x v="1"/>
    <s v="D. Kim"/>
    <x v="0"/>
    <d v="2018-11-20T00:00:00"/>
    <x v="12"/>
    <x v="8"/>
    <s v="7 Seasons"/>
    <x v="6"/>
    <n v="7.2"/>
    <n v="16912988"/>
    <n v="2533318"/>
    <n v="44"/>
    <x v="5"/>
    <x v="0"/>
  </r>
  <r>
    <x v="661"/>
    <s v="Golden Game 302"/>
    <x v="0"/>
    <s v="P. Johnson"/>
    <x v="9"/>
    <d v="2018-11-21T00:00:00"/>
    <x v="4"/>
    <x v="0"/>
    <s v="163 Min"/>
    <x v="2"/>
    <n v="4.5999999999999996"/>
    <n v="13836414"/>
    <n v="4230414"/>
    <n v="66"/>
    <x v="2"/>
    <x v="1"/>
  </r>
  <r>
    <x v="662"/>
    <s v="Urban Dream 796"/>
    <x v="0"/>
    <s v="L. Brown"/>
    <x v="1"/>
    <d v="2018-11-23T00:00:00"/>
    <x v="23"/>
    <x v="4"/>
    <s v="139 Min"/>
    <x v="4"/>
    <n v="5.0999999999999996"/>
    <n v="2559552"/>
    <n v="4696197"/>
    <n v="76"/>
    <x v="8"/>
    <x v="3"/>
  </r>
  <r>
    <x v="663"/>
    <s v="Silent Truth 430"/>
    <x v="0"/>
    <s v="R. Kumar"/>
    <x v="11"/>
    <d v="2018-11-27T00:00:00"/>
    <x v="11"/>
    <x v="6"/>
    <s v="162 Min"/>
    <x v="2"/>
    <n v="5.2"/>
    <n v="10139326"/>
    <n v="828303"/>
    <n v="40"/>
    <x v="5"/>
    <x v="4"/>
  </r>
  <r>
    <x v="664"/>
    <s v="Last World 471"/>
    <x v="1"/>
    <s v="A. Smith"/>
    <x v="5"/>
    <d v="2018-11-29T00:00:00"/>
    <x v="6"/>
    <x v="3"/>
    <s v="4 Seasons"/>
    <x v="6"/>
    <n v="11.2"/>
    <n v="8516170"/>
    <n v="3066049"/>
    <n v="43"/>
    <x v="6"/>
    <x v="1"/>
  </r>
  <r>
    <x v="665"/>
    <s v="Golden Rise 1236"/>
    <x v="2"/>
    <s v="S. Patel"/>
    <x v="11"/>
    <d v="2018-12-01T00:00:00"/>
    <x v="1"/>
    <x v="3"/>
    <s v="5 Seasons"/>
    <x v="8"/>
    <n v="6.3"/>
    <n v="18002887"/>
    <n v="440557"/>
    <n v="60"/>
    <x v="9"/>
    <x v="2"/>
  </r>
  <r>
    <x v="666"/>
    <s v="Hidden Story 1944"/>
    <x v="0"/>
    <s v="S. Patel"/>
    <x v="11"/>
    <d v="2018-12-03T00:00:00"/>
    <x v="18"/>
    <x v="9"/>
    <s v="180 Min"/>
    <x v="6"/>
    <n v="7.8"/>
    <n v="2879505"/>
    <n v="3454375"/>
    <n v="74"/>
    <x v="1"/>
    <x v="0"/>
  </r>
  <r>
    <x v="667"/>
    <s v="Shadow Files 438"/>
    <x v="1"/>
    <s v="A. Smith"/>
    <x v="8"/>
    <d v="2018-12-05T00:00:00"/>
    <x v="14"/>
    <x v="6"/>
    <s v="Unknown"/>
    <x v="2"/>
    <n v="6.4"/>
    <n v="2267421"/>
    <n v="3758031"/>
    <n v="41"/>
    <x v="6"/>
    <x v="1"/>
  </r>
  <r>
    <x v="668"/>
    <s v="Last Dream 237"/>
    <x v="1"/>
    <s v="D. Kim"/>
    <x v="12"/>
    <d v="2018-12-08T00:00:00"/>
    <x v="3"/>
    <x v="4"/>
    <s v="4 Seasons"/>
    <x v="2"/>
    <n v="8.5"/>
    <n v="23852947"/>
    <n v="1811576"/>
    <n v="93"/>
    <x v="7"/>
    <x v="3"/>
  </r>
  <r>
    <x v="669"/>
    <s v="Infinite Zone 1331"/>
    <x v="0"/>
    <s v="Unknown"/>
    <x v="5"/>
    <d v="2018-12-08T00:00:00"/>
    <x v="11"/>
    <x v="4"/>
    <s v="77 Min"/>
    <x v="2"/>
    <n v="9"/>
    <n v="11002076"/>
    <n v="1507747"/>
    <n v="61"/>
    <x v="7"/>
    <x v="3"/>
  </r>
  <r>
    <x v="670"/>
    <s v="Ocean Night 428"/>
    <x v="2"/>
    <s v="K. Tanaka"/>
    <x v="1"/>
    <d v="2018-12-11T00:00:00"/>
    <x v="8"/>
    <x v="1"/>
    <s v="7 Seasons"/>
    <x v="10"/>
    <n v="5.4"/>
    <n v="4433017"/>
    <n v="3449154"/>
    <n v="60"/>
    <x v="6"/>
    <x v="4"/>
  </r>
  <r>
    <x v="671"/>
    <s v="Shadow Truth 1584"/>
    <x v="0"/>
    <s v="K. Tanaka"/>
    <x v="7"/>
    <d v="2018-12-15T00:00:00"/>
    <x v="1"/>
    <x v="3"/>
    <s v="76 Min"/>
    <x v="3"/>
    <n v="7.9"/>
    <n v="14388844"/>
    <n v="1347080"/>
    <n v="82"/>
    <x v="9"/>
    <x v="4"/>
  </r>
  <r>
    <x v="672"/>
    <s v="Silent Journey 1244"/>
    <x v="0"/>
    <s v="N. Singh"/>
    <x v="0"/>
    <d v="2018-12-16T00:00:00"/>
    <x v="16"/>
    <x v="6"/>
    <s v="134 Min"/>
    <x v="3"/>
    <n v="11.2"/>
    <n v="2922159"/>
    <n v="2913070"/>
    <n v="65"/>
    <x v="7"/>
    <x v="4"/>
  </r>
  <r>
    <x v="673"/>
    <s v="Future World 1683"/>
    <x v="2"/>
    <s v="Unknown"/>
    <x v="11"/>
    <d v="2018-12-16T00:00:00"/>
    <x v="9"/>
    <x v="8"/>
    <s v="8 Seasons"/>
    <x v="0"/>
    <n v="6.4"/>
    <n v="14942223"/>
    <n v="4200866"/>
    <n v="49"/>
    <x v="5"/>
    <x v="2"/>
  </r>
  <r>
    <x v="674"/>
    <s v="Hidden Mission 1320"/>
    <x v="1"/>
    <s v="D. Kim"/>
    <x v="1"/>
    <d v="2018-12-18T00:00:00"/>
    <x v="18"/>
    <x v="2"/>
    <s v="4 Seasons"/>
    <x v="4"/>
    <n v="6.3"/>
    <n v="8083273"/>
    <n v="1762556"/>
    <n v="95"/>
    <x v="0"/>
    <x v="2"/>
  </r>
  <r>
    <x v="675"/>
    <s v="Last Quest 435"/>
    <x v="2"/>
    <s v="D. Kim"/>
    <x v="11"/>
    <d v="2018-12-21T00:00:00"/>
    <x v="17"/>
    <x v="0"/>
    <s v="6 Seasons"/>
    <x v="6"/>
    <n v="6.5"/>
    <n v="15011"/>
    <n v="664096"/>
    <n v="41"/>
    <x v="1"/>
    <x v="1"/>
  </r>
  <r>
    <x v="676"/>
    <s v="Beyond Code 446"/>
    <x v="0"/>
    <s v="P. Johnson"/>
    <x v="5"/>
    <d v="2018-12-24T00:00:00"/>
    <x v="16"/>
    <x v="1"/>
    <s v="76 Min"/>
    <x v="4"/>
    <n v="7.7"/>
    <n v="11347976"/>
    <n v="2899860"/>
    <n v="98"/>
    <x v="9"/>
    <x v="2"/>
  </r>
  <r>
    <x v="677"/>
    <s v="Secret Night 840"/>
    <x v="0"/>
    <s v="Unknown"/>
    <x v="7"/>
    <d v="2018-12-27T00:00:00"/>
    <x v="13"/>
    <x v="2"/>
    <s v="158 Min"/>
    <x v="3"/>
    <n v="7.9"/>
    <n v="7271416"/>
    <n v="3268237"/>
    <n v="40"/>
    <x v="8"/>
    <x v="1"/>
  </r>
  <r>
    <x v="678"/>
    <s v="Silent Line 672"/>
    <x v="0"/>
    <s v="J. Lee"/>
    <x v="12"/>
    <d v="2018-12-28T00:00:00"/>
    <x v="8"/>
    <x v="6"/>
    <s v="120 Min"/>
    <x v="2"/>
    <n v="5.8"/>
    <n v="12401322"/>
    <n v="561779"/>
    <n v="86"/>
    <x v="8"/>
    <x v="4"/>
  </r>
  <r>
    <x v="679"/>
    <s v="Silent Game 566"/>
    <x v="1"/>
    <s v="R. Kumar"/>
    <x v="3"/>
    <d v="2018-12-30T00:00:00"/>
    <x v="14"/>
    <x v="0"/>
    <s v="6 Seasons"/>
    <x v="8"/>
    <n v="5.0999999999999996"/>
    <n v="23676704"/>
    <n v="1453114"/>
    <n v="76"/>
    <x v="0"/>
    <x v="3"/>
  </r>
  <r>
    <x v="680"/>
    <s v="Urban Rise 1698"/>
    <x v="0"/>
    <s v="D. Kim"/>
    <x v="2"/>
    <d v="2018-12-30T00:00:00"/>
    <x v="2"/>
    <x v="3"/>
    <s v="113 Min"/>
    <x v="7"/>
    <n v="7.6"/>
    <n v="7875077"/>
    <n v="1203293"/>
    <n v="69"/>
    <x v="1"/>
    <x v="0"/>
  </r>
  <r>
    <x v="681"/>
    <s v="Blue World 439"/>
    <x v="0"/>
    <s v="N. Singh"/>
    <x v="1"/>
    <d v="2019-01-07T00:00:00"/>
    <x v="20"/>
    <x v="4"/>
    <s v="120 Min"/>
    <x v="10"/>
    <n v="8.1"/>
    <n v="14045743"/>
    <n v="3923193"/>
    <n v="54"/>
    <x v="1"/>
    <x v="3"/>
  </r>
  <r>
    <x v="682"/>
    <s v="Golden Night 244"/>
    <x v="1"/>
    <s v="K. Tanaka"/>
    <x v="5"/>
    <d v="2019-01-10T00:00:00"/>
    <x v="0"/>
    <x v="1"/>
    <s v="7 Seasons"/>
    <x v="1"/>
    <n v="4.5999999999999996"/>
    <n v="21152714"/>
    <n v="1414194"/>
    <n v="50"/>
    <x v="1"/>
    <x v="1"/>
  </r>
  <r>
    <x v="683"/>
    <s v="Golden Valley 1994"/>
    <x v="0"/>
    <s v="A. Smith"/>
    <x v="5"/>
    <d v="2019-01-10T00:00:00"/>
    <x v="11"/>
    <x v="6"/>
    <s v="147 Min"/>
    <x v="8"/>
    <n v="8.5"/>
    <n v="11543863"/>
    <n v="1455830"/>
    <n v="120"/>
    <x v="9"/>
    <x v="3"/>
  </r>
  <r>
    <x v="684"/>
    <s v="Ocean Rise 217"/>
    <x v="0"/>
    <s v="P. Johnson"/>
    <x v="3"/>
    <d v="2019-01-16T00:00:00"/>
    <x v="6"/>
    <x v="4"/>
    <s v="126 Min"/>
    <x v="2"/>
    <n v="5.6"/>
    <n v="4503910"/>
    <n v="1951321"/>
    <n v="85"/>
    <x v="9"/>
    <x v="0"/>
  </r>
  <r>
    <x v="685"/>
    <s v="Crimson Code 944"/>
    <x v="2"/>
    <s v="S. Patel"/>
    <x v="7"/>
    <d v="2019-01-18T00:00:00"/>
    <x v="0"/>
    <x v="0"/>
    <s v="4 Seasons"/>
    <x v="3"/>
    <n v="8.1"/>
    <n v="10975639"/>
    <n v="1969376"/>
    <n v="96"/>
    <x v="0"/>
    <x v="3"/>
  </r>
  <r>
    <x v="686"/>
    <s v="Royal World 987"/>
    <x v="2"/>
    <s v="D. Kim"/>
    <x v="5"/>
    <d v="2019-01-24T00:00:00"/>
    <x v="15"/>
    <x v="0"/>
    <s v="3 Seasons"/>
    <x v="5"/>
    <n v="4.5999999999999996"/>
    <n v="17044674"/>
    <n v="4423505"/>
    <n v="46"/>
    <x v="9"/>
    <x v="2"/>
  </r>
  <r>
    <x v="687"/>
    <s v="Ocean Valley 1220"/>
    <x v="0"/>
    <s v="A. Smith"/>
    <x v="9"/>
    <d v="2019-01-24T00:00:00"/>
    <x v="3"/>
    <x v="6"/>
    <s v="87 Min"/>
    <x v="5"/>
    <n v="5.6"/>
    <n v="15839477"/>
    <n v="2548400"/>
    <n v="77"/>
    <x v="8"/>
    <x v="1"/>
  </r>
  <r>
    <x v="688"/>
    <s v="Dark Valley 696"/>
    <x v="0"/>
    <s v="L. Brown"/>
    <x v="6"/>
    <d v="2019-01-25T00:00:00"/>
    <x v="15"/>
    <x v="9"/>
    <s v="82 Min"/>
    <x v="2"/>
    <n v="9.4"/>
    <n v="10206833"/>
    <n v="1142645"/>
    <n v="98"/>
    <x v="8"/>
    <x v="3"/>
  </r>
  <r>
    <x v="689"/>
    <s v="Royal World 1679"/>
    <x v="2"/>
    <s v="A. Smith"/>
    <x v="1"/>
    <d v="2019-01-26T00:00:00"/>
    <x v="3"/>
    <x v="8"/>
    <s v="Unknown"/>
    <x v="2"/>
    <n v="6.8"/>
    <n v="12966049"/>
    <n v="1123693"/>
    <n v="70"/>
    <x v="4"/>
    <x v="1"/>
  </r>
  <r>
    <x v="690"/>
    <s v="Shadow Empire 389"/>
    <x v="0"/>
    <s v="R. Kumar"/>
    <x v="8"/>
    <d v="2019-01-28T00:00:00"/>
    <x v="8"/>
    <x v="3"/>
    <s v="126 Min"/>
    <x v="3"/>
    <n v="5.6"/>
    <n v="3546094"/>
    <n v="634719"/>
    <n v="77"/>
    <x v="5"/>
    <x v="0"/>
  </r>
  <r>
    <x v="691"/>
    <s v="Beyond Empire 336"/>
    <x v="1"/>
    <s v="R. Kumar"/>
    <x v="9"/>
    <d v="2019-01-29T00:00:00"/>
    <x v="24"/>
    <x v="8"/>
    <s v="6 Seasons"/>
    <x v="2"/>
    <n v="6.2"/>
    <n v="3727368"/>
    <n v="2101722"/>
    <n v="79"/>
    <x v="3"/>
    <x v="3"/>
  </r>
  <r>
    <x v="692"/>
    <s v="Wild Signal 6"/>
    <x v="1"/>
    <s v="A. Smith"/>
    <x v="9"/>
    <d v="2019-02-02T00:00:00"/>
    <x v="5"/>
    <x v="0"/>
    <s v="4 Seasons"/>
    <x v="10"/>
    <n v="6.2"/>
    <n v="17307022"/>
    <n v="453925"/>
    <n v="95"/>
    <x v="5"/>
    <x v="0"/>
  </r>
  <r>
    <x v="693"/>
    <s v="Crimson Valley 1281"/>
    <x v="0"/>
    <s v="S. Patel"/>
    <x v="1"/>
    <d v="2019-02-02T00:00:00"/>
    <x v="21"/>
    <x v="9"/>
    <s v="80 Min"/>
    <x v="2"/>
    <n v="7.7"/>
    <n v="9417879"/>
    <n v="1559420"/>
    <n v="81"/>
    <x v="1"/>
    <x v="1"/>
  </r>
  <r>
    <x v="694"/>
    <s v="Future World 1700"/>
    <x v="0"/>
    <s v="R. Kumar"/>
    <x v="1"/>
    <d v="2019-02-03T00:00:00"/>
    <x v="5"/>
    <x v="4"/>
    <s v="158 Min"/>
    <x v="8"/>
    <n v="7.5"/>
    <n v="7795141"/>
    <n v="3189451"/>
    <n v="42"/>
    <x v="9"/>
    <x v="4"/>
  </r>
  <r>
    <x v="695"/>
    <s v="Urban Files 1785"/>
    <x v="0"/>
    <s v="Unknown"/>
    <x v="1"/>
    <d v="2019-02-04T00:00:00"/>
    <x v="7"/>
    <x v="9"/>
    <s v="101 Min"/>
    <x v="1"/>
    <n v="8.1999999999999993"/>
    <n v="-390"/>
    <n v="4045207"/>
    <n v="60"/>
    <x v="3"/>
    <x v="0"/>
  </r>
  <r>
    <x v="696"/>
    <s v="Urban Rise 1355"/>
    <x v="1"/>
    <s v="Unknown"/>
    <x v="5"/>
    <d v="2019-02-06T00:00:00"/>
    <x v="16"/>
    <x v="6"/>
    <s v="1 Seasons"/>
    <x v="3"/>
    <n v="8.6999999999999993"/>
    <n v="11124934"/>
    <n v="3356933"/>
    <n v="43"/>
    <x v="3"/>
    <x v="3"/>
  </r>
  <r>
    <x v="697"/>
    <s v="Shadow Code 1612"/>
    <x v="1"/>
    <s v="D. Kim"/>
    <x v="3"/>
    <d v="2019-02-06T00:00:00"/>
    <x v="24"/>
    <x v="0"/>
    <s v="3 Seasons"/>
    <x v="5"/>
    <n v="5.4"/>
    <n v="4058785"/>
    <n v="1111085"/>
    <n v="70"/>
    <x v="0"/>
    <x v="2"/>
  </r>
  <r>
    <x v="698"/>
    <s v="Shadow World 761"/>
    <x v="1"/>
    <s v="D. Kim"/>
    <x v="8"/>
    <d v="2019-02-09T00:00:00"/>
    <x v="8"/>
    <x v="6"/>
    <s v="6 Seasons"/>
    <x v="6"/>
    <n v="11.2"/>
    <n v="21411812"/>
    <n v="875239"/>
    <n v="49"/>
    <x v="8"/>
    <x v="4"/>
  </r>
  <r>
    <x v="699"/>
    <s v="Golden World 269"/>
    <x v="1"/>
    <s v="K. Tanaka"/>
    <x v="6"/>
    <d v="2019-02-11T00:00:00"/>
    <x v="20"/>
    <x v="2"/>
    <s v="5 Seasons"/>
    <x v="3"/>
    <n v="6.3"/>
    <n v="1818534"/>
    <n v="3584805"/>
    <n v="49"/>
    <x v="9"/>
    <x v="3"/>
  </r>
  <r>
    <x v="700"/>
    <s v="Urban Zone 986"/>
    <x v="1"/>
    <s v="Unknown"/>
    <x v="7"/>
    <d v="2019-02-11T00:00:00"/>
    <x v="22"/>
    <x v="6"/>
    <s v="7 Seasons"/>
    <x v="5"/>
    <n v="8.8000000000000007"/>
    <n v="13673711"/>
    <n v="2364337"/>
    <n v="89"/>
    <x v="4"/>
    <x v="0"/>
  </r>
  <r>
    <x v="701"/>
    <s v="Golden Truth 1016"/>
    <x v="2"/>
    <s v="Unknown"/>
    <x v="7"/>
    <d v="2019-02-11T00:00:00"/>
    <x v="12"/>
    <x v="1"/>
    <s v="1 Seasons"/>
    <x v="0"/>
    <n v="5.6"/>
    <n v="15425734"/>
    <n v="2303036"/>
    <n v="53"/>
    <x v="2"/>
    <x v="3"/>
  </r>
  <r>
    <x v="702"/>
    <s v="Broken Rise 1553"/>
    <x v="0"/>
    <s v="N. Singh"/>
    <x v="9"/>
    <d v="2019-02-11T00:00:00"/>
    <x v="4"/>
    <x v="1"/>
    <s v="108 Min"/>
    <x v="7"/>
    <n v="7"/>
    <n v="6683349"/>
    <n v="4721356"/>
    <n v="49"/>
    <x v="6"/>
    <x v="2"/>
  </r>
  <r>
    <x v="703"/>
    <s v="Fire Journey 1863"/>
    <x v="0"/>
    <s v="N. Singh"/>
    <x v="3"/>
    <d v="2019-02-12T00:00:00"/>
    <x v="15"/>
    <x v="6"/>
    <s v="116 Min"/>
    <x v="2"/>
    <n v="5.5"/>
    <n v="21512409"/>
    <n v="1045321"/>
    <n v="93"/>
    <x v="8"/>
    <x v="0"/>
  </r>
  <r>
    <x v="704"/>
    <s v="Blue Story 747"/>
    <x v="0"/>
    <s v="Unknown"/>
    <x v="10"/>
    <d v="2019-02-13T00:00:00"/>
    <x v="18"/>
    <x v="8"/>
    <s v="179 Min"/>
    <x v="1"/>
    <n v="8.8000000000000007"/>
    <n v="23417452"/>
    <n v="2921284"/>
    <n v="76"/>
    <x v="4"/>
    <x v="0"/>
  </r>
  <r>
    <x v="705"/>
    <s v="Crimson Code 602"/>
    <x v="1"/>
    <s v="M. Garcia"/>
    <x v="7"/>
    <d v="2019-02-14T00:00:00"/>
    <x v="16"/>
    <x v="0"/>
    <s v="7 Seasons"/>
    <x v="6"/>
    <n v="6.7"/>
    <n v="9847219"/>
    <n v="534353"/>
    <n v="96"/>
    <x v="1"/>
    <x v="2"/>
  </r>
  <r>
    <x v="706"/>
    <s v="Beyond Zone 1136"/>
    <x v="0"/>
    <s v="J. Lee"/>
    <x v="5"/>
    <d v="2019-02-14T00:00:00"/>
    <x v="24"/>
    <x v="3"/>
    <s v="74 Min"/>
    <x v="9"/>
    <n v="4.9000000000000004"/>
    <n v="10759239"/>
    <n v="1699479"/>
    <n v="100"/>
    <x v="5"/>
    <x v="4"/>
  </r>
  <r>
    <x v="707"/>
    <s v="Lost Line 1844"/>
    <x v="1"/>
    <s v="S. Patel"/>
    <x v="0"/>
    <d v="2019-02-15T00:00:00"/>
    <x v="9"/>
    <x v="9"/>
    <s v="7 Seasons"/>
    <x v="7"/>
    <n v="4.5"/>
    <n v="24989047"/>
    <n v="2638829"/>
    <n v="98"/>
    <x v="6"/>
    <x v="3"/>
  </r>
  <r>
    <x v="708"/>
    <s v="Crimson Truth 649"/>
    <x v="1"/>
    <s v="R. Kumar"/>
    <x v="7"/>
    <d v="2019-02-17T00:00:00"/>
    <x v="12"/>
    <x v="4"/>
    <s v="6 Seasons"/>
    <x v="3"/>
    <n v="8.3000000000000007"/>
    <n v="2879548"/>
    <n v="3540986"/>
    <n v="64"/>
    <x v="5"/>
    <x v="2"/>
  </r>
  <r>
    <x v="709"/>
    <s v="Beyond Quest 463"/>
    <x v="1"/>
    <s v="L. Brown"/>
    <x v="2"/>
    <d v="2019-02-21T00:00:00"/>
    <x v="4"/>
    <x v="8"/>
    <s v="1 Seasons"/>
    <x v="9"/>
    <n v="6.4"/>
    <n v="21607608"/>
    <n v="3151384"/>
    <n v="77"/>
    <x v="1"/>
    <x v="3"/>
  </r>
  <r>
    <x v="710"/>
    <s v="Crimson Mission 860"/>
    <x v="2"/>
    <s v="K. Tanaka"/>
    <x v="0"/>
    <d v="2019-02-21T00:00:00"/>
    <x v="24"/>
    <x v="8"/>
    <s v="4 Seasons"/>
    <x v="4"/>
    <n v="4.9000000000000004"/>
    <n v="22959235"/>
    <n v="4991486"/>
    <n v="41"/>
    <x v="7"/>
    <x v="0"/>
  </r>
  <r>
    <x v="711"/>
    <s v="Secret World 1979"/>
    <x v="0"/>
    <s v="J. Lee"/>
    <x v="2"/>
    <d v="2019-02-21T00:00:00"/>
    <x v="16"/>
    <x v="1"/>
    <s v="81 Min"/>
    <x v="1"/>
    <n v="9.1"/>
    <n v="21520951"/>
    <n v="4967751"/>
    <n v="42"/>
    <x v="3"/>
    <x v="0"/>
  </r>
  <r>
    <x v="712"/>
    <s v="Broken Edge 889"/>
    <x v="0"/>
    <s v="K. Tanaka"/>
    <x v="7"/>
    <d v="2019-02-23T00:00:00"/>
    <x v="12"/>
    <x v="2"/>
    <s v="129 Min"/>
    <x v="1"/>
    <n v="5.4"/>
    <n v="22819744"/>
    <n v="636018"/>
    <n v="88"/>
    <x v="8"/>
    <x v="4"/>
  </r>
  <r>
    <x v="713"/>
    <s v="Echo Dream 1516"/>
    <x v="2"/>
    <s v="Unknown"/>
    <x v="4"/>
    <d v="2019-02-23T00:00:00"/>
    <x v="20"/>
    <x v="8"/>
    <s v="3 Seasons"/>
    <x v="4"/>
    <n v="9.1999999999999993"/>
    <n v="19313207"/>
    <n v="2293047"/>
    <n v="42"/>
    <x v="7"/>
    <x v="1"/>
  </r>
  <r>
    <x v="714"/>
    <s v="Blue Signal 535"/>
    <x v="2"/>
    <s v="S. Patel"/>
    <x v="0"/>
    <d v="2019-02-27T00:00:00"/>
    <x v="7"/>
    <x v="3"/>
    <s v="6 Seasons"/>
    <x v="7"/>
    <n v="9.6999999999999993"/>
    <n v="15575061"/>
    <n v="3704060"/>
    <n v="76"/>
    <x v="4"/>
    <x v="1"/>
  </r>
  <r>
    <x v="715"/>
    <s v="Last Line 412"/>
    <x v="0"/>
    <s v="N. Singh"/>
    <x v="1"/>
    <d v="2019-02-28T00:00:00"/>
    <x v="14"/>
    <x v="0"/>
    <s v="93 Min"/>
    <x v="8"/>
    <n v="9.6999999999999993"/>
    <n v="17155647"/>
    <n v="4696103"/>
    <n v="41"/>
    <x v="5"/>
    <x v="4"/>
  </r>
  <r>
    <x v="716"/>
    <s v="Dark Dream 915"/>
    <x v="0"/>
    <s v="Unknown"/>
    <x v="4"/>
    <d v="2019-02-28T00:00:00"/>
    <x v="1"/>
    <x v="6"/>
    <s v="136 Min"/>
    <x v="1"/>
    <n v="4.7"/>
    <n v="2408617"/>
    <n v="322766"/>
    <n v="55"/>
    <x v="4"/>
    <x v="1"/>
  </r>
  <r>
    <x v="717"/>
    <s v="Dark Legacy 1305"/>
    <x v="2"/>
    <s v="Unknown"/>
    <x v="7"/>
    <d v="2019-03-02T00:00:00"/>
    <x v="12"/>
    <x v="5"/>
    <s v="8 Seasons"/>
    <x v="1"/>
    <n v="7.7"/>
    <n v="12047203"/>
    <n v="3314061"/>
    <n v="120"/>
    <x v="2"/>
    <x v="1"/>
  </r>
  <r>
    <x v="718"/>
    <s v="Beyond Story 1404"/>
    <x v="1"/>
    <s v="N. Singh"/>
    <x v="3"/>
    <d v="2019-03-02T00:00:00"/>
    <x v="7"/>
    <x v="0"/>
    <s v="1 Seasons"/>
    <x v="4"/>
    <n v="6.3"/>
    <n v="21482942"/>
    <n v="452940"/>
    <n v="87"/>
    <x v="4"/>
    <x v="1"/>
  </r>
  <r>
    <x v="719"/>
    <s v="Hidden Story 1379"/>
    <x v="1"/>
    <s v="A. Smith"/>
    <x v="5"/>
    <d v="2019-03-05T00:00:00"/>
    <x v="18"/>
    <x v="3"/>
    <s v="7 Seasons"/>
    <x v="1"/>
    <n v="9.6999999999999993"/>
    <n v="19167844"/>
    <n v="2874927"/>
    <n v="76"/>
    <x v="3"/>
    <x v="4"/>
  </r>
  <r>
    <x v="720"/>
    <s v="Fire Chronicles 1012"/>
    <x v="1"/>
    <s v="R. Kumar"/>
    <x v="5"/>
    <d v="2019-03-08T00:00:00"/>
    <x v="23"/>
    <x v="9"/>
    <s v="6 Seasons"/>
    <x v="5"/>
    <n v="5.8"/>
    <n v="21881199"/>
    <n v="4136542"/>
    <n v="48"/>
    <x v="3"/>
    <x v="3"/>
  </r>
  <r>
    <x v="721"/>
    <s v="Beyond Truth 1352"/>
    <x v="1"/>
    <s v="L. Brown"/>
    <x v="12"/>
    <d v="2019-03-09T00:00:00"/>
    <x v="26"/>
    <x v="6"/>
    <s v="7 Seasons"/>
    <x v="1"/>
    <n v="8.4"/>
    <n v="385879"/>
    <n v="4531361"/>
    <n v="65"/>
    <x v="9"/>
    <x v="2"/>
  </r>
  <r>
    <x v="722"/>
    <s v="Urban Empire 1388"/>
    <x v="1"/>
    <s v="Unknown"/>
    <x v="11"/>
    <d v="2019-03-09T00:00:00"/>
    <x v="20"/>
    <x v="3"/>
    <s v="5 Seasons"/>
    <x v="10"/>
    <n v="11.2"/>
    <n v="3118072"/>
    <n v="1043396"/>
    <n v="45"/>
    <x v="7"/>
    <x v="0"/>
  </r>
  <r>
    <x v="723"/>
    <s v="Crimson Rise 1261"/>
    <x v="0"/>
    <s v="M. Garcia"/>
    <x v="8"/>
    <d v="2019-03-10T00:00:00"/>
    <x v="5"/>
    <x v="1"/>
    <s v="Unknown"/>
    <x v="1"/>
    <n v="4.8"/>
    <n v="18534587"/>
    <n v="3938848"/>
    <n v="79"/>
    <x v="8"/>
    <x v="2"/>
  </r>
  <r>
    <x v="724"/>
    <s v="Broken Code 888"/>
    <x v="0"/>
    <s v="R. Kumar"/>
    <x v="8"/>
    <d v="2019-03-11T00:00:00"/>
    <x v="0"/>
    <x v="3"/>
    <s v="97 Min"/>
    <x v="8"/>
    <n v="8.4"/>
    <n v="6399822"/>
    <n v="1379569"/>
    <n v="70"/>
    <x v="8"/>
    <x v="4"/>
  </r>
  <r>
    <x v="725"/>
    <s v="Infinite Truth 1033"/>
    <x v="0"/>
    <s v="L. Brown"/>
    <x v="0"/>
    <d v="2019-03-12T00:00:00"/>
    <x v="10"/>
    <x v="5"/>
    <s v="75 Min"/>
    <x v="0"/>
    <n v="7.2"/>
    <n v="17483823"/>
    <n v="3916513"/>
    <n v="120"/>
    <x v="4"/>
    <x v="4"/>
  </r>
  <r>
    <x v="726"/>
    <s v="Royal Story 1357"/>
    <x v="0"/>
    <s v="A. Smith"/>
    <x v="11"/>
    <d v="2019-03-13T00:00:00"/>
    <x v="18"/>
    <x v="7"/>
    <s v="Unknown"/>
    <x v="0"/>
    <n v="8.6"/>
    <n v="22983441"/>
    <n v="946800"/>
    <n v="72"/>
    <x v="9"/>
    <x v="2"/>
  </r>
  <r>
    <x v="727"/>
    <s v="Golden Zone 663"/>
    <x v="1"/>
    <s v="J. Lee"/>
    <x v="8"/>
    <d v="2019-03-16T00:00:00"/>
    <x v="10"/>
    <x v="9"/>
    <s v="4 Seasons"/>
    <x v="10"/>
    <n v="4.9000000000000004"/>
    <n v="5860189"/>
    <n v="3126893"/>
    <n v="80"/>
    <x v="0"/>
    <x v="4"/>
  </r>
  <r>
    <x v="728"/>
    <s v="Shadow Journey 950"/>
    <x v="0"/>
    <s v="Unknown"/>
    <x v="11"/>
    <d v="2019-03-17T00:00:00"/>
    <x v="7"/>
    <x v="9"/>
    <s v="145 Min"/>
    <x v="6"/>
    <n v="5.6"/>
    <n v="17892501"/>
    <n v="1029014"/>
    <n v="84"/>
    <x v="6"/>
    <x v="4"/>
  </r>
  <r>
    <x v="729"/>
    <s v="Golden World 1251"/>
    <x v="1"/>
    <s v="A. Smith"/>
    <x v="9"/>
    <d v="2019-03-18T00:00:00"/>
    <x v="20"/>
    <x v="0"/>
    <s v="4 Seasons"/>
    <x v="10"/>
    <n v="9.6"/>
    <n v="17036750"/>
    <n v="803626"/>
    <n v="64"/>
    <x v="2"/>
    <x v="2"/>
  </r>
  <r>
    <x v="730"/>
    <s v="Shadow Chronicles 647"/>
    <x v="0"/>
    <s v="A. Smith"/>
    <x v="9"/>
    <d v="2019-03-22T00:00:00"/>
    <x v="12"/>
    <x v="4"/>
    <s v="178 Min"/>
    <x v="7"/>
    <n v="5.3"/>
    <n v="16013634"/>
    <n v="2509272"/>
    <n v="72"/>
    <x v="3"/>
    <x v="1"/>
  </r>
  <r>
    <x v="731"/>
    <s v="Blue Journey 557"/>
    <x v="0"/>
    <s v="N. Singh"/>
    <x v="0"/>
    <d v="2019-03-25T00:00:00"/>
    <x v="14"/>
    <x v="3"/>
    <s v="140 Min"/>
    <x v="1"/>
    <n v="8.1"/>
    <n v="17045086"/>
    <n v="2781079"/>
    <n v="40"/>
    <x v="5"/>
    <x v="2"/>
  </r>
  <r>
    <x v="732"/>
    <s v="Shadow Quest 1738"/>
    <x v="2"/>
    <s v="S. Patel"/>
    <x v="3"/>
    <d v="2019-04-06T00:00:00"/>
    <x v="16"/>
    <x v="2"/>
    <s v="7 Seasons"/>
    <x v="2"/>
    <n v="5.6"/>
    <n v="1320821"/>
    <n v="1195160"/>
    <n v="69"/>
    <x v="4"/>
    <x v="4"/>
  </r>
  <r>
    <x v="733"/>
    <s v="Silent Signal 1755"/>
    <x v="2"/>
    <s v="R. Kumar"/>
    <x v="11"/>
    <d v="2019-04-10T00:00:00"/>
    <x v="17"/>
    <x v="3"/>
    <s v="4 Seasons"/>
    <x v="6"/>
    <n v="6.9"/>
    <n v="745124"/>
    <n v="1385173"/>
    <n v="56"/>
    <x v="5"/>
    <x v="1"/>
  </r>
  <r>
    <x v="734"/>
    <s v="Wild Edge 929"/>
    <x v="0"/>
    <s v="Unknown"/>
    <x v="11"/>
    <d v="2019-04-17T00:00:00"/>
    <x v="20"/>
    <x v="3"/>
    <s v="111 Min"/>
    <x v="7"/>
    <n v="5.4"/>
    <n v="14852080"/>
    <n v="3848283"/>
    <n v="120"/>
    <x v="7"/>
    <x v="1"/>
  </r>
  <r>
    <x v="735"/>
    <s v="Silent Empire 436"/>
    <x v="0"/>
    <s v="M. Garcia"/>
    <x v="10"/>
    <d v="2019-04-19T00:00:00"/>
    <x v="12"/>
    <x v="1"/>
    <s v="137 Min"/>
    <x v="5"/>
    <n v="8.6999999999999993"/>
    <n v="20235222"/>
    <n v="1512670"/>
    <n v="77"/>
    <x v="5"/>
    <x v="3"/>
  </r>
  <r>
    <x v="736"/>
    <s v="Ocean Code 1467"/>
    <x v="0"/>
    <s v="S. Patel"/>
    <x v="4"/>
    <d v="2019-04-20T00:00:00"/>
    <x v="12"/>
    <x v="2"/>
    <s v="179 Min"/>
    <x v="5"/>
    <n v="6.5"/>
    <n v="8646096"/>
    <n v="4188219"/>
    <n v="49"/>
    <x v="8"/>
    <x v="0"/>
  </r>
  <r>
    <x v="737"/>
    <s v="Fire Empire 216"/>
    <x v="0"/>
    <s v="Unknown"/>
    <x v="7"/>
    <d v="2019-04-28T00:00:00"/>
    <x v="26"/>
    <x v="2"/>
    <s v="145 Min"/>
    <x v="1"/>
    <n v="9.6"/>
    <n v="13835809"/>
    <n v="3073479"/>
    <n v="56"/>
    <x v="1"/>
    <x v="2"/>
  </r>
  <r>
    <x v="738"/>
    <s v="Echo Line 812"/>
    <x v="0"/>
    <s v="L. Brown"/>
    <x v="3"/>
    <d v="2019-04-28T00:00:00"/>
    <x v="10"/>
    <x v="6"/>
    <s v="144 Min"/>
    <x v="5"/>
    <n v="8.6"/>
    <n v="7745717"/>
    <n v="2450578"/>
    <n v="97"/>
    <x v="6"/>
    <x v="0"/>
  </r>
  <r>
    <x v="739"/>
    <s v="Golden Game 1571"/>
    <x v="2"/>
    <s v="N. Singh"/>
    <x v="2"/>
    <d v="2019-04-30T00:00:00"/>
    <x v="25"/>
    <x v="3"/>
    <s v="3 Seasons"/>
    <x v="0"/>
    <n v="6.5"/>
    <n v="3162270"/>
    <n v="3650622"/>
    <n v="54"/>
    <x v="0"/>
    <x v="4"/>
  </r>
  <r>
    <x v="740"/>
    <s v="Future Night 284"/>
    <x v="1"/>
    <s v="J. Lee"/>
    <x v="9"/>
    <d v="2019-05-02T00:00:00"/>
    <x v="24"/>
    <x v="3"/>
    <s v="4 Seasons"/>
    <x v="3"/>
    <n v="9.1"/>
    <n v="21687337"/>
    <n v="4782073"/>
    <n v="67"/>
    <x v="2"/>
    <x v="4"/>
  </r>
  <r>
    <x v="741"/>
    <s v="Hidden Dream 1418"/>
    <x v="1"/>
    <s v="P. Johnson"/>
    <x v="6"/>
    <d v="2019-05-05T00:00:00"/>
    <x v="9"/>
    <x v="4"/>
    <s v="8 Seasons"/>
    <x v="5"/>
    <n v="6.5"/>
    <n v="11277638"/>
    <n v="2041835"/>
    <n v="120"/>
    <x v="3"/>
    <x v="0"/>
  </r>
  <r>
    <x v="742"/>
    <s v="Ocean Empire 749"/>
    <x v="0"/>
    <s v="Unknown"/>
    <x v="10"/>
    <d v="2019-05-16T00:00:00"/>
    <x v="24"/>
    <x v="2"/>
    <s v="175 Min"/>
    <x v="0"/>
    <n v="7.9"/>
    <n v="9642644"/>
    <n v="976903"/>
    <n v="91"/>
    <x v="8"/>
    <x v="0"/>
  </r>
  <r>
    <x v="743"/>
    <s v="Fire Code 828"/>
    <x v="0"/>
    <s v="M. Garcia"/>
    <x v="7"/>
    <d v="2019-05-17T00:00:00"/>
    <x v="1"/>
    <x v="3"/>
    <s v="93 Min"/>
    <x v="4"/>
    <n v="9.4"/>
    <n v="4360432"/>
    <n v="1607616"/>
    <n v="100"/>
    <x v="3"/>
    <x v="3"/>
  </r>
  <r>
    <x v="744"/>
    <s v="Shadow World 369"/>
    <x v="1"/>
    <s v="D. Kim"/>
    <x v="5"/>
    <d v="2019-05-23T00:00:00"/>
    <x v="0"/>
    <x v="6"/>
    <s v="7 Seasons"/>
    <x v="2"/>
    <n v="6.3"/>
    <n v="12809743"/>
    <n v="2335240"/>
    <n v="56"/>
    <x v="7"/>
    <x v="3"/>
  </r>
  <r>
    <x v="745"/>
    <s v="Echo Rise 479"/>
    <x v="0"/>
    <s v="K. Tanaka"/>
    <x v="2"/>
    <d v="2019-05-24T00:00:00"/>
    <x v="19"/>
    <x v="9"/>
    <s v="97 Min"/>
    <x v="9"/>
    <n v="7.8"/>
    <n v="20751890"/>
    <n v="2045511"/>
    <n v="64"/>
    <x v="6"/>
    <x v="3"/>
  </r>
  <r>
    <x v="746"/>
    <s v="Crimson Chronicles 1512"/>
    <x v="0"/>
    <s v="J. Lee"/>
    <x v="2"/>
    <d v="2019-05-31T00:00:00"/>
    <x v="8"/>
    <x v="2"/>
    <s v="128 Min"/>
    <x v="3"/>
    <n v="9.6"/>
    <n v="3504531"/>
    <n v="559472"/>
    <n v="91"/>
    <x v="3"/>
    <x v="4"/>
  </r>
  <r>
    <x v="747"/>
    <s v="Crimson Empire 640"/>
    <x v="1"/>
    <s v="J. Lee"/>
    <x v="0"/>
    <d v="2019-06-03T00:00:00"/>
    <x v="26"/>
    <x v="2"/>
    <s v="4 Seasons"/>
    <x v="4"/>
    <n v="5.0999999999999996"/>
    <n v="-591"/>
    <n v="3395690"/>
    <n v="69"/>
    <x v="5"/>
    <x v="1"/>
  </r>
  <r>
    <x v="748"/>
    <s v="Crimson Truth 49"/>
    <x v="0"/>
    <s v="P. Johnson"/>
    <x v="7"/>
    <d v="2019-06-05T00:00:00"/>
    <x v="16"/>
    <x v="1"/>
    <s v="119 Min"/>
    <x v="5"/>
    <n v="7.7"/>
    <n v="2905560"/>
    <n v="1345493"/>
    <n v="94"/>
    <x v="2"/>
    <x v="3"/>
  </r>
  <r>
    <x v="749"/>
    <s v="Lost Signal 1376"/>
    <x v="0"/>
    <s v="J. Lee"/>
    <x v="12"/>
    <d v="2019-06-06T00:00:00"/>
    <x v="27"/>
    <x v="9"/>
    <s v="176 Min"/>
    <x v="0"/>
    <n v="8.1999999999999993"/>
    <n v="14690359"/>
    <n v="2466370"/>
    <n v="57"/>
    <x v="8"/>
    <x v="2"/>
  </r>
  <r>
    <x v="750"/>
    <s v="Shadow Valley 1706"/>
    <x v="0"/>
    <s v="R. Kumar"/>
    <x v="3"/>
    <d v="2019-06-07T00:00:00"/>
    <x v="4"/>
    <x v="8"/>
    <s v="132 Min"/>
    <x v="8"/>
    <n v="8"/>
    <n v="8007411"/>
    <n v="4114994"/>
    <n v="66"/>
    <x v="5"/>
    <x v="2"/>
  </r>
  <r>
    <x v="751"/>
    <s v="Golden Edge 321"/>
    <x v="1"/>
    <s v="D. Kim"/>
    <x v="9"/>
    <d v="2019-06-08T00:00:00"/>
    <x v="12"/>
    <x v="8"/>
    <s v="Unknown"/>
    <x v="7"/>
    <n v="8.4"/>
    <n v="5813431"/>
    <n v="3473318"/>
    <n v="47"/>
    <x v="9"/>
    <x v="3"/>
  </r>
  <r>
    <x v="752"/>
    <s v="Golden Valley 1984"/>
    <x v="0"/>
    <s v="D. Kim"/>
    <x v="10"/>
    <d v="2019-06-08T00:00:00"/>
    <x v="13"/>
    <x v="9"/>
    <s v="106 Min"/>
    <x v="3"/>
    <n v="6.6"/>
    <n v="17591830"/>
    <n v="1405904"/>
    <n v="45"/>
    <x v="0"/>
    <x v="0"/>
  </r>
  <r>
    <x v="753"/>
    <s v="Wild Truth 282"/>
    <x v="1"/>
    <s v="D. Kim"/>
    <x v="11"/>
    <d v="2019-06-09T00:00:00"/>
    <x v="1"/>
    <x v="8"/>
    <s v="8 Seasons"/>
    <x v="2"/>
    <n v="6.3"/>
    <n v="9469002"/>
    <n v="3162500"/>
    <n v="93"/>
    <x v="2"/>
    <x v="4"/>
  </r>
  <r>
    <x v="754"/>
    <s v="Ocean Mission 1415"/>
    <x v="2"/>
    <s v="J. Lee"/>
    <x v="7"/>
    <d v="2019-06-09T00:00:00"/>
    <x v="1"/>
    <x v="5"/>
    <s v="8 Seasons"/>
    <x v="0"/>
    <n v="5.6"/>
    <n v="13792474"/>
    <n v="2389078"/>
    <n v="53"/>
    <x v="3"/>
    <x v="4"/>
  </r>
  <r>
    <x v="755"/>
    <s v="Lost Zone 1072"/>
    <x v="1"/>
    <s v="M. Garcia"/>
    <x v="3"/>
    <d v="2019-06-10T00:00:00"/>
    <x v="14"/>
    <x v="7"/>
    <s v="7 Seasons"/>
    <x v="5"/>
    <n v="4.7"/>
    <n v="15385278"/>
    <n v="3525187"/>
    <n v="65"/>
    <x v="6"/>
    <x v="3"/>
  </r>
  <r>
    <x v="756"/>
    <s v="Last Truth 1562"/>
    <x v="1"/>
    <s v="L. Brown"/>
    <x v="3"/>
    <d v="2019-06-14T00:00:00"/>
    <x v="3"/>
    <x v="4"/>
    <s v="2 Seasons"/>
    <x v="2"/>
    <n v="8.9"/>
    <n v="13937804"/>
    <n v="2990018"/>
    <n v="72"/>
    <x v="7"/>
    <x v="2"/>
  </r>
  <r>
    <x v="757"/>
    <s v="Royal Code 1805"/>
    <x v="0"/>
    <s v="M. Garcia"/>
    <x v="8"/>
    <d v="2019-06-19T00:00:00"/>
    <x v="19"/>
    <x v="9"/>
    <s v="145 Min"/>
    <x v="8"/>
    <n v="7.4"/>
    <n v="12898939"/>
    <n v="164327"/>
    <n v="65"/>
    <x v="9"/>
    <x v="3"/>
  </r>
  <r>
    <x v="758"/>
    <s v="Infinite Story 11"/>
    <x v="2"/>
    <s v="K. Tanaka"/>
    <x v="7"/>
    <d v="2019-06-21T00:00:00"/>
    <x v="3"/>
    <x v="5"/>
    <s v="2 Seasons"/>
    <x v="10"/>
    <n v="9.5"/>
    <n v="15551088"/>
    <n v="3368076"/>
    <n v="45"/>
    <x v="3"/>
    <x v="1"/>
  </r>
  <r>
    <x v="759"/>
    <s v="Crimson Edge 1293"/>
    <x v="0"/>
    <s v="N. Singh"/>
    <x v="12"/>
    <d v="2019-06-22T00:00:00"/>
    <x v="15"/>
    <x v="7"/>
    <s v="136 Min"/>
    <x v="1"/>
    <n v="7.3"/>
    <n v="22338592"/>
    <n v="1672034"/>
    <n v="93"/>
    <x v="2"/>
    <x v="3"/>
  </r>
  <r>
    <x v="760"/>
    <s v="Broken Dream 195"/>
    <x v="1"/>
    <s v="R. Kumar"/>
    <x v="8"/>
    <d v="2019-06-26T00:00:00"/>
    <x v="26"/>
    <x v="3"/>
    <s v="2 Seasons"/>
    <x v="3"/>
    <n v="6.8"/>
    <n v="24319431"/>
    <n v="452030"/>
    <n v="50"/>
    <x v="7"/>
    <x v="1"/>
  </r>
  <r>
    <x v="761"/>
    <s v="Urban Empire 1276"/>
    <x v="0"/>
    <s v="L. Brown"/>
    <x v="1"/>
    <d v="2019-07-02T00:00:00"/>
    <x v="10"/>
    <x v="0"/>
    <s v="93 Min"/>
    <x v="0"/>
    <n v="9.6"/>
    <n v="21096532"/>
    <n v="3550692"/>
    <n v="59"/>
    <x v="7"/>
    <x v="3"/>
  </r>
  <r>
    <x v="762"/>
    <s v="Hidden Night 516"/>
    <x v="2"/>
    <s v="N. Singh"/>
    <x v="6"/>
    <d v="2019-07-08T00:00:00"/>
    <x v="20"/>
    <x v="9"/>
    <s v="7 Seasons"/>
    <x v="3"/>
    <n v="6.6"/>
    <n v="9582240"/>
    <n v="4861559"/>
    <n v="76"/>
    <x v="9"/>
    <x v="4"/>
  </r>
  <r>
    <x v="763"/>
    <s v="Last Game 591"/>
    <x v="1"/>
    <s v="S. Patel"/>
    <x v="2"/>
    <d v="2019-07-08T00:00:00"/>
    <x v="13"/>
    <x v="0"/>
    <s v="1 Seasons"/>
    <x v="2"/>
    <n v="7.7"/>
    <n v="23858823"/>
    <n v="3658880"/>
    <n v="61"/>
    <x v="1"/>
    <x v="1"/>
  </r>
  <r>
    <x v="764"/>
    <s v="Last Rise 377"/>
    <x v="1"/>
    <s v="A. Smith"/>
    <x v="7"/>
    <d v="2019-07-09T00:00:00"/>
    <x v="2"/>
    <x v="0"/>
    <s v="3 Seasons"/>
    <x v="7"/>
    <n v="5.0999999999999996"/>
    <n v="24389066"/>
    <n v="1967945"/>
    <n v="79"/>
    <x v="4"/>
    <x v="2"/>
  </r>
  <r>
    <x v="765"/>
    <s v="Beyond Mission 1194"/>
    <x v="0"/>
    <s v="J. Lee"/>
    <x v="4"/>
    <d v="2019-07-09T00:00:00"/>
    <x v="5"/>
    <x v="1"/>
    <s v="82 Min"/>
    <x v="2"/>
    <n v="6.9"/>
    <n v="19355401"/>
    <n v="2573333"/>
    <n v="44"/>
    <x v="9"/>
    <x v="1"/>
  </r>
  <r>
    <x v="766"/>
    <s v="Crimson Zone 1823"/>
    <x v="1"/>
    <s v="J. Lee"/>
    <x v="1"/>
    <d v="2019-07-15T00:00:00"/>
    <x v="9"/>
    <x v="3"/>
    <s v="1 Seasons"/>
    <x v="6"/>
    <n v="9.3000000000000007"/>
    <n v="2570601"/>
    <n v="1178791"/>
    <n v="44"/>
    <x v="1"/>
    <x v="0"/>
  </r>
  <r>
    <x v="767"/>
    <s v="Lost Rise 1004"/>
    <x v="1"/>
    <s v="D. Kim"/>
    <x v="1"/>
    <d v="2019-07-18T00:00:00"/>
    <x v="5"/>
    <x v="0"/>
    <s v="8 Seasons"/>
    <x v="2"/>
    <n v="6.6"/>
    <n v="21484264"/>
    <n v="4244005"/>
    <n v="87"/>
    <x v="9"/>
    <x v="4"/>
  </r>
  <r>
    <x v="768"/>
    <s v="Lost Signal 394"/>
    <x v="0"/>
    <s v="Unknown"/>
    <x v="3"/>
    <d v="2019-07-19T00:00:00"/>
    <x v="20"/>
    <x v="2"/>
    <s v="149 Min"/>
    <x v="6"/>
    <n v="7"/>
    <n v="9277663"/>
    <n v="442824"/>
    <n v="78"/>
    <x v="2"/>
    <x v="2"/>
  </r>
  <r>
    <x v="769"/>
    <s v="Silent Journey 657"/>
    <x v="1"/>
    <s v="D. Kim"/>
    <x v="1"/>
    <d v="2019-07-19T00:00:00"/>
    <x v="23"/>
    <x v="6"/>
    <s v="6 Seasons"/>
    <x v="0"/>
    <n v="7"/>
    <n v="5897594"/>
    <n v="2496776"/>
    <n v="60"/>
    <x v="9"/>
    <x v="2"/>
  </r>
  <r>
    <x v="770"/>
    <s v="Shadow Mission 756"/>
    <x v="0"/>
    <s v="Unknown"/>
    <x v="12"/>
    <d v="2019-07-21T00:00:00"/>
    <x v="8"/>
    <x v="8"/>
    <s v="150 Min"/>
    <x v="9"/>
    <n v="5.3"/>
    <n v="20595834"/>
    <n v="2271923"/>
    <n v="45"/>
    <x v="7"/>
    <x v="1"/>
  </r>
  <r>
    <x v="771"/>
    <s v="Royal Empire 957"/>
    <x v="0"/>
    <s v="Unknown"/>
    <x v="6"/>
    <d v="2019-07-21T00:00:00"/>
    <x v="26"/>
    <x v="5"/>
    <s v="107 Min"/>
    <x v="5"/>
    <n v="5.5"/>
    <n v="10792145"/>
    <n v="1402587"/>
    <n v="95"/>
    <x v="0"/>
    <x v="1"/>
  </r>
  <r>
    <x v="772"/>
    <s v="Golden Files 1902"/>
    <x v="2"/>
    <s v="D. Kim"/>
    <x v="3"/>
    <d v="2019-07-22T00:00:00"/>
    <x v="17"/>
    <x v="0"/>
    <s v="7 Seasons"/>
    <x v="1"/>
    <n v="5.6"/>
    <n v="21379154"/>
    <n v="3625605"/>
    <n v="72"/>
    <x v="2"/>
    <x v="4"/>
  </r>
  <r>
    <x v="773"/>
    <s v="Broken Game 164"/>
    <x v="1"/>
    <s v="Unknown"/>
    <x v="9"/>
    <d v="2019-07-23T00:00:00"/>
    <x v="17"/>
    <x v="7"/>
    <s v="7 Seasons"/>
    <x v="1"/>
    <n v="4.9000000000000004"/>
    <n v="6055355"/>
    <n v="120042"/>
    <n v="75"/>
    <x v="3"/>
    <x v="0"/>
  </r>
  <r>
    <x v="774"/>
    <s v="Hidden Dream 977"/>
    <x v="1"/>
    <s v="Unknown"/>
    <x v="1"/>
    <d v="2019-07-24T00:00:00"/>
    <x v="15"/>
    <x v="3"/>
    <s v="8 Seasons"/>
    <x v="8"/>
    <n v="8.6"/>
    <n v="11341238"/>
    <n v="4984553"/>
    <n v="59"/>
    <x v="4"/>
    <x v="1"/>
  </r>
  <r>
    <x v="775"/>
    <s v="Royal Quest 295"/>
    <x v="1"/>
    <s v="P. Johnson"/>
    <x v="12"/>
    <d v="2019-07-30T00:00:00"/>
    <x v="7"/>
    <x v="7"/>
    <s v="7 Seasons"/>
    <x v="0"/>
    <n v="4.9000000000000004"/>
    <n v="5897280"/>
    <n v="3023939"/>
    <n v="79"/>
    <x v="2"/>
    <x v="0"/>
  </r>
  <r>
    <x v="776"/>
    <s v="Infinite Quest 1152"/>
    <x v="1"/>
    <s v="P. Johnson"/>
    <x v="8"/>
    <d v="2019-08-02T00:00:00"/>
    <x v="15"/>
    <x v="0"/>
    <s v="3 Seasons"/>
    <x v="0"/>
    <n v="8.1"/>
    <n v="12543508"/>
    <n v="83613"/>
    <n v="79"/>
    <x v="1"/>
    <x v="4"/>
  </r>
  <r>
    <x v="777"/>
    <s v="Future Zone 1247"/>
    <x v="0"/>
    <s v="A. Smith"/>
    <x v="1"/>
    <d v="2019-08-06T00:00:00"/>
    <x v="16"/>
    <x v="9"/>
    <s v="174 Min"/>
    <x v="8"/>
    <n v="8.6999999999999993"/>
    <n v="21838555"/>
    <n v="517885"/>
    <n v="79"/>
    <x v="5"/>
    <x v="4"/>
  </r>
  <r>
    <x v="778"/>
    <s v="Hidden Chronicles 71"/>
    <x v="1"/>
    <s v="R. Kumar"/>
    <x v="7"/>
    <d v="2019-08-07T00:00:00"/>
    <x v="24"/>
    <x v="1"/>
    <s v="6 Seasons"/>
    <x v="10"/>
    <n v="6.7"/>
    <n v="7059430"/>
    <n v="1542848"/>
    <n v="88"/>
    <x v="1"/>
    <x v="3"/>
  </r>
  <r>
    <x v="779"/>
    <s v="Future Empire 1739"/>
    <x v="1"/>
    <s v="Unknown"/>
    <x v="3"/>
    <d v="2019-08-16T00:00:00"/>
    <x v="27"/>
    <x v="2"/>
    <s v="3 Seasons"/>
    <x v="0"/>
    <n v="5"/>
    <n v="15272201"/>
    <n v="279976"/>
    <n v="80"/>
    <x v="7"/>
    <x v="1"/>
  </r>
  <r>
    <x v="780"/>
    <s v="Shadow Empire 548"/>
    <x v="1"/>
    <s v="A. Smith"/>
    <x v="8"/>
    <d v="2019-08-20T00:00:00"/>
    <x v="11"/>
    <x v="5"/>
    <s v="1 Seasons"/>
    <x v="8"/>
    <n v="5"/>
    <n v="10663172"/>
    <n v="4933045"/>
    <n v="48"/>
    <x v="3"/>
    <x v="0"/>
  </r>
  <r>
    <x v="781"/>
    <s v="Urban Legacy 1926"/>
    <x v="1"/>
    <s v="S. Patel"/>
    <x v="11"/>
    <d v="2019-08-23T00:00:00"/>
    <x v="25"/>
    <x v="1"/>
    <s v="5 Seasons"/>
    <x v="2"/>
    <n v="4.8"/>
    <n v="10860365"/>
    <n v="924379"/>
    <n v="92"/>
    <x v="3"/>
    <x v="0"/>
  </r>
  <r>
    <x v="782"/>
    <s v="Echo Game 199"/>
    <x v="1"/>
    <s v="R. Kumar"/>
    <x v="2"/>
    <d v="2019-08-24T00:00:00"/>
    <x v="22"/>
    <x v="3"/>
    <s v="4 Seasons"/>
    <x v="6"/>
    <n v="8.1"/>
    <n v="8027190"/>
    <n v="851743"/>
    <n v="57"/>
    <x v="4"/>
    <x v="4"/>
  </r>
  <r>
    <x v="783"/>
    <s v="Crimson Files 582"/>
    <x v="0"/>
    <s v="L. Brown"/>
    <x v="6"/>
    <d v="2019-08-31T00:00:00"/>
    <x v="12"/>
    <x v="6"/>
    <s v="76 Min"/>
    <x v="1"/>
    <n v="7.2"/>
    <n v="16692343"/>
    <n v="4902655"/>
    <n v="68"/>
    <x v="9"/>
    <x v="1"/>
  </r>
  <r>
    <x v="784"/>
    <s v="Fire Dream 1349"/>
    <x v="2"/>
    <s v="P. Johnson"/>
    <x v="6"/>
    <d v="2019-09-01T00:00:00"/>
    <x v="18"/>
    <x v="9"/>
    <s v="6 Seasons"/>
    <x v="3"/>
    <n v="5.8"/>
    <n v="6789862"/>
    <n v="4910709"/>
    <n v="120"/>
    <x v="4"/>
    <x v="3"/>
  </r>
  <r>
    <x v="785"/>
    <s v="Crimson Files 1615"/>
    <x v="0"/>
    <s v="S. Patel"/>
    <x v="7"/>
    <d v="2019-09-01T00:00:00"/>
    <x v="25"/>
    <x v="3"/>
    <s v="89 Min"/>
    <x v="10"/>
    <n v="5.6"/>
    <n v="457716"/>
    <n v="2950724"/>
    <n v="54"/>
    <x v="0"/>
    <x v="1"/>
  </r>
  <r>
    <x v="786"/>
    <s v="Dark Quest 975"/>
    <x v="1"/>
    <s v="D. Kim"/>
    <x v="0"/>
    <d v="2019-09-09T00:00:00"/>
    <x v="13"/>
    <x v="0"/>
    <s v="1 Seasons"/>
    <x v="4"/>
    <n v="9.5"/>
    <n v="6983680"/>
    <n v="743045"/>
    <n v="59"/>
    <x v="0"/>
    <x v="1"/>
  </r>
  <r>
    <x v="787"/>
    <s v="Blue Signal 1777"/>
    <x v="0"/>
    <s v="D. Kim"/>
    <x v="3"/>
    <d v="2019-09-10T00:00:00"/>
    <x v="3"/>
    <x v="0"/>
    <s v="79 Min"/>
    <x v="8"/>
    <n v="4.7"/>
    <n v="13555676"/>
    <n v="4665027"/>
    <n v="46"/>
    <x v="6"/>
    <x v="1"/>
  </r>
  <r>
    <x v="788"/>
    <s v="Lost Code 1259"/>
    <x v="2"/>
    <s v="L. Brown"/>
    <x v="0"/>
    <d v="2019-09-21T00:00:00"/>
    <x v="10"/>
    <x v="3"/>
    <s v="1 Seasons"/>
    <x v="1"/>
    <n v="5.4"/>
    <n v="16913350"/>
    <n v="1234740"/>
    <n v="90"/>
    <x v="3"/>
    <x v="2"/>
  </r>
  <r>
    <x v="789"/>
    <s v="Hidden Valley 1037"/>
    <x v="1"/>
    <s v="D. Kim"/>
    <x v="12"/>
    <d v="2019-09-22T00:00:00"/>
    <x v="24"/>
    <x v="2"/>
    <s v="8 Seasons"/>
    <x v="8"/>
    <n v="4.7"/>
    <n v="22315968"/>
    <n v="22677"/>
    <n v="46"/>
    <x v="7"/>
    <x v="2"/>
  </r>
  <r>
    <x v="790"/>
    <s v="Broken Night 78"/>
    <x v="2"/>
    <s v="L. Brown"/>
    <x v="9"/>
    <d v="2019-09-23T00:00:00"/>
    <x v="6"/>
    <x v="5"/>
    <s v="6 Seasons"/>
    <x v="3"/>
    <n v="6.1"/>
    <n v="13556920"/>
    <n v="2800461"/>
    <n v="57"/>
    <x v="5"/>
    <x v="4"/>
  </r>
  <r>
    <x v="791"/>
    <s v="Golden Mission 1116"/>
    <x v="0"/>
    <s v="M. Garcia"/>
    <x v="0"/>
    <d v="2019-10-01T00:00:00"/>
    <x v="23"/>
    <x v="3"/>
    <s v="117 Min"/>
    <x v="3"/>
    <n v="7.4"/>
    <n v="-189"/>
    <n v="3231644"/>
    <n v="46"/>
    <x v="5"/>
    <x v="2"/>
  </r>
  <r>
    <x v="792"/>
    <s v="Silent Empire 1503"/>
    <x v="0"/>
    <s v="P. Johnson"/>
    <x v="11"/>
    <d v="2019-10-05T00:00:00"/>
    <x v="0"/>
    <x v="3"/>
    <s v="177 Min"/>
    <x v="3"/>
    <n v="7.8"/>
    <n v="4867221"/>
    <n v="4487481"/>
    <n v="54"/>
    <x v="2"/>
    <x v="1"/>
  </r>
  <r>
    <x v="793"/>
    <s v="Hidden Truth 1741"/>
    <x v="2"/>
    <s v="P. Johnson"/>
    <x v="7"/>
    <d v="2019-10-05T00:00:00"/>
    <x v="20"/>
    <x v="4"/>
    <s v="1 Seasons"/>
    <x v="8"/>
    <n v="9.3000000000000007"/>
    <n v="2088286"/>
    <n v="2581911"/>
    <n v="79"/>
    <x v="9"/>
    <x v="3"/>
  </r>
  <r>
    <x v="794"/>
    <s v="Echo Story 655"/>
    <x v="0"/>
    <s v="J. Lee"/>
    <x v="4"/>
    <d v="2019-10-06T00:00:00"/>
    <x v="6"/>
    <x v="7"/>
    <s v="82 Min"/>
    <x v="3"/>
    <n v="8.3000000000000007"/>
    <n v="7858007"/>
    <n v="3364777"/>
    <n v="47"/>
    <x v="0"/>
    <x v="3"/>
  </r>
  <r>
    <x v="795"/>
    <s v="Beyond Line 267"/>
    <x v="1"/>
    <s v="S. Patel"/>
    <x v="9"/>
    <d v="2019-10-11T00:00:00"/>
    <x v="20"/>
    <x v="2"/>
    <s v="1 Seasons"/>
    <x v="2"/>
    <n v="8.4"/>
    <n v="7855189"/>
    <n v="3626333"/>
    <n v="83"/>
    <x v="4"/>
    <x v="4"/>
  </r>
  <r>
    <x v="796"/>
    <s v="Echo Valley 1144"/>
    <x v="1"/>
    <s v="J. Lee"/>
    <x v="3"/>
    <d v="2019-10-11T00:00:00"/>
    <x v="22"/>
    <x v="3"/>
    <s v="2 Seasons"/>
    <x v="7"/>
    <n v="8.8000000000000007"/>
    <n v="11078217"/>
    <n v="1335283"/>
    <n v="52"/>
    <x v="8"/>
    <x v="1"/>
  </r>
  <r>
    <x v="797"/>
    <s v="Royal Mission 1781"/>
    <x v="0"/>
    <s v="D. Kim"/>
    <x v="6"/>
    <d v="2019-10-14T00:00:00"/>
    <x v="20"/>
    <x v="7"/>
    <s v="97 Min"/>
    <x v="6"/>
    <n v="5"/>
    <n v="-753"/>
    <n v="1535146"/>
    <n v="69"/>
    <x v="5"/>
    <x v="1"/>
  </r>
  <r>
    <x v="798"/>
    <s v="Beyond Dream 236"/>
    <x v="2"/>
    <s v="D. Kim"/>
    <x v="9"/>
    <d v="2019-10-15T00:00:00"/>
    <x v="19"/>
    <x v="3"/>
    <s v="4 Seasons"/>
    <x v="8"/>
    <n v="8.1"/>
    <n v="7854376"/>
    <n v="3526487"/>
    <n v="80"/>
    <x v="8"/>
    <x v="2"/>
  </r>
  <r>
    <x v="799"/>
    <s v="Royal Chronicles 448"/>
    <x v="0"/>
    <s v="A. Smith"/>
    <x v="0"/>
    <d v="2019-10-31T00:00:00"/>
    <x v="3"/>
    <x v="7"/>
    <s v="113 Min"/>
    <x v="1"/>
    <n v="9.8000000000000007"/>
    <n v="10781460"/>
    <n v="1177729"/>
    <n v="48"/>
    <x v="7"/>
    <x v="4"/>
  </r>
  <r>
    <x v="800"/>
    <s v="Crimson Empire 520"/>
    <x v="2"/>
    <s v="N. Singh"/>
    <x v="0"/>
    <d v="2019-11-01T00:00:00"/>
    <x v="20"/>
    <x v="9"/>
    <s v="Unknown"/>
    <x v="3"/>
    <n v="9.1999999999999993"/>
    <n v="14082232"/>
    <n v="215815"/>
    <n v="60"/>
    <x v="0"/>
    <x v="2"/>
  </r>
  <r>
    <x v="801"/>
    <s v="Broken Dream 641"/>
    <x v="1"/>
    <s v="L. Brown"/>
    <x v="2"/>
    <d v="2019-11-01T00:00:00"/>
    <x v="4"/>
    <x v="4"/>
    <s v="8 Seasons"/>
    <x v="4"/>
    <n v="6.8"/>
    <n v="6247316"/>
    <n v="2521977"/>
    <n v="100"/>
    <x v="1"/>
    <x v="4"/>
  </r>
  <r>
    <x v="802"/>
    <s v="Dark Legacy 787"/>
    <x v="0"/>
    <s v="L. Brown"/>
    <x v="7"/>
    <d v="2019-11-01T00:00:00"/>
    <x v="8"/>
    <x v="8"/>
    <s v="156 Min"/>
    <x v="3"/>
    <n v="8.3000000000000007"/>
    <n v="21786897"/>
    <n v="1268001"/>
    <n v="51"/>
    <x v="6"/>
    <x v="0"/>
  </r>
  <r>
    <x v="803"/>
    <s v="Wild World 418"/>
    <x v="2"/>
    <s v="N. Singh"/>
    <x v="9"/>
    <d v="2019-11-03T00:00:00"/>
    <x v="15"/>
    <x v="0"/>
    <s v="7 Seasons"/>
    <x v="2"/>
    <n v="4.9000000000000004"/>
    <n v="6073054"/>
    <n v="4350610"/>
    <n v="120"/>
    <x v="8"/>
    <x v="4"/>
  </r>
  <r>
    <x v="804"/>
    <s v="Infinite Mission 1213"/>
    <x v="1"/>
    <s v="M. Garcia"/>
    <x v="3"/>
    <d v="2019-11-05T00:00:00"/>
    <x v="6"/>
    <x v="4"/>
    <s v="3 Seasons"/>
    <x v="4"/>
    <n v="4.8"/>
    <n v="22598783"/>
    <n v="4785079"/>
    <n v="72"/>
    <x v="6"/>
    <x v="2"/>
  </r>
  <r>
    <x v="805"/>
    <s v="Broken Empire 1338"/>
    <x v="0"/>
    <s v="L. Brown"/>
    <x v="0"/>
    <d v="2019-11-05T00:00:00"/>
    <x v="22"/>
    <x v="1"/>
    <s v="Unknown"/>
    <x v="4"/>
    <n v="5.5"/>
    <n v="18638453"/>
    <n v="2626005"/>
    <n v="99"/>
    <x v="7"/>
    <x v="4"/>
  </r>
  <r>
    <x v="806"/>
    <s v="Wild Chronicles 379"/>
    <x v="2"/>
    <s v="J. Lee"/>
    <x v="11"/>
    <d v="2019-11-10T00:00:00"/>
    <x v="9"/>
    <x v="0"/>
    <s v="2 Seasons"/>
    <x v="5"/>
    <n v="6.5"/>
    <n v="5151369"/>
    <n v="2345455"/>
    <n v="65"/>
    <x v="6"/>
    <x v="3"/>
  </r>
  <r>
    <x v="807"/>
    <s v="Broken Story 1835"/>
    <x v="1"/>
    <s v="D. Kim"/>
    <x v="10"/>
    <d v="2019-11-10T00:00:00"/>
    <x v="2"/>
    <x v="1"/>
    <s v="5 Seasons"/>
    <x v="2"/>
    <n v="5.6"/>
    <n v="6908693"/>
    <n v="2430770"/>
    <n v="72"/>
    <x v="8"/>
    <x v="1"/>
  </r>
  <r>
    <x v="808"/>
    <s v="Last Zone 1049"/>
    <x v="0"/>
    <s v="K. Tanaka"/>
    <x v="11"/>
    <d v="2019-11-13T00:00:00"/>
    <x v="21"/>
    <x v="8"/>
    <s v="131 Min"/>
    <x v="3"/>
    <n v="8.6999999999999993"/>
    <n v="15537402"/>
    <n v="1096695"/>
    <n v="63"/>
    <x v="3"/>
    <x v="3"/>
  </r>
  <r>
    <x v="809"/>
    <s v="Silent Files 386"/>
    <x v="2"/>
    <s v="N. Singh"/>
    <x v="7"/>
    <d v="2019-11-14T00:00:00"/>
    <x v="4"/>
    <x v="2"/>
    <s v="8 Seasons"/>
    <x v="9"/>
    <n v="7.1"/>
    <n v="14136291"/>
    <n v="3934193"/>
    <n v="120"/>
    <x v="9"/>
    <x v="4"/>
  </r>
  <r>
    <x v="810"/>
    <s v="Shadow Files 1581"/>
    <x v="2"/>
    <s v="N. Singh"/>
    <x v="7"/>
    <d v="2019-11-20T00:00:00"/>
    <x v="21"/>
    <x v="0"/>
    <s v="1 Seasons"/>
    <x v="3"/>
    <n v="9.3000000000000007"/>
    <n v="15530132"/>
    <n v="1813257"/>
    <n v="66"/>
    <x v="5"/>
    <x v="3"/>
  </r>
  <r>
    <x v="811"/>
    <s v="Silent Valley 1864"/>
    <x v="0"/>
    <s v="P. Johnson"/>
    <x v="3"/>
    <d v="2019-11-21T00:00:00"/>
    <x v="5"/>
    <x v="7"/>
    <s v="160 Min"/>
    <x v="1"/>
    <n v="7.3"/>
    <n v="2166336"/>
    <n v="4236722"/>
    <n v="79"/>
    <x v="5"/>
    <x v="2"/>
  </r>
  <r>
    <x v="812"/>
    <s v="Hidden Journey 760"/>
    <x v="2"/>
    <s v="L. Brown"/>
    <x v="6"/>
    <d v="2019-11-22T00:00:00"/>
    <x v="11"/>
    <x v="4"/>
    <s v="3 Seasons"/>
    <x v="0"/>
    <n v="7.4"/>
    <n v="15787592"/>
    <n v="4235314"/>
    <n v="83"/>
    <x v="9"/>
    <x v="2"/>
  </r>
  <r>
    <x v="813"/>
    <s v="Broken Night 1650"/>
    <x v="0"/>
    <s v="M. Garcia"/>
    <x v="3"/>
    <d v="2019-11-25T00:00:00"/>
    <x v="4"/>
    <x v="5"/>
    <s v="146 Min"/>
    <x v="1"/>
    <n v="8.6999999999999993"/>
    <n v="13660381"/>
    <n v="3399980"/>
    <n v="97"/>
    <x v="5"/>
    <x v="1"/>
  </r>
  <r>
    <x v="814"/>
    <s v="Broken Mission 1148"/>
    <x v="2"/>
    <s v="Unknown"/>
    <x v="8"/>
    <d v="2019-11-26T00:00:00"/>
    <x v="25"/>
    <x v="0"/>
    <s v="5 Seasons"/>
    <x v="2"/>
    <n v="6.4"/>
    <n v="21207219"/>
    <n v="4630444"/>
    <n v="48"/>
    <x v="6"/>
    <x v="3"/>
  </r>
  <r>
    <x v="815"/>
    <s v="Future Files 1063"/>
    <x v="1"/>
    <s v="P. Johnson"/>
    <x v="3"/>
    <d v="2019-11-27T00:00:00"/>
    <x v="24"/>
    <x v="9"/>
    <s v="4 Seasons"/>
    <x v="3"/>
    <n v="5.7"/>
    <n v="24079358"/>
    <n v="4286065"/>
    <n v="75"/>
    <x v="0"/>
    <x v="1"/>
  </r>
  <r>
    <x v="816"/>
    <s v="Lost Empire 1005"/>
    <x v="2"/>
    <s v="L. Brown"/>
    <x v="3"/>
    <d v="2019-11-29T00:00:00"/>
    <x v="18"/>
    <x v="8"/>
    <s v="1 Seasons"/>
    <x v="2"/>
    <n v="5.8"/>
    <n v="16615215"/>
    <n v="405702"/>
    <n v="57"/>
    <x v="2"/>
    <x v="0"/>
  </r>
  <r>
    <x v="817"/>
    <s v="Royal Journey 1970"/>
    <x v="2"/>
    <s v="A. Smith"/>
    <x v="0"/>
    <d v="2019-11-29T00:00:00"/>
    <x v="18"/>
    <x v="9"/>
    <s v="2 Seasons"/>
    <x v="3"/>
    <n v="5.8"/>
    <n v="5318120"/>
    <n v="4797052"/>
    <n v="99"/>
    <x v="2"/>
    <x v="2"/>
  </r>
  <r>
    <x v="818"/>
    <s v="Last Story 853"/>
    <x v="2"/>
    <s v="S. Patel"/>
    <x v="8"/>
    <d v="2019-11-30T00:00:00"/>
    <x v="25"/>
    <x v="9"/>
    <s v="6 Seasons"/>
    <x v="7"/>
    <n v="7.5"/>
    <n v="6500147"/>
    <n v="4455288"/>
    <n v="67"/>
    <x v="4"/>
    <x v="3"/>
  </r>
  <r>
    <x v="819"/>
    <s v="Last Empire 665"/>
    <x v="0"/>
    <s v="P. Johnson"/>
    <x v="6"/>
    <d v="2019-12-02T00:00:00"/>
    <x v="5"/>
    <x v="2"/>
    <s v="161 Min"/>
    <x v="5"/>
    <n v="5.5"/>
    <n v="9048504"/>
    <n v="3233304"/>
    <n v="48"/>
    <x v="6"/>
    <x v="4"/>
  </r>
  <r>
    <x v="820"/>
    <s v="Crimson Quest 1226"/>
    <x v="0"/>
    <s v="M. Garcia"/>
    <x v="7"/>
    <d v="2019-12-02T00:00:00"/>
    <x v="2"/>
    <x v="3"/>
    <s v="112 Min"/>
    <x v="8"/>
    <n v="6.9"/>
    <n v="771392"/>
    <n v="1855968"/>
    <n v="76"/>
    <x v="7"/>
    <x v="4"/>
  </r>
  <r>
    <x v="821"/>
    <s v="Blue Journey 1497"/>
    <x v="0"/>
    <s v="M. Garcia"/>
    <x v="0"/>
    <d v="2019-12-02T00:00:00"/>
    <x v="15"/>
    <x v="4"/>
    <s v="125 Min"/>
    <x v="6"/>
    <n v="7.9"/>
    <n v="2746280"/>
    <n v="3654564"/>
    <n v="77"/>
    <x v="6"/>
    <x v="0"/>
  </r>
  <r>
    <x v="822"/>
    <s v="Secret Dream 927"/>
    <x v="1"/>
    <s v="Unknown"/>
    <x v="7"/>
    <d v="2019-12-04T00:00:00"/>
    <x v="7"/>
    <x v="1"/>
    <s v="2 Seasons"/>
    <x v="10"/>
    <n v="5.3"/>
    <n v="17273832"/>
    <n v="2894939"/>
    <n v="91"/>
    <x v="6"/>
    <x v="0"/>
  </r>
  <r>
    <x v="823"/>
    <s v="Future Valley 1125"/>
    <x v="1"/>
    <s v="D. Kim"/>
    <x v="7"/>
    <d v="2019-12-04T00:00:00"/>
    <x v="26"/>
    <x v="3"/>
    <s v="8 Seasons"/>
    <x v="3"/>
    <n v="9.1"/>
    <n v="10319839"/>
    <n v="4135576"/>
    <n v="74"/>
    <x v="9"/>
    <x v="0"/>
  </r>
  <r>
    <x v="824"/>
    <s v="Beyond Line 1802"/>
    <x v="0"/>
    <s v="A. Smith"/>
    <x v="2"/>
    <d v="2019-12-05T00:00:00"/>
    <x v="27"/>
    <x v="5"/>
    <s v="73 Min"/>
    <x v="1"/>
    <n v="9.1999999999999993"/>
    <n v="15723165"/>
    <n v="2762158"/>
    <n v="93"/>
    <x v="5"/>
    <x v="1"/>
  </r>
  <r>
    <x v="825"/>
    <s v="Echo Files 32"/>
    <x v="0"/>
    <s v="D. Kim"/>
    <x v="7"/>
    <d v="2019-12-08T00:00:00"/>
    <x v="6"/>
    <x v="3"/>
    <s v="96 Min"/>
    <x v="6"/>
    <n v="5"/>
    <n v="3066618"/>
    <n v="2679379"/>
    <n v="56"/>
    <x v="0"/>
    <x v="1"/>
  </r>
  <r>
    <x v="826"/>
    <s v="Royal Chronicles 679"/>
    <x v="0"/>
    <s v="M. Garcia"/>
    <x v="5"/>
    <d v="2019-12-08T00:00:00"/>
    <x v="24"/>
    <x v="3"/>
    <s v="175 Min"/>
    <x v="3"/>
    <n v="4.5999999999999996"/>
    <n v="11837233"/>
    <n v="3375099"/>
    <n v="73"/>
    <x v="5"/>
    <x v="0"/>
  </r>
  <r>
    <x v="827"/>
    <s v="Silent Valley 1421"/>
    <x v="1"/>
    <s v="N. Singh"/>
    <x v="4"/>
    <d v="2019-12-16T00:00:00"/>
    <x v="18"/>
    <x v="3"/>
    <s v="5 Seasons"/>
    <x v="6"/>
    <n v="9.1999999999999993"/>
    <n v="1043502"/>
    <n v="3795056"/>
    <n v="80"/>
    <x v="8"/>
    <x v="4"/>
  </r>
  <r>
    <x v="828"/>
    <s v="Ocean Rise 1705"/>
    <x v="1"/>
    <s v="S. Patel"/>
    <x v="1"/>
    <d v="2019-12-17T00:00:00"/>
    <x v="4"/>
    <x v="3"/>
    <s v="Unknown"/>
    <x v="2"/>
    <n v="6.1"/>
    <n v="15783546"/>
    <n v="4130634"/>
    <n v="76"/>
    <x v="8"/>
    <x v="4"/>
  </r>
  <r>
    <x v="829"/>
    <s v="Blue Story 691"/>
    <x v="2"/>
    <s v="J. Lee"/>
    <x v="8"/>
    <d v="2019-12-18T00:00:00"/>
    <x v="2"/>
    <x v="3"/>
    <s v="7 Seasons"/>
    <x v="4"/>
    <n v="5.5"/>
    <n v="10945164"/>
    <n v="3404461"/>
    <n v="40"/>
    <x v="2"/>
    <x v="2"/>
  </r>
  <r>
    <x v="830"/>
    <s v="Wild Truth 870"/>
    <x v="0"/>
    <s v="A. Smith"/>
    <x v="1"/>
    <d v="2019-12-18T00:00:00"/>
    <x v="7"/>
    <x v="1"/>
    <s v="86 Min"/>
    <x v="2"/>
    <n v="7.7"/>
    <n v="4084053"/>
    <n v="4549461"/>
    <n v="72"/>
    <x v="7"/>
    <x v="2"/>
  </r>
  <r>
    <x v="831"/>
    <s v="Broken Game 906"/>
    <x v="2"/>
    <s v="L. Brown"/>
    <x v="2"/>
    <d v="2019-12-18T00:00:00"/>
    <x v="24"/>
    <x v="5"/>
    <s v="1 Seasons"/>
    <x v="3"/>
    <n v="8"/>
    <n v="438643"/>
    <n v="21272"/>
    <n v="69"/>
    <x v="3"/>
    <x v="3"/>
  </r>
  <r>
    <x v="832"/>
    <s v="Ocean World 1537"/>
    <x v="0"/>
    <s v="Unknown"/>
    <x v="5"/>
    <d v="2019-12-18T00:00:00"/>
    <x v="26"/>
    <x v="5"/>
    <s v="70 Min"/>
    <x v="9"/>
    <n v="7.7"/>
    <n v="6862772"/>
    <n v="2945450"/>
    <n v="86"/>
    <x v="4"/>
    <x v="4"/>
  </r>
  <r>
    <x v="833"/>
    <s v="Future Journey 1206"/>
    <x v="0"/>
    <s v="J. Lee"/>
    <x v="3"/>
    <d v="2019-12-20T00:00:00"/>
    <x v="15"/>
    <x v="0"/>
    <s v="116 Min"/>
    <x v="2"/>
    <n v="5.9"/>
    <n v="16479978"/>
    <n v="3697840"/>
    <n v="95"/>
    <x v="1"/>
    <x v="0"/>
  </r>
  <r>
    <x v="834"/>
    <s v="Crimson Chronicles 104"/>
    <x v="0"/>
    <s v="P. Johnson"/>
    <x v="8"/>
    <d v="2019-12-21T00:00:00"/>
    <x v="25"/>
    <x v="9"/>
    <s v="106 Min"/>
    <x v="5"/>
    <n v="6.1"/>
    <n v="10428803"/>
    <n v="260730"/>
    <n v="54"/>
    <x v="2"/>
    <x v="3"/>
  </r>
  <r>
    <x v="835"/>
    <s v="Blue Signal 1804"/>
    <x v="0"/>
    <s v="K. Tanaka"/>
    <x v="4"/>
    <d v="2019-12-21T00:00:00"/>
    <x v="2"/>
    <x v="1"/>
    <s v="116 Min"/>
    <x v="3"/>
    <n v="8.6"/>
    <n v="7698717"/>
    <n v="2964080"/>
    <n v="81"/>
    <x v="7"/>
    <x v="2"/>
  </r>
  <r>
    <x v="836"/>
    <s v="Echo Rise 521"/>
    <x v="1"/>
    <s v="P. Johnson"/>
    <x v="3"/>
    <d v="2019-12-22T00:00:00"/>
    <x v="11"/>
    <x v="6"/>
    <s v="1 Seasons"/>
    <x v="4"/>
    <n v="9.4"/>
    <n v="11281098"/>
    <n v="2792648"/>
    <n v="120"/>
    <x v="7"/>
    <x v="2"/>
  </r>
  <r>
    <x v="837"/>
    <s v="Hidden Signal 560"/>
    <x v="0"/>
    <s v="A. Smith"/>
    <x v="7"/>
    <d v="2019-12-23T00:00:00"/>
    <x v="14"/>
    <x v="0"/>
    <s v="123 Min"/>
    <x v="6"/>
    <n v="4.5999999999999996"/>
    <n v="20181782"/>
    <n v="1512474"/>
    <n v="53"/>
    <x v="8"/>
    <x v="1"/>
  </r>
  <r>
    <x v="838"/>
    <s v="Shadow Signal 751"/>
    <x v="0"/>
    <s v="K. Tanaka"/>
    <x v="0"/>
    <d v="2019-12-23T00:00:00"/>
    <x v="20"/>
    <x v="3"/>
    <s v="101 Min"/>
    <x v="3"/>
    <n v="7.5"/>
    <n v="12696795"/>
    <n v="4047768"/>
    <n v="52"/>
    <x v="5"/>
    <x v="4"/>
  </r>
  <r>
    <x v="839"/>
    <s v="Crimson Quest 1000"/>
    <x v="0"/>
    <s v="A. Smith"/>
    <x v="8"/>
    <d v="2019-12-24T00:00:00"/>
    <x v="5"/>
    <x v="8"/>
    <s v="101 Min"/>
    <x v="3"/>
    <n v="9.1999999999999993"/>
    <n v="12842571"/>
    <n v="4022372"/>
    <n v="72"/>
    <x v="8"/>
    <x v="1"/>
  </r>
  <r>
    <x v="840"/>
    <s v="Ocean Zone 366"/>
    <x v="0"/>
    <s v="Unknown"/>
    <x v="6"/>
    <d v="2019-12-26T00:00:00"/>
    <x v="19"/>
    <x v="0"/>
    <s v="171 Min"/>
    <x v="1"/>
    <n v="4.5"/>
    <n v="12833817"/>
    <n v="1722471"/>
    <n v="92"/>
    <x v="4"/>
    <x v="1"/>
  </r>
  <r>
    <x v="841"/>
    <s v="Future Story 1833"/>
    <x v="2"/>
    <s v="P. Johnson"/>
    <x v="9"/>
    <d v="2019-12-26T00:00:00"/>
    <x v="21"/>
    <x v="0"/>
    <s v="5 Seasons"/>
    <x v="6"/>
    <n v="6.4"/>
    <n v="14850412"/>
    <n v="121659"/>
    <n v="66"/>
    <x v="2"/>
    <x v="2"/>
  </r>
  <r>
    <x v="842"/>
    <s v="Echo Code 447"/>
    <x v="0"/>
    <s v="Unknown"/>
    <x v="10"/>
    <d v="2019-12-27T00:00:00"/>
    <x v="26"/>
    <x v="2"/>
    <s v="100 Min"/>
    <x v="2"/>
    <n v="11.2"/>
    <n v="15128897"/>
    <n v="2201562"/>
    <n v="62"/>
    <x v="0"/>
    <x v="3"/>
  </r>
  <r>
    <x v="843"/>
    <s v="Dark Dream 496"/>
    <x v="1"/>
    <s v="Unknown"/>
    <x v="9"/>
    <d v="2019-12-27T00:00:00"/>
    <x v="0"/>
    <x v="7"/>
    <s v="6 Seasons"/>
    <x v="8"/>
    <n v="6.1"/>
    <n v="9728485"/>
    <n v="1953228"/>
    <n v="41"/>
    <x v="4"/>
    <x v="4"/>
  </r>
  <r>
    <x v="844"/>
    <s v="Royal Files 1345"/>
    <x v="0"/>
    <s v="D. Kim"/>
    <x v="12"/>
    <d v="2019-12-27T00:00:00"/>
    <x v="21"/>
    <x v="2"/>
    <s v="113 Min"/>
    <x v="9"/>
    <n v="8.8000000000000007"/>
    <n v="16268609"/>
    <n v="952720"/>
    <n v="44"/>
    <x v="9"/>
    <x v="2"/>
  </r>
  <r>
    <x v="845"/>
    <s v="Lost Quest 999"/>
    <x v="0"/>
    <s v="S. Patel"/>
    <x v="12"/>
    <d v="2019-12-30T00:00:00"/>
    <x v="8"/>
    <x v="2"/>
    <s v="154 Min"/>
    <x v="3"/>
    <n v="8.1999999999999993"/>
    <n v="1672112"/>
    <n v="4133457"/>
    <n v="88"/>
    <x v="2"/>
    <x v="4"/>
  </r>
  <r>
    <x v="846"/>
    <s v="Broken World 1843"/>
    <x v="2"/>
    <s v="Unknown"/>
    <x v="10"/>
    <d v="2020-01-01T00:00:00"/>
    <x v="16"/>
    <x v="2"/>
    <s v="1 Seasons"/>
    <x v="8"/>
    <n v="8.6"/>
    <n v="16678530"/>
    <n v="616028"/>
    <n v="64"/>
    <x v="2"/>
    <x v="4"/>
  </r>
  <r>
    <x v="847"/>
    <s v="Urban Valley 1009"/>
    <x v="0"/>
    <s v="A. Smith"/>
    <x v="8"/>
    <d v="2020-01-03T00:00:00"/>
    <x v="6"/>
    <x v="3"/>
    <s v="90 Min"/>
    <x v="5"/>
    <n v="6.8"/>
    <n v="14065570"/>
    <n v="3744985"/>
    <n v="79"/>
    <x v="6"/>
    <x v="3"/>
  </r>
  <r>
    <x v="848"/>
    <s v="Blue Files 1729"/>
    <x v="1"/>
    <s v="N. Singh"/>
    <x v="8"/>
    <d v="2020-01-04T00:00:00"/>
    <x v="24"/>
    <x v="0"/>
    <s v="1 Seasons"/>
    <x v="8"/>
    <n v="7.3"/>
    <n v="11544212"/>
    <n v="67951"/>
    <n v="63"/>
    <x v="1"/>
    <x v="2"/>
  </r>
  <r>
    <x v="849"/>
    <s v="Secret Game 769"/>
    <x v="0"/>
    <s v="J. Lee"/>
    <x v="6"/>
    <d v="2020-01-09T00:00:00"/>
    <x v="2"/>
    <x v="0"/>
    <s v="143 Min"/>
    <x v="8"/>
    <n v="7.9"/>
    <n v="9127468"/>
    <n v="1520423"/>
    <n v="88"/>
    <x v="8"/>
    <x v="2"/>
  </r>
  <r>
    <x v="850"/>
    <s v="Golden Zone 1541"/>
    <x v="1"/>
    <s v="S. Patel"/>
    <x v="4"/>
    <d v="2020-01-09T00:00:00"/>
    <x v="3"/>
    <x v="3"/>
    <s v="3 Seasons"/>
    <x v="2"/>
    <n v="9.1999999999999993"/>
    <n v="10001083"/>
    <n v="1138952"/>
    <n v="95"/>
    <x v="3"/>
    <x v="0"/>
  </r>
  <r>
    <x v="851"/>
    <s v="Lost Chronicles 281"/>
    <x v="1"/>
    <s v="Unknown"/>
    <x v="12"/>
    <d v="2020-01-10T00:00:00"/>
    <x v="9"/>
    <x v="8"/>
    <s v="3 Seasons"/>
    <x v="10"/>
    <n v="4.5999999999999996"/>
    <n v="23763067"/>
    <n v="2995237"/>
    <n v="50"/>
    <x v="9"/>
    <x v="0"/>
  </r>
  <r>
    <x v="852"/>
    <s v="Lost World 529"/>
    <x v="0"/>
    <s v="L. Brown"/>
    <x v="5"/>
    <d v="2020-01-10T00:00:00"/>
    <x v="18"/>
    <x v="1"/>
    <s v="120 Min"/>
    <x v="7"/>
    <n v="4.5999999999999996"/>
    <n v="17847598"/>
    <n v="1921577"/>
    <n v="58"/>
    <x v="7"/>
    <x v="0"/>
  </r>
  <r>
    <x v="853"/>
    <s v="Blue Line 642"/>
    <x v="1"/>
    <s v="A. Smith"/>
    <x v="9"/>
    <d v="2020-01-12T00:00:00"/>
    <x v="19"/>
    <x v="1"/>
    <s v="7 Seasons"/>
    <x v="4"/>
    <n v="8.1"/>
    <n v="21900519"/>
    <n v="3523133"/>
    <n v="50"/>
    <x v="6"/>
    <x v="0"/>
  </r>
  <r>
    <x v="854"/>
    <s v="Broken World 846"/>
    <x v="0"/>
    <s v="J. Lee"/>
    <x v="6"/>
    <d v="2020-01-13T00:00:00"/>
    <x v="15"/>
    <x v="8"/>
    <s v="116 Min"/>
    <x v="4"/>
    <n v="5.7"/>
    <n v="24080301"/>
    <n v="2123794"/>
    <n v="54"/>
    <x v="5"/>
    <x v="0"/>
  </r>
  <r>
    <x v="855"/>
    <s v="Future Rise 1435"/>
    <x v="0"/>
    <s v="S. Patel"/>
    <x v="10"/>
    <d v="2020-01-13T00:00:00"/>
    <x v="7"/>
    <x v="3"/>
    <s v="117 Min"/>
    <x v="5"/>
    <n v="4.8"/>
    <n v="19263746"/>
    <n v="4417634"/>
    <n v="120"/>
    <x v="8"/>
    <x v="0"/>
  </r>
  <r>
    <x v="856"/>
    <s v="Silent Dream 1197"/>
    <x v="0"/>
    <s v="S. Patel"/>
    <x v="3"/>
    <d v="2020-01-14T00:00:00"/>
    <x v="20"/>
    <x v="5"/>
    <s v="101 Min"/>
    <x v="3"/>
    <n v="5"/>
    <n v="21410804"/>
    <n v="1193215"/>
    <n v="48"/>
    <x v="3"/>
    <x v="4"/>
  </r>
  <r>
    <x v="857"/>
    <s v="Shadow Story 1191"/>
    <x v="2"/>
    <s v="Unknown"/>
    <x v="2"/>
    <d v="2020-01-15T00:00:00"/>
    <x v="7"/>
    <x v="3"/>
    <s v="1 Seasons"/>
    <x v="2"/>
    <n v="5"/>
    <n v="18104266"/>
    <n v="905233"/>
    <n v="64"/>
    <x v="1"/>
    <x v="0"/>
  </r>
  <r>
    <x v="858"/>
    <s v="Infinite Files 1649"/>
    <x v="0"/>
    <s v="D. Kim"/>
    <x v="2"/>
    <d v="2020-01-15T00:00:00"/>
    <x v="26"/>
    <x v="2"/>
    <s v="156 Min"/>
    <x v="2"/>
    <n v="5.4"/>
    <n v="21491994"/>
    <n v="2657959"/>
    <n v="98"/>
    <x v="3"/>
    <x v="4"/>
  </r>
  <r>
    <x v="859"/>
    <s v="Golden Story 717"/>
    <x v="0"/>
    <s v="N. Singh"/>
    <x v="12"/>
    <d v="2020-01-17T00:00:00"/>
    <x v="18"/>
    <x v="4"/>
    <s v="75 Min"/>
    <x v="7"/>
    <n v="6.3"/>
    <n v="18884891"/>
    <n v="4666514"/>
    <n v="57"/>
    <x v="9"/>
    <x v="2"/>
  </r>
  <r>
    <x v="860"/>
    <s v="Silent Story 1623"/>
    <x v="0"/>
    <s v="K. Tanaka"/>
    <x v="11"/>
    <d v="2020-01-18T00:00:00"/>
    <x v="1"/>
    <x v="3"/>
    <s v="111 Min"/>
    <x v="3"/>
    <n v="6.7"/>
    <n v="21942889"/>
    <n v="1300224"/>
    <n v="95"/>
    <x v="9"/>
    <x v="0"/>
  </r>
  <r>
    <x v="861"/>
    <s v="Dark Dream 794"/>
    <x v="0"/>
    <s v="K. Tanaka"/>
    <x v="6"/>
    <d v="2020-01-22T00:00:00"/>
    <x v="15"/>
    <x v="1"/>
    <s v="90 Min"/>
    <x v="0"/>
    <n v="4.5999999999999996"/>
    <n v="6676729"/>
    <n v="3881275"/>
    <n v="77"/>
    <x v="2"/>
    <x v="0"/>
  </r>
  <r>
    <x v="862"/>
    <s v="Secret Story 898"/>
    <x v="0"/>
    <s v="N. Singh"/>
    <x v="3"/>
    <d v="2020-01-22T00:00:00"/>
    <x v="20"/>
    <x v="2"/>
    <s v="177 Min"/>
    <x v="7"/>
    <n v="7.6"/>
    <n v="16085229"/>
    <n v="3999030"/>
    <n v="77"/>
    <x v="0"/>
    <x v="2"/>
  </r>
  <r>
    <x v="863"/>
    <s v="Lost World 1993"/>
    <x v="0"/>
    <s v="L. Brown"/>
    <x v="2"/>
    <d v="2020-01-22T00:00:00"/>
    <x v="9"/>
    <x v="6"/>
    <s v="153 Min"/>
    <x v="6"/>
    <n v="8"/>
    <n v="24308044"/>
    <n v="1033101"/>
    <n v="79"/>
    <x v="4"/>
    <x v="3"/>
  </r>
  <r>
    <x v="864"/>
    <s v="Hidden Quest 991"/>
    <x v="0"/>
    <s v="S. Patel"/>
    <x v="7"/>
    <d v="2020-01-24T00:00:00"/>
    <x v="8"/>
    <x v="0"/>
    <s v="74 Min"/>
    <x v="5"/>
    <n v="5.0999999999999996"/>
    <n v="8968485"/>
    <n v="354770"/>
    <n v="81"/>
    <x v="4"/>
    <x v="3"/>
  </r>
  <r>
    <x v="865"/>
    <s v="Infinite Game 213"/>
    <x v="1"/>
    <s v="S. Patel"/>
    <x v="7"/>
    <d v="2020-01-28T00:00:00"/>
    <x v="18"/>
    <x v="8"/>
    <s v="4 Seasons"/>
    <x v="1"/>
    <n v="8"/>
    <n v="12557581"/>
    <n v="1360600"/>
    <n v="93"/>
    <x v="6"/>
    <x v="1"/>
  </r>
  <r>
    <x v="866"/>
    <s v="Hidden Legacy 670"/>
    <x v="1"/>
    <s v="A. Smith"/>
    <x v="8"/>
    <d v="2020-02-01T00:00:00"/>
    <x v="24"/>
    <x v="8"/>
    <s v="2 Seasons"/>
    <x v="7"/>
    <n v="4.7"/>
    <n v="22358253"/>
    <n v="1911495"/>
    <n v="84"/>
    <x v="1"/>
    <x v="4"/>
  </r>
  <r>
    <x v="867"/>
    <s v="Golden Edge 1547"/>
    <x v="0"/>
    <s v="L. Brown"/>
    <x v="7"/>
    <d v="2020-02-03T00:00:00"/>
    <x v="16"/>
    <x v="9"/>
    <s v="102 Min"/>
    <x v="3"/>
    <n v="6"/>
    <n v="5884526"/>
    <n v="572380"/>
    <n v="60"/>
    <x v="1"/>
    <x v="1"/>
  </r>
  <r>
    <x v="868"/>
    <s v="Fire Journey 1461"/>
    <x v="2"/>
    <s v="L. Brown"/>
    <x v="10"/>
    <d v="2020-02-06T00:00:00"/>
    <x v="1"/>
    <x v="8"/>
    <s v="5 Seasons"/>
    <x v="10"/>
    <n v="7.7"/>
    <n v="18255662"/>
    <n v="2291805"/>
    <n v="69"/>
    <x v="1"/>
    <x v="4"/>
  </r>
  <r>
    <x v="869"/>
    <s v="Echo Quest 616"/>
    <x v="0"/>
    <s v="N. Singh"/>
    <x v="3"/>
    <d v="2020-02-07T00:00:00"/>
    <x v="15"/>
    <x v="9"/>
    <s v="122 Min"/>
    <x v="5"/>
    <n v="5.7"/>
    <n v="4535966"/>
    <n v="3643119"/>
    <n v="87"/>
    <x v="9"/>
    <x v="1"/>
  </r>
  <r>
    <x v="870"/>
    <s v="Silent World 1091"/>
    <x v="1"/>
    <s v="Unknown"/>
    <x v="10"/>
    <d v="2020-02-09T00:00:00"/>
    <x v="16"/>
    <x v="6"/>
    <s v="2 Seasons"/>
    <x v="4"/>
    <n v="5.5"/>
    <n v="17155088"/>
    <n v="101270"/>
    <n v="57"/>
    <x v="9"/>
    <x v="3"/>
  </r>
  <r>
    <x v="871"/>
    <s v="Infinite Dream 1857"/>
    <x v="1"/>
    <s v="D. Kim"/>
    <x v="0"/>
    <d v="2020-02-09T00:00:00"/>
    <x v="24"/>
    <x v="2"/>
    <s v="6 Seasons"/>
    <x v="4"/>
    <n v="4.8"/>
    <n v="23230025"/>
    <n v="3711563"/>
    <n v="78"/>
    <x v="6"/>
    <x v="2"/>
  </r>
  <r>
    <x v="872"/>
    <s v="Future Rise 1465"/>
    <x v="1"/>
    <s v="K. Tanaka"/>
    <x v="2"/>
    <d v="2020-02-10T00:00:00"/>
    <x v="27"/>
    <x v="0"/>
    <s v="5 Seasons"/>
    <x v="5"/>
    <n v="5.0999999999999996"/>
    <n v="13790665"/>
    <n v="1999499"/>
    <n v="80"/>
    <x v="4"/>
    <x v="1"/>
  </r>
  <r>
    <x v="873"/>
    <s v="Shadow World 486"/>
    <x v="0"/>
    <s v="R. Kumar"/>
    <x v="11"/>
    <d v="2020-02-12T00:00:00"/>
    <x v="2"/>
    <x v="1"/>
    <s v="121 Min"/>
    <x v="9"/>
    <n v="9.1999999999999993"/>
    <n v="8616792"/>
    <n v="3921652"/>
    <n v="66"/>
    <x v="0"/>
    <x v="1"/>
  </r>
  <r>
    <x v="874"/>
    <s v="Echo Rise 1569"/>
    <x v="1"/>
    <s v="S. Patel"/>
    <x v="0"/>
    <d v="2020-02-14T00:00:00"/>
    <x v="0"/>
    <x v="9"/>
    <s v="8 Seasons"/>
    <x v="2"/>
    <n v="7"/>
    <n v="1631019"/>
    <n v="3038759"/>
    <n v="40"/>
    <x v="5"/>
    <x v="4"/>
  </r>
  <r>
    <x v="875"/>
    <s v="Infinite Rise 196"/>
    <x v="1"/>
    <s v="R. Kumar"/>
    <x v="2"/>
    <d v="2020-02-17T00:00:00"/>
    <x v="23"/>
    <x v="3"/>
    <s v="7 Seasons"/>
    <x v="4"/>
    <n v="8.4"/>
    <n v="3157313"/>
    <n v="1679835"/>
    <n v="42"/>
    <x v="8"/>
    <x v="2"/>
  </r>
  <r>
    <x v="876"/>
    <s v="Lost Zone 1386"/>
    <x v="0"/>
    <s v="J. Lee"/>
    <x v="3"/>
    <d v="2020-02-19T00:00:00"/>
    <x v="21"/>
    <x v="1"/>
    <s v="116 Min"/>
    <x v="3"/>
    <n v="6"/>
    <n v="9809353"/>
    <n v="4328040"/>
    <n v="61"/>
    <x v="3"/>
    <x v="4"/>
  </r>
  <r>
    <x v="877"/>
    <s v="Crimson Quest 1648"/>
    <x v="2"/>
    <s v="N. Singh"/>
    <x v="6"/>
    <d v="2020-02-19T00:00:00"/>
    <x v="19"/>
    <x v="2"/>
    <s v="2 Seasons"/>
    <x v="10"/>
    <n v="6.6"/>
    <n v="1689194"/>
    <n v="3843255"/>
    <n v="83"/>
    <x v="4"/>
    <x v="3"/>
  </r>
  <r>
    <x v="878"/>
    <s v="Ocean Line 222"/>
    <x v="2"/>
    <s v="K. Tanaka"/>
    <x v="12"/>
    <d v="2020-02-23T00:00:00"/>
    <x v="13"/>
    <x v="3"/>
    <s v="7 Seasons"/>
    <x v="9"/>
    <n v="8.6999999999999993"/>
    <n v="15728103"/>
    <n v="1940809"/>
    <n v="92"/>
    <x v="8"/>
    <x v="3"/>
  </r>
  <r>
    <x v="879"/>
    <s v="Hidden Chronicles 473"/>
    <x v="0"/>
    <s v="J. Lee"/>
    <x v="12"/>
    <d v="2020-02-24T00:00:00"/>
    <x v="17"/>
    <x v="9"/>
    <s v="87 Min"/>
    <x v="10"/>
    <n v="8.5"/>
    <n v="16901053"/>
    <n v="2266809"/>
    <n v="80"/>
    <x v="4"/>
    <x v="2"/>
  </r>
  <r>
    <x v="880"/>
    <s v="Broken Journey 675"/>
    <x v="1"/>
    <s v="L. Brown"/>
    <x v="6"/>
    <d v="2020-02-25T00:00:00"/>
    <x v="13"/>
    <x v="6"/>
    <s v="1 Seasons"/>
    <x v="2"/>
    <n v="6.1"/>
    <n v="14578275"/>
    <n v="4975923"/>
    <n v="87"/>
    <x v="9"/>
    <x v="0"/>
  </r>
  <r>
    <x v="881"/>
    <s v="Future Signal 357"/>
    <x v="1"/>
    <s v="Unknown"/>
    <x v="2"/>
    <d v="2020-02-29T00:00:00"/>
    <x v="9"/>
    <x v="3"/>
    <s v="2 Seasons"/>
    <x v="10"/>
    <n v="9.8000000000000007"/>
    <n v="13508845"/>
    <n v="3951925"/>
    <n v="60"/>
    <x v="7"/>
    <x v="0"/>
  </r>
  <r>
    <x v="882"/>
    <s v="Crimson Quest 536"/>
    <x v="2"/>
    <s v="K. Tanaka"/>
    <x v="7"/>
    <d v="2020-02-29T00:00:00"/>
    <x v="14"/>
    <x v="2"/>
    <s v="7 Seasons"/>
    <x v="7"/>
    <n v="9.3000000000000007"/>
    <n v="797706"/>
    <n v="3308782"/>
    <n v="73"/>
    <x v="8"/>
    <x v="2"/>
  </r>
  <r>
    <x v="883"/>
    <s v="Crimson Story 1348"/>
    <x v="2"/>
    <s v="D. Kim"/>
    <x v="11"/>
    <d v="2020-02-29T00:00:00"/>
    <x v="13"/>
    <x v="0"/>
    <s v="6 Seasons"/>
    <x v="5"/>
    <n v="9.6"/>
    <n v="4169663"/>
    <n v="1868022"/>
    <n v="51"/>
    <x v="3"/>
    <x v="4"/>
  </r>
  <r>
    <x v="884"/>
    <s v="Hidden Truth 996"/>
    <x v="2"/>
    <s v="M. Garcia"/>
    <x v="6"/>
    <d v="2020-03-03T00:00:00"/>
    <x v="12"/>
    <x v="3"/>
    <s v="1 Seasons"/>
    <x v="6"/>
    <n v="5.2"/>
    <n v="17051372"/>
    <n v="4631360"/>
    <n v="45"/>
    <x v="2"/>
    <x v="1"/>
  </r>
  <r>
    <x v="885"/>
    <s v="Blue Signal 965"/>
    <x v="0"/>
    <s v="S. Patel"/>
    <x v="3"/>
    <d v="2020-03-05T00:00:00"/>
    <x v="18"/>
    <x v="3"/>
    <s v="Unknown"/>
    <x v="10"/>
    <n v="5.5"/>
    <n v="5801411"/>
    <n v="2570360"/>
    <n v="90"/>
    <x v="0"/>
    <x v="4"/>
  </r>
  <r>
    <x v="886"/>
    <s v="Future Empire 1268"/>
    <x v="1"/>
    <s v="L. Brown"/>
    <x v="6"/>
    <d v="2020-03-07T00:00:00"/>
    <x v="27"/>
    <x v="1"/>
    <s v="7 Seasons"/>
    <x v="2"/>
    <n v="11.2"/>
    <n v="19916335"/>
    <n v="3255753"/>
    <n v="71"/>
    <x v="5"/>
    <x v="0"/>
  </r>
  <r>
    <x v="887"/>
    <s v="Ocean Files 538"/>
    <x v="1"/>
    <s v="S. Patel"/>
    <x v="2"/>
    <d v="2020-03-10T00:00:00"/>
    <x v="12"/>
    <x v="7"/>
    <s v="4 Seasons"/>
    <x v="8"/>
    <n v="6.6"/>
    <n v="24205427"/>
    <n v="2847362"/>
    <n v="65"/>
    <x v="2"/>
    <x v="1"/>
  </r>
  <r>
    <x v="888"/>
    <s v="Dark Signal 454"/>
    <x v="1"/>
    <s v="P. Johnson"/>
    <x v="6"/>
    <d v="2020-03-11T00:00:00"/>
    <x v="14"/>
    <x v="7"/>
    <s v="5 Seasons"/>
    <x v="8"/>
    <n v="9.5"/>
    <n v="5094279"/>
    <n v="176519"/>
    <n v="48"/>
    <x v="3"/>
    <x v="1"/>
  </r>
  <r>
    <x v="889"/>
    <s v="Golden Rise 810"/>
    <x v="0"/>
    <s v="R. Kumar"/>
    <x v="12"/>
    <d v="2020-03-12T00:00:00"/>
    <x v="7"/>
    <x v="6"/>
    <s v="144 Min"/>
    <x v="7"/>
    <n v="9.3000000000000007"/>
    <n v="8276826"/>
    <n v="3782710"/>
    <n v="73"/>
    <x v="7"/>
    <x v="1"/>
  </r>
  <r>
    <x v="890"/>
    <s v="Shadow Files 1287"/>
    <x v="0"/>
    <s v="D. Kim"/>
    <x v="7"/>
    <d v="2020-03-14T00:00:00"/>
    <x v="13"/>
    <x v="3"/>
    <s v="118 Min"/>
    <x v="2"/>
    <n v="6.3"/>
    <n v="1783852"/>
    <n v="2287651"/>
    <n v="100"/>
    <x v="3"/>
    <x v="0"/>
  </r>
  <r>
    <x v="891"/>
    <s v="Shadow Rise 108"/>
    <x v="0"/>
    <s v="J. Lee"/>
    <x v="0"/>
    <d v="2020-03-15T00:00:00"/>
    <x v="6"/>
    <x v="8"/>
    <s v="108 Min"/>
    <x v="9"/>
    <n v="9.6"/>
    <n v="14319195"/>
    <n v="90693"/>
    <n v="120"/>
    <x v="4"/>
    <x v="3"/>
  </r>
  <r>
    <x v="892"/>
    <s v="Silent Legacy 1240"/>
    <x v="1"/>
    <s v="R. Kumar"/>
    <x v="2"/>
    <d v="2020-03-15T00:00:00"/>
    <x v="10"/>
    <x v="0"/>
    <s v="6 Seasons"/>
    <x v="2"/>
    <n v="6.9"/>
    <n v="1134494"/>
    <n v="2635919"/>
    <n v="50"/>
    <x v="9"/>
    <x v="1"/>
  </r>
  <r>
    <x v="893"/>
    <s v="Fire Line 176"/>
    <x v="0"/>
    <s v="S. Patel"/>
    <x v="7"/>
    <d v="2020-03-16T00:00:00"/>
    <x v="26"/>
    <x v="3"/>
    <s v="170 Min"/>
    <x v="5"/>
    <n v="9.4"/>
    <n v="1694524"/>
    <n v="3289444"/>
    <n v="65"/>
    <x v="9"/>
    <x v="0"/>
  </r>
  <r>
    <x v="894"/>
    <s v="Lost Files 1487"/>
    <x v="1"/>
    <s v="R. Kumar"/>
    <x v="10"/>
    <d v="2020-03-16T00:00:00"/>
    <x v="3"/>
    <x v="8"/>
    <s v="1 Seasons"/>
    <x v="8"/>
    <n v="6.1"/>
    <n v="14725898"/>
    <n v="3472491"/>
    <n v="82"/>
    <x v="2"/>
    <x v="1"/>
  </r>
  <r>
    <x v="895"/>
    <s v="Ocean Files 1691"/>
    <x v="0"/>
    <s v="K. Tanaka"/>
    <x v="6"/>
    <d v="2020-03-19T00:00:00"/>
    <x v="8"/>
    <x v="3"/>
    <s v="114 Min"/>
    <x v="7"/>
    <n v="6.3"/>
    <n v="18089984"/>
    <n v="4968515"/>
    <n v="68"/>
    <x v="5"/>
    <x v="3"/>
  </r>
  <r>
    <x v="896"/>
    <s v="Hidden Empire 45"/>
    <x v="1"/>
    <s v="L. Brown"/>
    <x v="10"/>
    <d v="2020-03-22T00:00:00"/>
    <x v="25"/>
    <x v="3"/>
    <s v="8 Seasons"/>
    <x v="9"/>
    <n v="4.9000000000000004"/>
    <n v="5974602"/>
    <n v="3768440"/>
    <n v="89"/>
    <x v="6"/>
    <x v="2"/>
  </r>
  <r>
    <x v="897"/>
    <s v="Wild Chronicles 1374"/>
    <x v="1"/>
    <s v="A. Smith"/>
    <x v="10"/>
    <d v="2020-03-24T00:00:00"/>
    <x v="14"/>
    <x v="0"/>
    <s v="5 Seasons"/>
    <x v="7"/>
    <n v="7.2"/>
    <n v="5131306"/>
    <n v="2015267"/>
    <n v="45"/>
    <x v="6"/>
    <x v="0"/>
  </r>
  <r>
    <x v="898"/>
    <s v="Shadow Game 75"/>
    <x v="0"/>
    <s v="R. Kumar"/>
    <x v="8"/>
    <d v="2020-03-28T00:00:00"/>
    <x v="9"/>
    <x v="8"/>
    <s v="147 Min"/>
    <x v="4"/>
    <n v="8.6999999999999993"/>
    <n v="23096324"/>
    <n v="759378"/>
    <n v="97"/>
    <x v="5"/>
    <x v="4"/>
  </r>
  <r>
    <x v="899"/>
    <s v="Crimson Valley 1309"/>
    <x v="2"/>
    <s v="R. Kumar"/>
    <x v="7"/>
    <d v="2020-04-01T00:00:00"/>
    <x v="6"/>
    <x v="8"/>
    <s v="4 Seasons"/>
    <x v="5"/>
    <n v="8.1"/>
    <n v="2938448"/>
    <n v="2751289"/>
    <n v="54"/>
    <x v="5"/>
    <x v="2"/>
  </r>
  <r>
    <x v="900"/>
    <s v="Secret Line 527"/>
    <x v="2"/>
    <s v="P. Johnson"/>
    <x v="9"/>
    <d v="2020-04-05T00:00:00"/>
    <x v="0"/>
    <x v="8"/>
    <s v="6 Seasons"/>
    <x v="4"/>
    <n v="6.1"/>
    <n v="13965993"/>
    <n v="3577819"/>
    <n v="48"/>
    <x v="4"/>
    <x v="0"/>
  </r>
  <r>
    <x v="901"/>
    <s v="Wild World 1576"/>
    <x v="1"/>
    <s v="M. Garcia"/>
    <x v="10"/>
    <d v="2020-04-06T00:00:00"/>
    <x v="24"/>
    <x v="9"/>
    <s v="8 Seasons"/>
    <x v="2"/>
    <n v="8.1"/>
    <n v="23441288"/>
    <n v="1536135"/>
    <n v="75"/>
    <x v="0"/>
    <x v="0"/>
  </r>
  <r>
    <x v="902"/>
    <s v="Blue Zone 926"/>
    <x v="0"/>
    <s v="R. Kumar"/>
    <x v="7"/>
    <d v="2020-04-08T00:00:00"/>
    <x v="4"/>
    <x v="3"/>
    <s v="174 Min"/>
    <x v="8"/>
    <n v="5.3"/>
    <n v="19872969"/>
    <n v="321537"/>
    <n v="100"/>
    <x v="8"/>
    <x v="1"/>
  </r>
  <r>
    <x v="903"/>
    <s v="Infinite Files 1573"/>
    <x v="0"/>
    <s v="Unknown"/>
    <x v="1"/>
    <d v="2020-04-09T00:00:00"/>
    <x v="17"/>
    <x v="3"/>
    <s v="95 Min"/>
    <x v="5"/>
    <n v="7.3"/>
    <n v="12824046"/>
    <n v="4594036"/>
    <n v="48"/>
    <x v="4"/>
    <x v="2"/>
  </r>
  <r>
    <x v="904"/>
    <s v="Wild Night 1842"/>
    <x v="1"/>
    <s v="Unknown"/>
    <x v="10"/>
    <d v="2020-04-09T00:00:00"/>
    <x v="21"/>
    <x v="7"/>
    <s v="1 Seasons"/>
    <x v="10"/>
    <n v="9.6999999999999993"/>
    <n v="1247362"/>
    <n v="439965"/>
    <n v="71"/>
    <x v="7"/>
    <x v="4"/>
  </r>
  <r>
    <x v="905"/>
    <s v="Secret World 381"/>
    <x v="0"/>
    <s v="K. Tanaka"/>
    <x v="5"/>
    <d v="2020-04-12T00:00:00"/>
    <x v="19"/>
    <x v="9"/>
    <s v="85 Min"/>
    <x v="10"/>
    <n v="5.2"/>
    <n v="15871214"/>
    <n v="2042253"/>
    <n v="47"/>
    <x v="2"/>
    <x v="1"/>
  </r>
  <r>
    <x v="906"/>
    <s v="Echo Valley 1453"/>
    <x v="0"/>
    <s v="M. Garcia"/>
    <x v="9"/>
    <d v="2020-04-13T00:00:00"/>
    <x v="2"/>
    <x v="4"/>
    <s v="85 Min"/>
    <x v="2"/>
    <n v="5.6"/>
    <n v="20330824"/>
    <n v="254650"/>
    <n v="42"/>
    <x v="6"/>
    <x v="3"/>
  </r>
  <r>
    <x v="907"/>
    <s v="Wild World 375"/>
    <x v="1"/>
    <s v="Unknown"/>
    <x v="8"/>
    <d v="2020-04-15T00:00:00"/>
    <x v="4"/>
    <x v="0"/>
    <s v="1 Seasons"/>
    <x v="9"/>
    <n v="9.3000000000000007"/>
    <n v="13985256"/>
    <n v="4111342"/>
    <n v="98"/>
    <x v="5"/>
    <x v="4"/>
  </r>
  <r>
    <x v="908"/>
    <s v="Dark Quest 1155"/>
    <x v="0"/>
    <s v="Unknown"/>
    <x v="4"/>
    <d v="2020-04-15T00:00:00"/>
    <x v="14"/>
    <x v="8"/>
    <s v="167 Min"/>
    <x v="0"/>
    <n v="7.2"/>
    <n v="4036494"/>
    <n v="3878220"/>
    <n v="72"/>
    <x v="7"/>
    <x v="2"/>
  </r>
  <r>
    <x v="909"/>
    <s v="Wild Line 1076"/>
    <x v="1"/>
    <s v="Unknown"/>
    <x v="3"/>
    <d v="2020-04-18T00:00:00"/>
    <x v="10"/>
    <x v="2"/>
    <s v="1 Seasons"/>
    <x v="1"/>
    <n v="8"/>
    <n v="8073584"/>
    <n v="2395069"/>
    <n v="44"/>
    <x v="9"/>
    <x v="2"/>
  </r>
  <r>
    <x v="910"/>
    <s v="Beyond Rise 1594"/>
    <x v="0"/>
    <s v="Unknown"/>
    <x v="2"/>
    <d v="2020-04-18T00:00:00"/>
    <x v="0"/>
    <x v="3"/>
    <s v="174 Min"/>
    <x v="2"/>
    <n v="8.3000000000000007"/>
    <n v="10413696"/>
    <n v="3661510"/>
    <n v="63"/>
    <x v="7"/>
    <x v="3"/>
  </r>
  <r>
    <x v="911"/>
    <s v="Fire Line 744"/>
    <x v="0"/>
    <s v="R. Kumar"/>
    <x v="9"/>
    <d v="2020-04-19T00:00:00"/>
    <x v="24"/>
    <x v="6"/>
    <s v="144 Min"/>
    <x v="5"/>
    <n v="6.5"/>
    <n v="18000073"/>
    <n v="2813846"/>
    <n v="73"/>
    <x v="7"/>
    <x v="4"/>
  </r>
  <r>
    <x v="912"/>
    <s v="Broken Truth 1413"/>
    <x v="1"/>
    <s v="Unknown"/>
    <x v="4"/>
    <d v="2020-04-20T00:00:00"/>
    <x v="1"/>
    <x v="3"/>
    <s v="2 Seasons"/>
    <x v="9"/>
    <n v="9.6999999999999993"/>
    <n v="19158932"/>
    <n v="215101"/>
    <n v="86"/>
    <x v="5"/>
    <x v="1"/>
  </r>
  <r>
    <x v="913"/>
    <s v="Silent Signal 757"/>
    <x v="0"/>
    <s v="D. Kim"/>
    <x v="10"/>
    <d v="2020-04-22T00:00:00"/>
    <x v="12"/>
    <x v="3"/>
    <s v="140 Min"/>
    <x v="9"/>
    <n v="5.2"/>
    <n v="22661972"/>
    <n v="2929385"/>
    <n v="51"/>
    <x v="8"/>
    <x v="1"/>
  </r>
  <r>
    <x v="914"/>
    <s v="Echo Empire 359"/>
    <x v="0"/>
    <s v="L. Brown"/>
    <x v="3"/>
    <d v="2020-04-23T00:00:00"/>
    <x v="27"/>
    <x v="5"/>
    <s v="90 Min"/>
    <x v="5"/>
    <n v="8"/>
    <n v="6833451"/>
    <n v="1911777"/>
    <n v="61"/>
    <x v="1"/>
    <x v="2"/>
  </r>
  <r>
    <x v="915"/>
    <s v="Echo Valley 1556"/>
    <x v="2"/>
    <s v="S. Patel"/>
    <x v="3"/>
    <d v="2020-04-25T00:00:00"/>
    <x v="24"/>
    <x v="6"/>
    <s v="4 Seasons"/>
    <x v="9"/>
    <n v="7.6"/>
    <n v="10724949"/>
    <n v="1452520"/>
    <n v="73"/>
    <x v="6"/>
    <x v="2"/>
  </r>
  <r>
    <x v="916"/>
    <s v="Future Files 1067"/>
    <x v="1"/>
    <s v="R. Kumar"/>
    <x v="10"/>
    <d v="2020-04-26T00:00:00"/>
    <x v="21"/>
    <x v="9"/>
    <s v="4 Seasons"/>
    <x v="8"/>
    <n v="7"/>
    <n v="16966237"/>
    <n v="3824780"/>
    <n v="90"/>
    <x v="2"/>
    <x v="2"/>
  </r>
  <r>
    <x v="917"/>
    <s v="Dark Edge 1515"/>
    <x v="1"/>
    <s v="A. Smith"/>
    <x v="10"/>
    <d v="2020-04-26T00:00:00"/>
    <x v="11"/>
    <x v="2"/>
    <s v="5 Seasons"/>
    <x v="5"/>
    <n v="6.4"/>
    <n v="22669574"/>
    <n v="517299"/>
    <n v="50"/>
    <x v="4"/>
    <x v="1"/>
  </r>
  <r>
    <x v="918"/>
    <s v="Fire Night 1934"/>
    <x v="1"/>
    <s v="Unknown"/>
    <x v="7"/>
    <d v="2020-04-29T00:00:00"/>
    <x v="11"/>
    <x v="7"/>
    <s v="1 Seasons"/>
    <x v="3"/>
    <n v="7.5"/>
    <n v="768127"/>
    <n v="1578084"/>
    <n v="98"/>
    <x v="2"/>
    <x v="3"/>
  </r>
  <r>
    <x v="919"/>
    <s v="Future Mission 702"/>
    <x v="0"/>
    <s v="M. Garcia"/>
    <x v="12"/>
    <d v="2020-05-01T00:00:00"/>
    <x v="4"/>
    <x v="0"/>
    <s v="136 Min"/>
    <x v="10"/>
    <n v="7.7"/>
    <n v="22905024"/>
    <n v="1227815"/>
    <n v="70"/>
    <x v="4"/>
    <x v="1"/>
  </r>
  <r>
    <x v="920"/>
    <s v="Future Valley 1362"/>
    <x v="1"/>
    <s v="A. Smith"/>
    <x v="5"/>
    <d v="2020-05-08T00:00:00"/>
    <x v="27"/>
    <x v="5"/>
    <s v="2 Seasons"/>
    <x v="9"/>
    <n v="7.9"/>
    <n v="5774985"/>
    <n v="4792482"/>
    <n v="70"/>
    <x v="2"/>
    <x v="4"/>
  </r>
  <r>
    <x v="921"/>
    <s v="Hidden Dream 201"/>
    <x v="1"/>
    <s v="L. Brown"/>
    <x v="10"/>
    <d v="2020-05-10T00:00:00"/>
    <x v="11"/>
    <x v="6"/>
    <s v="6 Seasons"/>
    <x v="2"/>
    <n v="9"/>
    <n v="11316281"/>
    <n v="3080672"/>
    <n v="47"/>
    <x v="8"/>
    <x v="1"/>
  </r>
  <r>
    <x v="922"/>
    <s v="Future Journey 1002"/>
    <x v="0"/>
    <s v="A. Smith"/>
    <x v="7"/>
    <d v="2020-05-13T00:00:00"/>
    <x v="5"/>
    <x v="2"/>
    <s v="73 Min"/>
    <x v="10"/>
    <n v="8.6999999999999993"/>
    <n v="13836049"/>
    <n v="4286491"/>
    <n v="83"/>
    <x v="7"/>
    <x v="3"/>
  </r>
  <r>
    <x v="923"/>
    <s v="Echo Legacy 581"/>
    <x v="1"/>
    <s v="M. Garcia"/>
    <x v="9"/>
    <d v="2020-05-18T00:00:00"/>
    <x v="17"/>
    <x v="5"/>
    <s v="1 Seasons"/>
    <x v="10"/>
    <n v="5"/>
    <n v="-691"/>
    <n v="2159609"/>
    <n v="70"/>
    <x v="2"/>
    <x v="3"/>
  </r>
  <r>
    <x v="924"/>
    <s v="Golden Truth 1642"/>
    <x v="0"/>
    <s v="Unknown"/>
    <x v="4"/>
    <d v="2020-05-21T00:00:00"/>
    <x v="26"/>
    <x v="3"/>
    <s v="151 Min"/>
    <x v="3"/>
    <n v="8.4"/>
    <n v="4644937"/>
    <n v="3812819"/>
    <n v="45"/>
    <x v="3"/>
    <x v="2"/>
  </r>
  <r>
    <x v="925"/>
    <s v="Wild Edge 299"/>
    <x v="1"/>
    <s v="R. Kumar"/>
    <x v="11"/>
    <d v="2020-05-24T00:00:00"/>
    <x v="22"/>
    <x v="3"/>
    <s v="1 Seasons"/>
    <x v="9"/>
    <n v="5"/>
    <n v="7154801"/>
    <n v="491644"/>
    <n v="42"/>
    <x v="1"/>
    <x v="3"/>
  </r>
  <r>
    <x v="926"/>
    <s v="Infinite Signal 1029"/>
    <x v="0"/>
    <s v="A. Smith"/>
    <x v="4"/>
    <d v="2020-05-24T00:00:00"/>
    <x v="26"/>
    <x v="3"/>
    <s v="180 Min"/>
    <x v="2"/>
    <n v="5.2"/>
    <n v="21725792"/>
    <n v="3925748"/>
    <n v="49"/>
    <x v="8"/>
    <x v="0"/>
  </r>
  <r>
    <x v="927"/>
    <s v="Lost Zone 1589"/>
    <x v="0"/>
    <s v="P. Johnson"/>
    <x v="5"/>
    <d v="2020-05-31T00:00:00"/>
    <x v="17"/>
    <x v="6"/>
    <s v="89 Min"/>
    <x v="1"/>
    <n v="5.7"/>
    <n v="3808635"/>
    <n v="1051887"/>
    <n v="120"/>
    <x v="8"/>
    <x v="1"/>
  </r>
  <r>
    <x v="928"/>
    <s v="Dark Mission 1434"/>
    <x v="2"/>
    <s v="R. Kumar"/>
    <x v="1"/>
    <d v="2020-06-01T00:00:00"/>
    <x v="23"/>
    <x v="5"/>
    <s v="1 Seasons"/>
    <x v="9"/>
    <n v="6.4"/>
    <n v="18984112"/>
    <n v="1645153"/>
    <n v="82"/>
    <x v="9"/>
    <x v="0"/>
  </r>
  <r>
    <x v="929"/>
    <s v="Last Journey 1816"/>
    <x v="0"/>
    <s v="L. Brown"/>
    <x v="5"/>
    <d v="2020-06-02T00:00:00"/>
    <x v="2"/>
    <x v="2"/>
    <s v="75 Min"/>
    <x v="1"/>
    <n v="9.3000000000000007"/>
    <n v="11847558"/>
    <n v="687276"/>
    <n v="95"/>
    <x v="6"/>
    <x v="4"/>
  </r>
  <r>
    <x v="930"/>
    <s v="Fire Chronicles 1130"/>
    <x v="1"/>
    <s v="M. Garcia"/>
    <x v="7"/>
    <d v="2020-06-06T00:00:00"/>
    <x v="24"/>
    <x v="8"/>
    <s v="3 Seasons"/>
    <x v="4"/>
    <n v="5.2"/>
    <n v="11817868"/>
    <n v="4613834"/>
    <n v="88"/>
    <x v="1"/>
    <x v="0"/>
  </r>
  <r>
    <x v="931"/>
    <s v="Lost Mission 595"/>
    <x v="1"/>
    <s v="K. Tanaka"/>
    <x v="2"/>
    <d v="2020-06-10T00:00:00"/>
    <x v="26"/>
    <x v="7"/>
    <s v="1 Seasons"/>
    <x v="6"/>
    <n v="6.7"/>
    <n v="1390657"/>
    <n v="3610902"/>
    <n v="97"/>
    <x v="7"/>
    <x v="4"/>
  </r>
  <r>
    <x v="932"/>
    <s v="Golden Journey 1042"/>
    <x v="1"/>
    <s v="Unknown"/>
    <x v="3"/>
    <d v="2020-06-14T00:00:00"/>
    <x v="20"/>
    <x v="7"/>
    <s v="6 Seasons"/>
    <x v="1"/>
    <n v="8.8000000000000007"/>
    <n v="24420290"/>
    <n v="3092702"/>
    <n v="46"/>
    <x v="7"/>
    <x v="4"/>
  </r>
  <r>
    <x v="933"/>
    <s v="Royal Zone 57"/>
    <x v="0"/>
    <s v="P. Johnson"/>
    <x v="6"/>
    <d v="2020-06-18T00:00:00"/>
    <x v="9"/>
    <x v="6"/>
    <s v="149 Min"/>
    <x v="1"/>
    <n v="8.6"/>
    <n v="8876417"/>
    <n v="97435"/>
    <n v="92"/>
    <x v="5"/>
    <x v="4"/>
  </r>
  <r>
    <x v="934"/>
    <s v="Golden Night 551"/>
    <x v="2"/>
    <s v="M. Garcia"/>
    <x v="6"/>
    <d v="2020-06-19T00:00:00"/>
    <x v="3"/>
    <x v="7"/>
    <s v="7 Seasons"/>
    <x v="4"/>
    <n v="7.3"/>
    <n v="3197895"/>
    <n v="4993437"/>
    <n v="70"/>
    <x v="3"/>
    <x v="2"/>
  </r>
  <r>
    <x v="935"/>
    <s v="Shadow Night 719"/>
    <x v="2"/>
    <s v="D. Kim"/>
    <x v="0"/>
    <d v="2020-06-19T00:00:00"/>
    <x v="4"/>
    <x v="2"/>
    <s v="1 Seasons"/>
    <x v="7"/>
    <n v="8.8000000000000007"/>
    <n v="8240050"/>
    <n v="1562710"/>
    <n v="99"/>
    <x v="4"/>
    <x v="4"/>
  </r>
  <r>
    <x v="936"/>
    <s v="Echo Night 3"/>
    <x v="1"/>
    <s v="S. Patel"/>
    <x v="11"/>
    <d v="2020-06-22T00:00:00"/>
    <x v="0"/>
    <x v="9"/>
    <s v="6 Seasons"/>
    <x v="10"/>
    <n v="6"/>
    <n v="3971630"/>
    <n v="4295403"/>
    <n v="88"/>
    <x v="9"/>
    <x v="1"/>
  </r>
  <r>
    <x v="937"/>
    <s v="Royal Empire 1193"/>
    <x v="0"/>
    <s v="P. Johnson"/>
    <x v="8"/>
    <d v="2020-06-23T00:00:00"/>
    <x v="1"/>
    <x v="1"/>
    <s v="129 Min"/>
    <x v="1"/>
    <n v="9.1999999999999993"/>
    <n v="23057702"/>
    <n v="986134"/>
    <n v="55"/>
    <x v="0"/>
    <x v="2"/>
  </r>
  <r>
    <x v="938"/>
    <s v="Silent Game 599"/>
    <x v="1"/>
    <s v="N. Singh"/>
    <x v="9"/>
    <d v="2020-07-03T00:00:00"/>
    <x v="2"/>
    <x v="3"/>
    <s v="6 Seasons"/>
    <x v="10"/>
    <n v="6.7"/>
    <n v="16423820"/>
    <n v="1325879"/>
    <n v="81"/>
    <x v="4"/>
    <x v="0"/>
  </r>
  <r>
    <x v="939"/>
    <s v="Crimson Truth 502"/>
    <x v="0"/>
    <s v="D. Kim"/>
    <x v="7"/>
    <d v="2020-07-04T00:00:00"/>
    <x v="21"/>
    <x v="9"/>
    <s v="164 Min"/>
    <x v="2"/>
    <n v="6.7"/>
    <n v="6220247"/>
    <n v="4520357"/>
    <n v="81"/>
    <x v="1"/>
    <x v="3"/>
  </r>
  <r>
    <x v="940"/>
    <s v="Beyond Rise 1567"/>
    <x v="0"/>
    <s v="Unknown"/>
    <x v="3"/>
    <d v="2020-07-10T00:00:00"/>
    <x v="16"/>
    <x v="9"/>
    <s v="113 Min"/>
    <x v="3"/>
    <n v="4.7"/>
    <n v="8380193"/>
    <n v="1458303"/>
    <n v="89"/>
    <x v="4"/>
    <x v="0"/>
  </r>
  <r>
    <x v="941"/>
    <s v="Silent Legacy 1978"/>
    <x v="0"/>
    <s v="L. Brown"/>
    <x v="0"/>
    <d v="2020-07-10T00:00:00"/>
    <x v="14"/>
    <x v="9"/>
    <s v="147 Min"/>
    <x v="6"/>
    <n v="6.3"/>
    <n v="1781495"/>
    <n v="3306604"/>
    <n v="79"/>
    <x v="4"/>
    <x v="2"/>
  </r>
  <r>
    <x v="942"/>
    <s v="Broken Valley 1249"/>
    <x v="1"/>
    <s v="R. Kumar"/>
    <x v="10"/>
    <d v="2020-07-12T00:00:00"/>
    <x v="26"/>
    <x v="2"/>
    <s v="4 Seasons"/>
    <x v="2"/>
    <n v="8.4"/>
    <n v="21654865"/>
    <n v="2314414"/>
    <n v="41"/>
    <x v="5"/>
    <x v="1"/>
  </r>
  <r>
    <x v="943"/>
    <s v="Silent Truth 311"/>
    <x v="0"/>
    <s v="Unknown"/>
    <x v="0"/>
    <d v="2020-07-15T00:00:00"/>
    <x v="4"/>
    <x v="5"/>
    <s v="81 Min"/>
    <x v="2"/>
    <n v="6.3"/>
    <n v="14627210"/>
    <n v="2910191"/>
    <n v="74"/>
    <x v="9"/>
    <x v="1"/>
  </r>
  <r>
    <x v="944"/>
    <s v="Dark Mission 44"/>
    <x v="0"/>
    <s v="Unknown"/>
    <x v="12"/>
    <d v="2020-07-19T00:00:00"/>
    <x v="1"/>
    <x v="0"/>
    <s v="102 Min"/>
    <x v="9"/>
    <n v="4.8"/>
    <n v="8262686"/>
    <n v="4256746"/>
    <n v="81"/>
    <x v="1"/>
    <x v="0"/>
  </r>
  <r>
    <x v="945"/>
    <s v="Dark Line 607"/>
    <x v="1"/>
    <s v="A. Smith"/>
    <x v="9"/>
    <d v="2020-07-19T00:00:00"/>
    <x v="2"/>
    <x v="6"/>
    <s v="1 Seasons"/>
    <x v="8"/>
    <n v="8.1999999999999993"/>
    <n v="12920132"/>
    <n v="3105600"/>
    <n v="57"/>
    <x v="8"/>
    <x v="1"/>
  </r>
  <r>
    <x v="946"/>
    <s v="Lost Valley 1239"/>
    <x v="0"/>
    <s v="P. Johnson"/>
    <x v="0"/>
    <d v="2020-07-19T00:00:00"/>
    <x v="1"/>
    <x v="8"/>
    <s v="82 Min"/>
    <x v="0"/>
    <n v="6"/>
    <n v="537850"/>
    <n v="2837389"/>
    <n v="76"/>
    <x v="4"/>
    <x v="1"/>
  </r>
  <r>
    <x v="947"/>
    <s v="Hidden Valley 305"/>
    <x v="0"/>
    <s v="A. Smith"/>
    <x v="7"/>
    <d v="2020-07-20T00:00:00"/>
    <x v="9"/>
    <x v="5"/>
    <s v="155 Min"/>
    <x v="3"/>
    <n v="7.8"/>
    <n v="18230880"/>
    <n v="1971091"/>
    <n v="76"/>
    <x v="7"/>
    <x v="3"/>
  </r>
  <r>
    <x v="948"/>
    <s v="Last Game 701"/>
    <x v="1"/>
    <s v="A. Smith"/>
    <x v="9"/>
    <d v="2020-07-22T00:00:00"/>
    <x v="9"/>
    <x v="9"/>
    <s v="5 Seasons"/>
    <x v="6"/>
    <n v="6.9"/>
    <n v="10039808"/>
    <n v="1878951"/>
    <n v="49"/>
    <x v="9"/>
    <x v="4"/>
  </r>
  <r>
    <x v="949"/>
    <s v="Dark Edge 1743"/>
    <x v="0"/>
    <s v="K. Tanaka"/>
    <x v="0"/>
    <d v="2020-07-24T00:00:00"/>
    <x v="19"/>
    <x v="0"/>
    <s v="174 Min"/>
    <x v="3"/>
    <n v="4.7"/>
    <n v="13112130"/>
    <n v="2009830"/>
    <n v="100"/>
    <x v="7"/>
    <x v="1"/>
  </r>
  <r>
    <x v="950"/>
    <s v="Fire Game 1214"/>
    <x v="1"/>
    <s v="J. Lee"/>
    <x v="9"/>
    <d v="2020-07-27T00:00:00"/>
    <x v="12"/>
    <x v="9"/>
    <s v="Unknown"/>
    <x v="5"/>
    <n v="6.3"/>
    <n v="17175828"/>
    <n v="327896"/>
    <n v="78"/>
    <x v="8"/>
    <x v="2"/>
  </r>
  <r>
    <x v="951"/>
    <s v="Silent Files 219"/>
    <x v="0"/>
    <s v="D. Kim"/>
    <x v="4"/>
    <d v="2020-07-29T00:00:00"/>
    <x v="18"/>
    <x v="4"/>
    <s v="176 Min"/>
    <x v="7"/>
    <n v="5.4"/>
    <n v="15274677"/>
    <n v="4940262"/>
    <n v="97"/>
    <x v="6"/>
    <x v="3"/>
  </r>
  <r>
    <x v="952"/>
    <s v="Beyond Files 710"/>
    <x v="1"/>
    <s v="Unknown"/>
    <x v="11"/>
    <d v="2020-07-29T00:00:00"/>
    <x v="12"/>
    <x v="5"/>
    <s v="8 Seasons"/>
    <x v="6"/>
    <n v="5.9"/>
    <n v="4508939"/>
    <n v="2863939"/>
    <n v="56"/>
    <x v="7"/>
    <x v="1"/>
  </r>
  <r>
    <x v="953"/>
    <s v="Echo Night 220"/>
    <x v="0"/>
    <s v="A. Smith"/>
    <x v="7"/>
    <d v="2020-08-01T00:00:00"/>
    <x v="23"/>
    <x v="4"/>
    <s v="172 Min"/>
    <x v="2"/>
    <n v="5.8"/>
    <n v="2777333"/>
    <n v="743313"/>
    <n v="49"/>
    <x v="8"/>
    <x v="4"/>
  </r>
  <r>
    <x v="954"/>
    <s v="Hidden Edge 525"/>
    <x v="1"/>
    <s v="K. Tanaka"/>
    <x v="12"/>
    <d v="2020-08-06T00:00:00"/>
    <x v="6"/>
    <x v="6"/>
    <s v="1 Seasons"/>
    <x v="10"/>
    <n v="11.2"/>
    <n v="20823281"/>
    <n v="1220596"/>
    <n v="46"/>
    <x v="2"/>
    <x v="4"/>
  </r>
  <r>
    <x v="955"/>
    <s v="Royal Line 1282"/>
    <x v="0"/>
    <s v="R. Kumar"/>
    <x v="6"/>
    <d v="2020-08-08T00:00:00"/>
    <x v="26"/>
    <x v="2"/>
    <s v="108 Min"/>
    <x v="10"/>
    <n v="7.5"/>
    <n v="23288891"/>
    <n v="4271387"/>
    <n v="74"/>
    <x v="3"/>
    <x v="4"/>
  </r>
  <r>
    <x v="956"/>
    <s v="Shadow Zone 1640"/>
    <x v="2"/>
    <s v="S. Patel"/>
    <x v="7"/>
    <d v="2020-08-08T00:00:00"/>
    <x v="1"/>
    <x v="7"/>
    <s v="2 Seasons"/>
    <x v="2"/>
    <n v="9.3000000000000007"/>
    <n v="11600127"/>
    <n v="619642"/>
    <n v="91"/>
    <x v="6"/>
    <x v="1"/>
  </r>
  <r>
    <x v="957"/>
    <s v="Silent World 1799"/>
    <x v="0"/>
    <s v="S. Patel"/>
    <x v="5"/>
    <d v="2020-08-10T00:00:00"/>
    <x v="20"/>
    <x v="3"/>
    <s v="150 Min"/>
    <x v="3"/>
    <n v="5.0999999999999996"/>
    <n v="6384267"/>
    <n v="4643160"/>
    <n v="88"/>
    <x v="2"/>
    <x v="4"/>
  </r>
  <r>
    <x v="958"/>
    <s v="Wild Edge 589"/>
    <x v="0"/>
    <s v="Unknown"/>
    <x v="7"/>
    <d v="2020-08-12T00:00:00"/>
    <x v="22"/>
    <x v="4"/>
    <s v="138 Min"/>
    <x v="6"/>
    <n v="9.5"/>
    <n v="10372910"/>
    <n v="1491785"/>
    <n v="88"/>
    <x v="0"/>
    <x v="4"/>
  </r>
  <r>
    <x v="959"/>
    <s v="Future Files 690"/>
    <x v="0"/>
    <s v="J. Lee"/>
    <x v="9"/>
    <d v="2020-08-13T00:00:00"/>
    <x v="11"/>
    <x v="7"/>
    <s v="108 Min"/>
    <x v="2"/>
    <n v="9.1999999999999993"/>
    <n v="7482780"/>
    <n v="1059932"/>
    <n v="43"/>
    <x v="1"/>
    <x v="4"/>
  </r>
  <r>
    <x v="960"/>
    <s v="Hidden Valley 1682"/>
    <x v="2"/>
    <s v="K. Tanaka"/>
    <x v="3"/>
    <d v="2020-08-14T00:00:00"/>
    <x v="22"/>
    <x v="7"/>
    <s v="7 Seasons"/>
    <x v="2"/>
    <n v="9.4"/>
    <n v="13371186"/>
    <n v="4981041"/>
    <n v="70"/>
    <x v="2"/>
    <x v="0"/>
  </r>
  <r>
    <x v="961"/>
    <s v="Lost Code 583"/>
    <x v="2"/>
    <s v="S. Patel"/>
    <x v="5"/>
    <d v="2020-08-15T00:00:00"/>
    <x v="4"/>
    <x v="3"/>
    <s v="5 Seasons"/>
    <x v="4"/>
    <n v="8.6999999999999993"/>
    <n v="15637843"/>
    <n v="2283755"/>
    <n v="66"/>
    <x v="4"/>
    <x v="1"/>
  </r>
  <r>
    <x v="962"/>
    <s v="Future Truth 355"/>
    <x v="0"/>
    <s v="L. Brown"/>
    <x v="7"/>
    <d v="2020-08-17T00:00:00"/>
    <x v="7"/>
    <x v="3"/>
    <s v="136 Min"/>
    <x v="4"/>
    <n v="9.6999999999999993"/>
    <n v="19299205"/>
    <n v="482775"/>
    <n v="99"/>
    <x v="8"/>
    <x v="4"/>
  </r>
  <r>
    <x v="963"/>
    <s v="Beyond Code 383"/>
    <x v="2"/>
    <s v="R. Kumar"/>
    <x v="2"/>
    <d v="2020-08-17T00:00:00"/>
    <x v="12"/>
    <x v="9"/>
    <s v="1 Seasons"/>
    <x v="5"/>
    <n v="7.6"/>
    <n v="18983827"/>
    <n v="3786937"/>
    <n v="63"/>
    <x v="7"/>
    <x v="0"/>
  </r>
  <r>
    <x v="964"/>
    <s v="Echo Night 721"/>
    <x v="2"/>
    <s v="M. Garcia"/>
    <x v="9"/>
    <d v="2020-08-18T00:00:00"/>
    <x v="7"/>
    <x v="3"/>
    <s v="4 Seasons"/>
    <x v="9"/>
    <n v="9.8000000000000007"/>
    <n v="7561376"/>
    <n v="3805571"/>
    <n v="49"/>
    <x v="8"/>
    <x v="3"/>
  </r>
  <r>
    <x v="965"/>
    <s v="Wild World 1058"/>
    <x v="0"/>
    <s v="M. Garcia"/>
    <x v="8"/>
    <d v="2020-08-19T00:00:00"/>
    <x v="14"/>
    <x v="9"/>
    <s v="164 Min"/>
    <x v="6"/>
    <n v="7"/>
    <n v="22814306"/>
    <n v="2354880"/>
    <n v="89"/>
    <x v="7"/>
    <x v="4"/>
  </r>
  <r>
    <x v="966"/>
    <s v="Silent World 1086"/>
    <x v="0"/>
    <s v="J. Lee"/>
    <x v="9"/>
    <d v="2020-08-20T00:00:00"/>
    <x v="8"/>
    <x v="8"/>
    <s v="127 Min"/>
    <x v="9"/>
    <n v="9.1999999999999993"/>
    <n v="771637"/>
    <n v="490806"/>
    <n v="40"/>
    <x v="6"/>
    <x v="1"/>
  </r>
  <r>
    <x v="967"/>
    <s v="Beyond Quest 874"/>
    <x v="0"/>
    <s v="K. Tanaka"/>
    <x v="6"/>
    <d v="2020-08-23T00:00:00"/>
    <x v="26"/>
    <x v="6"/>
    <s v="111 Min"/>
    <x v="5"/>
    <n v="4.5"/>
    <n v="13081369"/>
    <n v="4439098"/>
    <n v="52"/>
    <x v="3"/>
    <x v="1"/>
  </r>
  <r>
    <x v="968"/>
    <s v="Golden Night 1766"/>
    <x v="0"/>
    <s v="S. Patel"/>
    <x v="1"/>
    <d v="2020-08-23T00:00:00"/>
    <x v="0"/>
    <x v="1"/>
    <s v="77 Min"/>
    <x v="0"/>
    <n v="8.8000000000000007"/>
    <n v="8809210"/>
    <n v="1165407"/>
    <n v="47"/>
    <x v="1"/>
    <x v="4"/>
  </r>
  <r>
    <x v="969"/>
    <s v="Wild Game 1131"/>
    <x v="0"/>
    <s v="S. Patel"/>
    <x v="8"/>
    <d v="2020-08-27T00:00:00"/>
    <x v="15"/>
    <x v="7"/>
    <s v="114 Min"/>
    <x v="6"/>
    <n v="7.5"/>
    <n v="2845220"/>
    <n v="1333640"/>
    <n v="68"/>
    <x v="9"/>
    <x v="1"/>
  </r>
  <r>
    <x v="970"/>
    <s v="Future Dream 676"/>
    <x v="0"/>
    <s v="S. Patel"/>
    <x v="3"/>
    <d v="2020-08-31T00:00:00"/>
    <x v="4"/>
    <x v="5"/>
    <s v="155 Min"/>
    <x v="8"/>
    <n v="9.3000000000000007"/>
    <n v="24617326"/>
    <n v="3602048"/>
    <n v="59"/>
    <x v="1"/>
    <x v="2"/>
  </r>
  <r>
    <x v="971"/>
    <s v="Echo Empire 1272"/>
    <x v="1"/>
    <s v="M. Garcia"/>
    <x v="1"/>
    <d v="2020-08-31T00:00:00"/>
    <x v="8"/>
    <x v="1"/>
    <s v="8 Seasons"/>
    <x v="1"/>
    <n v="8.4"/>
    <n v="9161268"/>
    <n v="3598602"/>
    <n v="64"/>
    <x v="1"/>
    <x v="2"/>
  </r>
  <r>
    <x v="972"/>
    <s v="Last Files 1292"/>
    <x v="0"/>
    <s v="Unknown"/>
    <x v="10"/>
    <d v="2020-09-01T00:00:00"/>
    <x v="18"/>
    <x v="0"/>
    <s v="106 Min"/>
    <x v="8"/>
    <n v="4.9000000000000004"/>
    <n v="13927384"/>
    <n v="3096166"/>
    <n v="43"/>
    <x v="8"/>
    <x v="0"/>
  </r>
  <r>
    <x v="973"/>
    <s v="Golden World 1535"/>
    <x v="0"/>
    <s v="K. Tanaka"/>
    <x v="12"/>
    <d v="2020-09-02T00:00:00"/>
    <x v="23"/>
    <x v="2"/>
    <s v="150 Min"/>
    <x v="7"/>
    <n v="7.4"/>
    <n v="15652008"/>
    <n v="4686946"/>
    <n v="94"/>
    <x v="5"/>
    <x v="2"/>
  </r>
  <r>
    <x v="974"/>
    <s v="Secret Empire 1732"/>
    <x v="2"/>
    <s v="M. Garcia"/>
    <x v="12"/>
    <d v="2020-09-06T00:00:00"/>
    <x v="19"/>
    <x v="7"/>
    <s v="5 Seasons"/>
    <x v="1"/>
    <n v="6.1"/>
    <n v="2054363"/>
    <n v="161048"/>
    <n v="96"/>
    <x v="4"/>
    <x v="2"/>
  </r>
  <r>
    <x v="975"/>
    <s v="Beyond Dream 1922"/>
    <x v="1"/>
    <s v="Unknown"/>
    <x v="6"/>
    <d v="2020-09-07T00:00:00"/>
    <x v="25"/>
    <x v="4"/>
    <s v="7 Seasons"/>
    <x v="1"/>
    <n v="8.1"/>
    <n v="9653186"/>
    <n v="2885965"/>
    <n v="94"/>
    <x v="3"/>
    <x v="4"/>
  </r>
  <r>
    <x v="976"/>
    <s v="Future Files 554"/>
    <x v="1"/>
    <s v="Unknown"/>
    <x v="6"/>
    <d v="2020-09-09T00:00:00"/>
    <x v="5"/>
    <x v="8"/>
    <s v="7 Seasons"/>
    <x v="10"/>
    <n v="6"/>
    <n v="2269119"/>
    <n v="2771445"/>
    <n v="67"/>
    <x v="8"/>
    <x v="1"/>
  </r>
  <r>
    <x v="977"/>
    <s v="Blue Edge 314"/>
    <x v="0"/>
    <s v="N. Singh"/>
    <x v="8"/>
    <d v="2020-09-11T00:00:00"/>
    <x v="5"/>
    <x v="5"/>
    <s v="131 Min"/>
    <x v="0"/>
    <n v="9"/>
    <n v="12566767"/>
    <n v="1793185"/>
    <n v="41"/>
    <x v="8"/>
    <x v="0"/>
  </r>
  <r>
    <x v="978"/>
    <s v="Shadow Rise 825"/>
    <x v="0"/>
    <s v="Unknown"/>
    <x v="9"/>
    <d v="2020-09-11T00:00:00"/>
    <x v="21"/>
    <x v="8"/>
    <s v="Unknown"/>
    <x v="4"/>
    <n v="7.5"/>
    <n v="6128945"/>
    <n v="1075029"/>
    <n v="75"/>
    <x v="2"/>
    <x v="1"/>
  </r>
  <r>
    <x v="979"/>
    <s v="Blue Code 1901"/>
    <x v="2"/>
    <s v="R. Kumar"/>
    <x v="4"/>
    <d v="2020-09-16T00:00:00"/>
    <x v="1"/>
    <x v="8"/>
    <s v="1 Seasons"/>
    <x v="10"/>
    <n v="5.6"/>
    <n v="24036250"/>
    <n v="1096023"/>
    <n v="62"/>
    <x v="2"/>
    <x v="0"/>
  </r>
  <r>
    <x v="980"/>
    <s v="Fire Zone 434"/>
    <x v="0"/>
    <s v="Unknown"/>
    <x v="7"/>
    <d v="2020-09-17T00:00:00"/>
    <x v="18"/>
    <x v="2"/>
    <s v="103 Min"/>
    <x v="2"/>
    <n v="4.8"/>
    <n v="10645693"/>
    <n v="4481987"/>
    <n v="58"/>
    <x v="7"/>
    <x v="2"/>
  </r>
  <r>
    <x v="981"/>
    <s v="Lost Legacy 858"/>
    <x v="0"/>
    <s v="S. Patel"/>
    <x v="10"/>
    <d v="2020-09-19T00:00:00"/>
    <x v="24"/>
    <x v="3"/>
    <s v="116 Min"/>
    <x v="10"/>
    <n v="6.9"/>
    <n v="19184897"/>
    <n v="1586666"/>
    <n v="90"/>
    <x v="5"/>
    <x v="4"/>
  </r>
  <r>
    <x v="982"/>
    <s v="Broken Signal 1760"/>
    <x v="0"/>
    <s v="S. Patel"/>
    <x v="6"/>
    <d v="2020-09-20T00:00:00"/>
    <x v="2"/>
    <x v="2"/>
    <s v="154 Min"/>
    <x v="6"/>
    <n v="9.4"/>
    <n v="19922128"/>
    <n v="393301"/>
    <n v="78"/>
    <x v="6"/>
    <x v="3"/>
  </r>
  <r>
    <x v="983"/>
    <s v="Crimson Line 1426"/>
    <x v="1"/>
    <s v="J. Lee"/>
    <x v="6"/>
    <d v="2020-09-28T00:00:00"/>
    <x v="4"/>
    <x v="9"/>
    <s v="3 Seasons"/>
    <x v="8"/>
    <n v="6.4"/>
    <n v="24661022"/>
    <n v="1446133"/>
    <n v="62"/>
    <x v="0"/>
    <x v="2"/>
  </r>
  <r>
    <x v="984"/>
    <s v="Lost Line 171"/>
    <x v="1"/>
    <s v="N. Singh"/>
    <x v="1"/>
    <d v="2020-09-30T00:00:00"/>
    <x v="25"/>
    <x v="2"/>
    <s v="3 Seasons"/>
    <x v="4"/>
    <n v="9.3000000000000007"/>
    <n v="17954727"/>
    <n v="4210372"/>
    <n v="46"/>
    <x v="6"/>
    <x v="2"/>
  </r>
  <r>
    <x v="985"/>
    <s v="Shadow Files 437"/>
    <x v="0"/>
    <s v="Unknown"/>
    <x v="10"/>
    <d v="2020-10-02T00:00:00"/>
    <x v="0"/>
    <x v="9"/>
    <s v="102 Min"/>
    <x v="3"/>
    <n v="5"/>
    <n v="3550823"/>
    <n v="3349296"/>
    <n v="76"/>
    <x v="4"/>
    <x v="0"/>
  </r>
  <r>
    <x v="986"/>
    <s v="Echo Game 1447"/>
    <x v="2"/>
    <s v="K. Tanaka"/>
    <x v="6"/>
    <d v="2020-10-02T00:00:00"/>
    <x v="21"/>
    <x v="2"/>
    <s v="3 Seasons"/>
    <x v="8"/>
    <n v="8.9"/>
    <n v="23774038"/>
    <n v="1960212"/>
    <n v="65"/>
    <x v="5"/>
    <x v="1"/>
  </r>
  <r>
    <x v="987"/>
    <s v="Urban Quest 1041"/>
    <x v="0"/>
    <s v="N. Singh"/>
    <x v="7"/>
    <d v="2020-10-03T00:00:00"/>
    <x v="13"/>
    <x v="3"/>
    <s v="134 Min"/>
    <x v="9"/>
    <n v="8.6"/>
    <n v="5974724"/>
    <n v="4819419"/>
    <n v="83"/>
    <x v="7"/>
    <x v="0"/>
  </r>
  <r>
    <x v="988"/>
    <s v="Fire Night 1934"/>
    <x v="0"/>
    <s v="N. Singh"/>
    <x v="7"/>
    <d v="2020-10-03T00:00:00"/>
    <x v="1"/>
    <x v="8"/>
    <s v="86 Min"/>
    <x v="2"/>
    <n v="9.8000000000000007"/>
    <n v="19422831"/>
    <n v="1954797"/>
    <n v="66"/>
    <x v="1"/>
    <x v="4"/>
  </r>
  <r>
    <x v="989"/>
    <s v="Urban Zone 67"/>
    <x v="1"/>
    <s v="J. Lee"/>
    <x v="9"/>
    <d v="2020-10-08T00:00:00"/>
    <x v="8"/>
    <x v="8"/>
    <s v="6 Seasons"/>
    <x v="2"/>
    <n v="5.5"/>
    <n v="23604341"/>
    <n v="1297831"/>
    <n v="55"/>
    <x v="9"/>
    <x v="3"/>
  </r>
  <r>
    <x v="990"/>
    <s v="Dark Signal 905"/>
    <x v="1"/>
    <s v="D. Kim"/>
    <x v="6"/>
    <d v="2020-10-09T00:00:00"/>
    <x v="17"/>
    <x v="9"/>
    <s v="7 Seasons"/>
    <x v="3"/>
    <n v="4.5999999999999996"/>
    <n v="11123560"/>
    <n v="2412091"/>
    <n v="77"/>
    <x v="3"/>
    <x v="2"/>
  </r>
  <r>
    <x v="991"/>
    <s v="Beyond Chronicles 1186"/>
    <x v="2"/>
    <s v="J. Lee"/>
    <x v="9"/>
    <d v="2020-10-09T00:00:00"/>
    <x v="21"/>
    <x v="3"/>
    <s v="6 Seasons"/>
    <x v="9"/>
    <n v="8.5"/>
    <n v="4268419"/>
    <n v="211290"/>
    <n v="85"/>
    <x v="4"/>
    <x v="4"/>
  </r>
  <r>
    <x v="992"/>
    <s v="Royal Valley 324"/>
    <x v="1"/>
    <s v="L. Brown"/>
    <x v="6"/>
    <d v="2020-10-14T00:00:00"/>
    <x v="22"/>
    <x v="4"/>
    <s v="8 Seasons"/>
    <x v="4"/>
    <n v="8.1999999999999993"/>
    <n v="17981954"/>
    <n v="4146648"/>
    <n v="71"/>
    <x v="9"/>
    <x v="2"/>
  </r>
  <r>
    <x v="993"/>
    <s v="Dark Zone 1492"/>
    <x v="0"/>
    <s v="Unknown"/>
    <x v="10"/>
    <d v="2020-10-14T00:00:00"/>
    <x v="15"/>
    <x v="2"/>
    <s v="152 Min"/>
    <x v="9"/>
    <n v="7.9"/>
    <n v="23282296"/>
    <n v="313237"/>
    <n v="73"/>
    <x v="6"/>
    <x v="3"/>
  </r>
  <r>
    <x v="994"/>
    <s v="Royal Legacy 223"/>
    <x v="1"/>
    <s v="Unknown"/>
    <x v="9"/>
    <d v="2020-10-18T00:00:00"/>
    <x v="24"/>
    <x v="9"/>
    <s v="2 Seasons"/>
    <x v="3"/>
    <n v="8.3000000000000007"/>
    <n v="9767824"/>
    <n v="1774889"/>
    <n v="84"/>
    <x v="8"/>
    <x v="3"/>
  </r>
  <r>
    <x v="995"/>
    <s v="Dark Journey 18"/>
    <x v="1"/>
    <s v="J. Lee"/>
    <x v="7"/>
    <d v="2020-10-19T00:00:00"/>
    <x v="7"/>
    <x v="9"/>
    <s v="5 Seasons"/>
    <x v="2"/>
    <n v="6"/>
    <n v="6162004"/>
    <n v="3568817"/>
    <n v="57"/>
    <x v="6"/>
    <x v="2"/>
  </r>
  <r>
    <x v="996"/>
    <s v="Last Dream 146"/>
    <x v="0"/>
    <s v="M. Garcia"/>
    <x v="1"/>
    <d v="2020-10-23T00:00:00"/>
    <x v="20"/>
    <x v="0"/>
    <s v="134 Min"/>
    <x v="2"/>
    <n v="8.6"/>
    <n v="11781839"/>
    <n v="2035954"/>
    <n v="95"/>
    <x v="8"/>
    <x v="1"/>
  </r>
  <r>
    <x v="997"/>
    <s v="Last Chronicles 1627"/>
    <x v="1"/>
    <s v="A. Smith"/>
    <x v="7"/>
    <d v="2020-10-23T00:00:00"/>
    <x v="25"/>
    <x v="6"/>
    <s v="1 Seasons"/>
    <x v="6"/>
    <n v="8"/>
    <n v="2710049"/>
    <n v="4392098"/>
    <n v="86"/>
    <x v="0"/>
    <x v="1"/>
  </r>
  <r>
    <x v="998"/>
    <s v="Echo Line 587"/>
    <x v="2"/>
    <s v="P. Johnson"/>
    <x v="8"/>
    <d v="2020-10-24T00:00:00"/>
    <x v="8"/>
    <x v="4"/>
    <s v="Unknown"/>
    <x v="2"/>
    <n v="7.1"/>
    <n v="12640337"/>
    <n v="1205763"/>
    <n v="42"/>
    <x v="0"/>
    <x v="3"/>
  </r>
  <r>
    <x v="999"/>
    <s v="Secret World 1955"/>
    <x v="0"/>
    <s v="A. Smith"/>
    <x v="7"/>
    <d v="2020-10-25T00:00:00"/>
    <x v="20"/>
    <x v="3"/>
    <s v="86 Min"/>
    <x v="1"/>
    <n v="5.4"/>
    <n v="24336048"/>
    <n v="1495392"/>
    <n v="73"/>
    <x v="0"/>
    <x v="2"/>
  </r>
  <r>
    <x v="1000"/>
    <s v="Crimson Signal 1942"/>
    <x v="2"/>
    <s v="Unknown"/>
    <x v="6"/>
    <d v="2020-10-27T00:00:00"/>
    <x v="22"/>
    <x v="8"/>
    <s v="6 Seasons"/>
    <x v="6"/>
    <n v="5.9"/>
    <n v="7941791"/>
    <n v="1593927"/>
    <n v="74"/>
    <x v="2"/>
    <x v="4"/>
  </r>
  <r>
    <x v="1001"/>
    <s v="Ocean Truth 273"/>
    <x v="0"/>
    <s v="J. Lee"/>
    <x v="7"/>
    <d v="2020-10-30T00:00:00"/>
    <x v="14"/>
    <x v="3"/>
    <s v="119 Min"/>
    <x v="2"/>
    <n v="9.1"/>
    <n v="2274160"/>
    <n v="785373"/>
    <n v="51"/>
    <x v="9"/>
    <x v="2"/>
  </r>
  <r>
    <x v="1002"/>
    <s v="Blue Code 301"/>
    <x v="0"/>
    <s v="L. Brown"/>
    <x v="12"/>
    <d v="2020-11-01T00:00:00"/>
    <x v="17"/>
    <x v="9"/>
    <s v="74 Min"/>
    <x v="5"/>
    <n v="7.5"/>
    <n v="23117947"/>
    <n v="1471198"/>
    <n v="55"/>
    <x v="3"/>
    <x v="1"/>
  </r>
  <r>
    <x v="1003"/>
    <s v="Royal Valley 1620"/>
    <x v="1"/>
    <s v="A. Smith"/>
    <x v="2"/>
    <d v="2020-11-01T00:00:00"/>
    <x v="3"/>
    <x v="1"/>
    <s v="4 Seasons"/>
    <x v="7"/>
    <n v="7.6"/>
    <n v="23106154"/>
    <n v="447628"/>
    <n v="46"/>
    <x v="1"/>
    <x v="1"/>
  </r>
  <r>
    <x v="1004"/>
    <s v="Lost Signal 1264"/>
    <x v="2"/>
    <s v="P. Johnson"/>
    <x v="9"/>
    <d v="2020-11-02T00:00:00"/>
    <x v="0"/>
    <x v="0"/>
    <s v="7 Seasons"/>
    <x v="4"/>
    <n v="4.7"/>
    <n v="15007555"/>
    <n v="3242894"/>
    <n v="40"/>
    <x v="0"/>
    <x v="1"/>
  </r>
  <r>
    <x v="1005"/>
    <s v="Hidden Dream 65"/>
    <x v="2"/>
    <s v="P. Johnson"/>
    <x v="8"/>
    <d v="2020-11-04T00:00:00"/>
    <x v="3"/>
    <x v="2"/>
    <s v="3 Seasons"/>
    <x v="2"/>
    <n v="5.4"/>
    <n v="2723969"/>
    <n v="4113864"/>
    <n v="84"/>
    <x v="5"/>
    <x v="2"/>
  </r>
  <r>
    <x v="1006"/>
    <s v="Crimson Night 1599"/>
    <x v="0"/>
    <s v="Unknown"/>
    <x v="7"/>
    <d v="2020-11-06T00:00:00"/>
    <x v="15"/>
    <x v="3"/>
    <s v="111 Min"/>
    <x v="7"/>
    <n v="9.4"/>
    <n v="1014537"/>
    <n v="841441"/>
    <n v="61"/>
    <x v="5"/>
    <x v="2"/>
  </r>
  <r>
    <x v="1007"/>
    <s v="Hidden Rise 1938"/>
    <x v="1"/>
    <s v="D. Kim"/>
    <x v="4"/>
    <d v="2020-11-06T00:00:00"/>
    <x v="6"/>
    <x v="0"/>
    <s v="5 Seasons"/>
    <x v="5"/>
    <n v="6"/>
    <n v="7603026"/>
    <n v="974812"/>
    <n v="46"/>
    <x v="1"/>
    <x v="3"/>
  </r>
  <r>
    <x v="1008"/>
    <s v="Urban Files 606"/>
    <x v="2"/>
    <s v="J. Lee"/>
    <x v="0"/>
    <d v="2020-11-11T00:00:00"/>
    <x v="12"/>
    <x v="1"/>
    <s v="6 Seasons"/>
    <x v="3"/>
    <n v="5.7"/>
    <n v="21513108"/>
    <n v="4572155"/>
    <n v="54"/>
    <x v="0"/>
    <x v="4"/>
  </r>
  <r>
    <x v="1009"/>
    <s v="Lost Files 28"/>
    <x v="1"/>
    <s v="N. Singh"/>
    <x v="5"/>
    <d v="2020-11-14T00:00:00"/>
    <x v="8"/>
    <x v="3"/>
    <s v="2 Seasons"/>
    <x v="6"/>
    <n v="5.0999999999999996"/>
    <n v="16716347"/>
    <n v="4079043"/>
    <n v="50"/>
    <x v="6"/>
    <x v="0"/>
  </r>
  <r>
    <x v="1010"/>
    <s v="Golden Empire 1560"/>
    <x v="0"/>
    <s v="S. Patel"/>
    <x v="10"/>
    <d v="2020-11-15T00:00:00"/>
    <x v="10"/>
    <x v="7"/>
    <s v="143 Min"/>
    <x v="2"/>
    <n v="8.3000000000000007"/>
    <n v="19086484"/>
    <n v="4494125"/>
    <n v="91"/>
    <x v="4"/>
    <x v="3"/>
  </r>
  <r>
    <x v="1011"/>
    <s v="Golden Dream 382"/>
    <x v="2"/>
    <s v="A. Smith"/>
    <x v="5"/>
    <d v="2020-11-17T00:00:00"/>
    <x v="25"/>
    <x v="6"/>
    <s v="1 Seasons"/>
    <x v="10"/>
    <n v="7.5"/>
    <n v="207619"/>
    <n v="1522664"/>
    <n v="79"/>
    <x v="7"/>
    <x v="3"/>
  </r>
  <r>
    <x v="1012"/>
    <s v="Royal Code 1055"/>
    <x v="2"/>
    <s v="N. Singh"/>
    <x v="1"/>
    <d v="2020-11-19T00:00:00"/>
    <x v="7"/>
    <x v="5"/>
    <s v="8 Seasons"/>
    <x v="6"/>
    <n v="5.6"/>
    <n v="20250736"/>
    <n v="1063112"/>
    <n v="73"/>
    <x v="2"/>
    <x v="4"/>
  </r>
  <r>
    <x v="1013"/>
    <s v="Shadow Story 843"/>
    <x v="1"/>
    <s v="A. Smith"/>
    <x v="0"/>
    <d v="2020-11-20T00:00:00"/>
    <x v="9"/>
    <x v="9"/>
    <s v="2 Seasons"/>
    <x v="5"/>
    <n v="5.3"/>
    <n v="8482226"/>
    <n v="2576115"/>
    <n v="62"/>
    <x v="2"/>
    <x v="4"/>
  </r>
  <r>
    <x v="1014"/>
    <s v="Hidden Valley 1437"/>
    <x v="1"/>
    <s v="M. Garcia"/>
    <x v="6"/>
    <d v="2020-11-21T00:00:00"/>
    <x v="26"/>
    <x v="7"/>
    <s v="8 Seasons"/>
    <x v="4"/>
    <n v="9.1"/>
    <n v="21986486"/>
    <n v="342199"/>
    <n v="80"/>
    <x v="4"/>
    <x v="2"/>
  </r>
  <r>
    <x v="1015"/>
    <s v="Last Edge 1861"/>
    <x v="2"/>
    <s v="N. Singh"/>
    <x v="6"/>
    <d v="2020-11-22T00:00:00"/>
    <x v="18"/>
    <x v="1"/>
    <s v="4 Seasons"/>
    <x v="6"/>
    <n v="6.9"/>
    <n v="11837940"/>
    <n v="3055352"/>
    <n v="57"/>
    <x v="2"/>
    <x v="4"/>
  </r>
  <r>
    <x v="1016"/>
    <s v="Lost Valley 206"/>
    <x v="0"/>
    <s v="Unknown"/>
    <x v="4"/>
    <d v="2020-11-24T00:00:00"/>
    <x v="8"/>
    <x v="3"/>
    <s v="90 Min"/>
    <x v="3"/>
    <n v="8"/>
    <n v="7501323"/>
    <n v="521550"/>
    <n v="40"/>
    <x v="4"/>
    <x v="1"/>
  </r>
  <r>
    <x v="1017"/>
    <s v="Crimson Valley 22"/>
    <x v="1"/>
    <s v="J. Lee"/>
    <x v="12"/>
    <d v="2020-11-26T00:00:00"/>
    <x v="6"/>
    <x v="9"/>
    <s v="3 Seasons"/>
    <x v="3"/>
    <n v="6.1"/>
    <n v="45866"/>
    <n v="2813975"/>
    <n v="70"/>
    <x v="4"/>
    <x v="3"/>
  </r>
  <r>
    <x v="1018"/>
    <s v="Secret Files 1708"/>
    <x v="0"/>
    <s v="N. Singh"/>
    <x v="2"/>
    <d v="2020-11-26T00:00:00"/>
    <x v="18"/>
    <x v="0"/>
    <s v="129 Min"/>
    <x v="4"/>
    <n v="8.1"/>
    <n v="2669122"/>
    <n v="1169156"/>
    <n v="87"/>
    <x v="3"/>
    <x v="0"/>
  </r>
  <r>
    <x v="1019"/>
    <s v="Silent Truth 1094"/>
    <x v="0"/>
    <s v="Unknown"/>
    <x v="12"/>
    <d v="2020-11-29T00:00:00"/>
    <x v="24"/>
    <x v="4"/>
    <s v="123 Min"/>
    <x v="7"/>
    <n v="8.3000000000000007"/>
    <n v="1970361"/>
    <n v="828108"/>
    <n v="90"/>
    <x v="9"/>
    <x v="2"/>
  </r>
  <r>
    <x v="1020"/>
    <s v="Fire World 1954"/>
    <x v="1"/>
    <s v="A. Smith"/>
    <x v="4"/>
    <d v="2020-11-29T00:00:00"/>
    <x v="1"/>
    <x v="0"/>
    <s v="6 Seasons"/>
    <x v="5"/>
    <n v="4.8"/>
    <n v="11863953"/>
    <n v="2419595"/>
    <n v="94"/>
    <x v="9"/>
    <x v="0"/>
  </r>
  <r>
    <x v="1021"/>
    <s v="Shadow Valley 192"/>
    <x v="1"/>
    <s v="A. Smith"/>
    <x v="7"/>
    <d v="2020-11-30T00:00:00"/>
    <x v="19"/>
    <x v="0"/>
    <s v="7 Seasons"/>
    <x v="10"/>
    <n v="6.1"/>
    <n v="5887819"/>
    <n v="2981142"/>
    <n v="41"/>
    <x v="8"/>
    <x v="2"/>
  </r>
  <r>
    <x v="1022"/>
    <s v="Hidden Rise 172"/>
    <x v="1"/>
    <s v="R. Kumar"/>
    <x v="7"/>
    <d v="2020-12-04T00:00:00"/>
    <x v="17"/>
    <x v="5"/>
    <s v="4 Seasons"/>
    <x v="2"/>
    <n v="9.1999999999999993"/>
    <n v="19421813"/>
    <n v="1826560"/>
    <n v="78"/>
    <x v="5"/>
    <x v="2"/>
  </r>
  <r>
    <x v="1023"/>
    <s v="Broken Rise 76"/>
    <x v="2"/>
    <s v="Unknown"/>
    <x v="5"/>
    <d v="2020-12-06T00:00:00"/>
    <x v="16"/>
    <x v="0"/>
    <s v="8 Seasons"/>
    <x v="6"/>
    <n v="7"/>
    <n v="16497716"/>
    <n v="2069350"/>
    <n v="74"/>
    <x v="0"/>
    <x v="2"/>
  </r>
  <r>
    <x v="1024"/>
    <s v="Fire Journey 1017"/>
    <x v="1"/>
    <s v="R. Kumar"/>
    <x v="1"/>
    <d v="2020-12-09T00:00:00"/>
    <x v="0"/>
    <x v="1"/>
    <s v="4 Seasons"/>
    <x v="5"/>
    <n v="6.5"/>
    <n v="20109510"/>
    <n v="3639644"/>
    <n v="41"/>
    <x v="5"/>
    <x v="2"/>
  </r>
  <r>
    <x v="1025"/>
    <s v="Blue Files 643"/>
    <x v="0"/>
    <s v="P. Johnson"/>
    <x v="9"/>
    <d v="2020-12-10T00:00:00"/>
    <x v="1"/>
    <x v="7"/>
    <s v="101 Min"/>
    <x v="2"/>
    <n v="8.8000000000000007"/>
    <n v="13407393"/>
    <n v="4080164"/>
    <n v="89"/>
    <x v="3"/>
    <x v="1"/>
  </r>
  <r>
    <x v="1026"/>
    <s v="Broken Line 1102"/>
    <x v="0"/>
    <s v="M. Garcia"/>
    <x v="10"/>
    <d v="2020-12-21T00:00:00"/>
    <x v="19"/>
    <x v="7"/>
    <s v="124 Min"/>
    <x v="9"/>
    <n v="5.7"/>
    <n v="22411575"/>
    <n v="384194"/>
    <n v="47"/>
    <x v="8"/>
    <x v="2"/>
  </r>
  <r>
    <x v="1027"/>
    <s v="Blue Night 1105"/>
    <x v="1"/>
    <s v="N. Singh"/>
    <x v="8"/>
    <d v="2020-12-22T00:00:00"/>
    <x v="3"/>
    <x v="8"/>
    <s v="4 Seasons"/>
    <x v="2"/>
    <n v="6.4"/>
    <n v="12005243"/>
    <n v="3142974"/>
    <n v="69"/>
    <x v="6"/>
    <x v="4"/>
  </r>
  <r>
    <x v="1028"/>
    <s v="Echo Chronicles 1277"/>
    <x v="1"/>
    <s v="N. Singh"/>
    <x v="12"/>
    <d v="2020-12-22T00:00:00"/>
    <x v="22"/>
    <x v="0"/>
    <s v="7 Seasons"/>
    <x v="8"/>
    <n v="9"/>
    <n v="3570527"/>
    <n v="3121302"/>
    <n v="81"/>
    <x v="4"/>
    <x v="3"/>
  </r>
  <r>
    <x v="1029"/>
    <s v="Blue Code 1730"/>
    <x v="1"/>
    <s v="N. Singh"/>
    <x v="0"/>
    <d v="2020-12-22T00:00:00"/>
    <x v="8"/>
    <x v="7"/>
    <s v="5 Seasons"/>
    <x v="10"/>
    <n v="8.1999999999999993"/>
    <n v="123520"/>
    <n v="41671"/>
    <n v="120"/>
    <x v="1"/>
    <x v="2"/>
  </r>
  <r>
    <x v="1030"/>
    <s v="Dark Code 638"/>
    <x v="2"/>
    <s v="J. Lee"/>
    <x v="7"/>
    <d v="2020-12-23T00:00:00"/>
    <x v="8"/>
    <x v="7"/>
    <s v="Unknown"/>
    <x v="0"/>
    <n v="5.0999999999999996"/>
    <n v="22945964"/>
    <n v="3622189"/>
    <n v="64"/>
    <x v="7"/>
    <x v="2"/>
  </r>
  <r>
    <x v="1031"/>
    <s v="Shadow Chronicles 1077"/>
    <x v="0"/>
    <s v="J. Lee"/>
    <x v="1"/>
    <d v="2020-12-24T00:00:00"/>
    <x v="24"/>
    <x v="5"/>
    <s v="168 Min"/>
    <x v="3"/>
    <n v="6.9"/>
    <n v="15037897"/>
    <n v="3577372"/>
    <n v="97"/>
    <x v="1"/>
    <x v="1"/>
  </r>
  <r>
    <x v="1032"/>
    <s v="Urban Edge 1199"/>
    <x v="1"/>
    <s v="M. Garcia"/>
    <x v="2"/>
    <d v="2020-12-26T00:00:00"/>
    <x v="19"/>
    <x v="0"/>
    <s v="4 Seasons"/>
    <x v="3"/>
    <n v="6"/>
    <n v="19122730"/>
    <n v="3962037"/>
    <n v="76"/>
    <x v="4"/>
    <x v="3"/>
  </r>
  <r>
    <x v="1033"/>
    <s v="Broken Night 838"/>
    <x v="1"/>
    <s v="N. Singh"/>
    <x v="0"/>
    <d v="2020-12-29T00:00:00"/>
    <x v="3"/>
    <x v="2"/>
    <s v="3 Seasons"/>
    <x v="3"/>
    <n v="8.9"/>
    <n v="6719018"/>
    <n v="1787770"/>
    <n v="73"/>
    <x v="4"/>
    <x v="3"/>
  </r>
  <r>
    <x v="1034"/>
    <s v="Blue Code 337"/>
    <x v="1"/>
    <s v="S. Patel"/>
    <x v="1"/>
    <d v="2020-12-31T00:00:00"/>
    <x v="26"/>
    <x v="7"/>
    <s v="3 Seasons"/>
    <x v="0"/>
    <n v="6.1"/>
    <n v="7146934"/>
    <n v="1388600"/>
    <n v="68"/>
    <x v="3"/>
    <x v="1"/>
  </r>
  <r>
    <x v="1035"/>
    <s v="Urban Night 1208"/>
    <x v="0"/>
    <s v="N. Singh"/>
    <x v="8"/>
    <d v="2021-01-02T00:00:00"/>
    <x v="16"/>
    <x v="5"/>
    <s v="167 Min"/>
    <x v="9"/>
    <n v="8.6999999999999993"/>
    <n v="18319839"/>
    <n v="878007"/>
    <n v="47"/>
    <x v="3"/>
    <x v="2"/>
  </r>
  <r>
    <x v="1036"/>
    <s v="Blue Night 1783"/>
    <x v="0"/>
    <s v="Unknown"/>
    <x v="4"/>
    <d v="2021-01-03T00:00:00"/>
    <x v="27"/>
    <x v="8"/>
    <s v="97 Min"/>
    <x v="10"/>
    <n v="7.7"/>
    <n v="24181690"/>
    <n v="4530628"/>
    <n v="51"/>
    <x v="8"/>
    <x v="3"/>
  </r>
  <r>
    <x v="1037"/>
    <s v="Fire Code 264"/>
    <x v="0"/>
    <s v="L. Brown"/>
    <x v="11"/>
    <d v="2021-01-06T00:00:00"/>
    <x v="27"/>
    <x v="8"/>
    <s v="84 Min"/>
    <x v="7"/>
    <n v="6.8"/>
    <n v="4439979"/>
    <n v="768265"/>
    <n v="67"/>
    <x v="2"/>
    <x v="1"/>
  </r>
  <r>
    <x v="1038"/>
    <s v="Golden Dream 1161"/>
    <x v="1"/>
    <s v="K. Tanaka"/>
    <x v="4"/>
    <d v="2021-01-06T00:00:00"/>
    <x v="7"/>
    <x v="6"/>
    <s v="5 Seasons"/>
    <x v="2"/>
    <n v="5.4"/>
    <n v="14607559"/>
    <n v="4273672"/>
    <n v="76"/>
    <x v="9"/>
    <x v="0"/>
  </r>
  <r>
    <x v="1039"/>
    <s v="Dark Quest 617"/>
    <x v="0"/>
    <s v="Unknown"/>
    <x v="1"/>
    <d v="2021-01-07T00:00:00"/>
    <x v="17"/>
    <x v="3"/>
    <s v="Unknown"/>
    <x v="9"/>
    <n v="7.4"/>
    <n v="8004412"/>
    <n v="2799130"/>
    <n v="79"/>
    <x v="0"/>
    <x v="1"/>
  </r>
  <r>
    <x v="1040"/>
    <s v="Last Journey 772"/>
    <x v="0"/>
    <s v="Unknown"/>
    <x v="7"/>
    <d v="2021-01-10T00:00:00"/>
    <x v="5"/>
    <x v="9"/>
    <s v="125 Min"/>
    <x v="1"/>
    <n v="8.6"/>
    <n v="784388"/>
    <n v="1225773"/>
    <n v="91"/>
    <x v="4"/>
    <x v="3"/>
  </r>
  <r>
    <x v="1041"/>
    <s v="Shadow Edge 1982"/>
    <x v="2"/>
    <s v="P. Johnson"/>
    <x v="1"/>
    <d v="2021-01-16T00:00:00"/>
    <x v="6"/>
    <x v="0"/>
    <s v="2 Seasons"/>
    <x v="3"/>
    <n v="8.4"/>
    <n v="20144700"/>
    <n v="120830"/>
    <n v="40"/>
    <x v="1"/>
    <x v="1"/>
  </r>
  <r>
    <x v="1042"/>
    <s v="Lost Legacy 329"/>
    <x v="1"/>
    <s v="J. Lee"/>
    <x v="10"/>
    <d v="2021-01-17T00:00:00"/>
    <x v="17"/>
    <x v="8"/>
    <s v="4 Seasons"/>
    <x v="3"/>
    <n v="8.1999999999999993"/>
    <n v="3512439"/>
    <n v="4181872"/>
    <n v="93"/>
    <x v="6"/>
    <x v="0"/>
  </r>
  <r>
    <x v="1043"/>
    <s v="Wild Line 2000"/>
    <x v="0"/>
    <s v="Unknown"/>
    <x v="9"/>
    <d v="2021-01-18T00:00:00"/>
    <x v="1"/>
    <x v="2"/>
    <s v="81 Min"/>
    <x v="7"/>
    <n v="11.2"/>
    <n v="8439142"/>
    <n v="3963632"/>
    <n v="75"/>
    <x v="2"/>
    <x v="4"/>
  </r>
  <r>
    <x v="1044"/>
    <s v="Fire World 1252"/>
    <x v="1"/>
    <s v="Unknown"/>
    <x v="4"/>
    <d v="2021-01-22T00:00:00"/>
    <x v="3"/>
    <x v="0"/>
    <s v="8 Seasons"/>
    <x v="8"/>
    <n v="5.4"/>
    <n v="19328763"/>
    <n v="2008388"/>
    <n v="120"/>
    <x v="2"/>
    <x v="1"/>
  </r>
  <r>
    <x v="1045"/>
    <s v="Infinite Chronicles 168"/>
    <x v="0"/>
    <s v="R. Kumar"/>
    <x v="11"/>
    <d v="2021-01-30T00:00:00"/>
    <x v="18"/>
    <x v="4"/>
    <s v="166 Min"/>
    <x v="7"/>
    <n v="7.7"/>
    <n v="11562742"/>
    <n v="1631534"/>
    <n v="82"/>
    <x v="4"/>
    <x v="2"/>
  </r>
  <r>
    <x v="1046"/>
    <s v="Infinite Edge 1608"/>
    <x v="2"/>
    <s v="S. Patel"/>
    <x v="2"/>
    <d v="2021-01-30T00:00:00"/>
    <x v="12"/>
    <x v="7"/>
    <s v="7 Seasons"/>
    <x v="3"/>
    <n v="7.9"/>
    <n v="24672067"/>
    <n v="1348314"/>
    <n v="50"/>
    <x v="1"/>
    <x v="3"/>
  </r>
  <r>
    <x v="1047"/>
    <s v="Lost Story 1744"/>
    <x v="2"/>
    <s v="K. Tanaka"/>
    <x v="2"/>
    <d v="2021-01-30T00:00:00"/>
    <x v="17"/>
    <x v="3"/>
    <s v="6 Seasons"/>
    <x v="2"/>
    <n v="8.8000000000000007"/>
    <n v="16817969"/>
    <n v="443853"/>
    <n v="56"/>
    <x v="8"/>
    <x v="1"/>
  </r>
  <r>
    <x v="1048"/>
    <s v="Beyond Files 1200"/>
    <x v="0"/>
    <s v="M. Garcia"/>
    <x v="0"/>
    <d v="2021-02-04T00:00:00"/>
    <x v="25"/>
    <x v="5"/>
    <s v="121 Min"/>
    <x v="0"/>
    <n v="8.8000000000000007"/>
    <n v="14496328"/>
    <n v="1745620"/>
    <n v="67"/>
    <x v="3"/>
    <x v="1"/>
  </r>
  <r>
    <x v="1049"/>
    <s v="Fire Code 579"/>
    <x v="0"/>
    <s v="K. Tanaka"/>
    <x v="7"/>
    <d v="2021-02-05T00:00:00"/>
    <x v="13"/>
    <x v="3"/>
    <s v="178 Min"/>
    <x v="1"/>
    <n v="11.2"/>
    <n v="12781066"/>
    <n v="801597"/>
    <n v="40"/>
    <x v="3"/>
    <x v="3"/>
  </r>
  <r>
    <x v="1050"/>
    <s v="Golden Empire 543"/>
    <x v="0"/>
    <s v="M. Garcia"/>
    <x v="3"/>
    <d v="2021-02-12T00:00:00"/>
    <x v="0"/>
    <x v="2"/>
    <s v="167 Min"/>
    <x v="6"/>
    <n v="9.4"/>
    <n v="17485512"/>
    <n v="3724949"/>
    <n v="93"/>
    <x v="3"/>
    <x v="2"/>
  </r>
  <r>
    <x v="1051"/>
    <s v="Golden Files 188"/>
    <x v="0"/>
    <s v="N. Singh"/>
    <x v="8"/>
    <d v="2021-02-14T00:00:00"/>
    <x v="1"/>
    <x v="2"/>
    <s v="168 Min"/>
    <x v="3"/>
    <n v="9.1999999999999993"/>
    <n v="792361"/>
    <n v="4340171"/>
    <n v="93"/>
    <x v="9"/>
    <x v="1"/>
  </r>
  <r>
    <x v="1052"/>
    <s v="Lost Quest 711"/>
    <x v="1"/>
    <s v="Unknown"/>
    <x v="12"/>
    <d v="2021-02-15T00:00:00"/>
    <x v="13"/>
    <x v="4"/>
    <s v="5 Seasons"/>
    <x v="8"/>
    <n v="7.5"/>
    <n v="11399272"/>
    <n v="45513"/>
    <n v="80"/>
    <x v="2"/>
    <x v="1"/>
  </r>
  <r>
    <x v="1053"/>
    <s v="Dark Empire 345"/>
    <x v="1"/>
    <s v="L. Brown"/>
    <x v="10"/>
    <d v="2021-02-18T00:00:00"/>
    <x v="20"/>
    <x v="8"/>
    <s v="5 Seasons"/>
    <x v="1"/>
    <n v="6.9"/>
    <n v="1476617"/>
    <n v="2850801"/>
    <n v="85"/>
    <x v="5"/>
    <x v="2"/>
  </r>
  <r>
    <x v="1054"/>
    <s v="Echo Journey 1436"/>
    <x v="1"/>
    <s v="Unknown"/>
    <x v="3"/>
    <d v="2021-02-19T00:00:00"/>
    <x v="11"/>
    <x v="7"/>
    <s v="Unknown"/>
    <x v="3"/>
    <n v="5.9"/>
    <n v="9912849"/>
    <n v="818366"/>
    <n v="65"/>
    <x v="8"/>
    <x v="4"/>
  </r>
  <r>
    <x v="1055"/>
    <s v="Secret Valley 1174"/>
    <x v="1"/>
    <s v="K. Tanaka"/>
    <x v="7"/>
    <d v="2021-02-20T00:00:00"/>
    <x v="16"/>
    <x v="3"/>
    <s v="4 Seasons"/>
    <x v="3"/>
    <n v="5"/>
    <n v="14544710"/>
    <n v="3923817"/>
    <n v="40"/>
    <x v="4"/>
    <x v="4"/>
  </r>
  <r>
    <x v="1056"/>
    <s v="Lost Valley 1474"/>
    <x v="1"/>
    <s v="D. Kim"/>
    <x v="7"/>
    <d v="2021-02-20T00:00:00"/>
    <x v="9"/>
    <x v="9"/>
    <s v="7 Seasons"/>
    <x v="7"/>
    <n v="8.6"/>
    <n v="20884689"/>
    <n v="736452"/>
    <n v="99"/>
    <x v="9"/>
    <x v="1"/>
  </r>
  <r>
    <x v="1057"/>
    <s v="Last Quest 187"/>
    <x v="1"/>
    <s v="K. Tanaka"/>
    <x v="11"/>
    <d v="2021-02-21T00:00:00"/>
    <x v="10"/>
    <x v="0"/>
    <s v="7 Seasons"/>
    <x v="3"/>
    <n v="5.8"/>
    <n v="9492655"/>
    <n v="281780"/>
    <n v="92"/>
    <x v="7"/>
    <x v="4"/>
  </r>
  <r>
    <x v="1058"/>
    <s v="Broken Signal 325"/>
    <x v="1"/>
    <s v="Unknown"/>
    <x v="3"/>
    <d v="2021-02-23T00:00:00"/>
    <x v="15"/>
    <x v="0"/>
    <s v="1 Seasons"/>
    <x v="1"/>
    <n v="7.8"/>
    <n v="4996465"/>
    <n v="3155259"/>
    <n v="53"/>
    <x v="0"/>
    <x v="4"/>
  </r>
  <r>
    <x v="1059"/>
    <s v="Golden Night 1389"/>
    <x v="1"/>
    <s v="M. Garcia"/>
    <x v="11"/>
    <d v="2021-02-23T00:00:00"/>
    <x v="22"/>
    <x v="3"/>
    <s v="4 Seasons"/>
    <x v="2"/>
    <n v="4.7"/>
    <n v="16419762"/>
    <n v="1657960"/>
    <n v="68"/>
    <x v="0"/>
    <x v="1"/>
  </r>
  <r>
    <x v="1060"/>
    <s v="Royal Rise 1462"/>
    <x v="0"/>
    <s v="P. Johnson"/>
    <x v="9"/>
    <d v="2021-02-26T00:00:00"/>
    <x v="18"/>
    <x v="3"/>
    <s v="92 Min"/>
    <x v="0"/>
    <n v="5.4"/>
    <n v="2187497"/>
    <n v="3376823"/>
    <n v="79"/>
    <x v="2"/>
    <x v="1"/>
  </r>
  <r>
    <x v="1061"/>
    <s v="Infinite Mission 294"/>
    <x v="0"/>
    <s v="N. Singh"/>
    <x v="3"/>
    <d v="2021-03-01T00:00:00"/>
    <x v="24"/>
    <x v="6"/>
    <s v="128 Min"/>
    <x v="6"/>
    <n v="5.7"/>
    <n v="17081869"/>
    <n v="4227864"/>
    <n v="59"/>
    <x v="9"/>
    <x v="1"/>
  </r>
  <r>
    <x v="1062"/>
    <s v="Infinite Chronicles 633"/>
    <x v="1"/>
    <s v="K. Tanaka"/>
    <x v="8"/>
    <d v="2021-03-02T00:00:00"/>
    <x v="4"/>
    <x v="7"/>
    <s v="1 Seasons"/>
    <x v="7"/>
    <n v="8.5"/>
    <n v="5440167"/>
    <n v="2248666"/>
    <n v="80"/>
    <x v="8"/>
    <x v="4"/>
  </r>
  <r>
    <x v="1063"/>
    <s v="Secret Zone 971"/>
    <x v="0"/>
    <s v="P. Johnson"/>
    <x v="6"/>
    <d v="2021-03-02T00:00:00"/>
    <x v="15"/>
    <x v="4"/>
    <s v="74 Min"/>
    <x v="4"/>
    <n v="6.4"/>
    <n v="5149427"/>
    <n v="4630885"/>
    <n v="61"/>
    <x v="2"/>
    <x v="0"/>
  </r>
  <r>
    <x v="1064"/>
    <s v="Dark Line 1958"/>
    <x v="2"/>
    <s v="Unknown"/>
    <x v="7"/>
    <d v="2021-03-02T00:00:00"/>
    <x v="13"/>
    <x v="8"/>
    <s v="3 Seasons"/>
    <x v="7"/>
    <n v="7.6"/>
    <n v="3758222"/>
    <n v="1702948"/>
    <n v="70"/>
    <x v="1"/>
    <x v="3"/>
  </r>
  <r>
    <x v="1065"/>
    <s v="Lost Night 1570"/>
    <x v="1"/>
    <s v="Unknown"/>
    <x v="6"/>
    <d v="2021-03-03T00:00:00"/>
    <x v="21"/>
    <x v="8"/>
    <s v="5 Seasons"/>
    <x v="2"/>
    <n v="8.1999999999999993"/>
    <n v="19141907"/>
    <n v="1275257"/>
    <n v="57"/>
    <x v="6"/>
    <x v="1"/>
  </r>
  <r>
    <x v="1066"/>
    <s v="Future Game 1597"/>
    <x v="1"/>
    <s v="J. Lee"/>
    <x v="11"/>
    <d v="2021-03-03T00:00:00"/>
    <x v="27"/>
    <x v="4"/>
    <s v="2 Seasons"/>
    <x v="7"/>
    <n v="7.5"/>
    <n v="7394090"/>
    <n v="4631463"/>
    <n v="89"/>
    <x v="6"/>
    <x v="1"/>
  </r>
  <r>
    <x v="1067"/>
    <s v="Royal Code 113"/>
    <x v="0"/>
    <s v="J. Lee"/>
    <x v="2"/>
    <d v="2021-03-06T00:00:00"/>
    <x v="21"/>
    <x v="7"/>
    <s v="111 Min"/>
    <x v="9"/>
    <n v="5.5"/>
    <n v="665933"/>
    <n v="459679"/>
    <n v="65"/>
    <x v="0"/>
    <x v="2"/>
  </r>
  <r>
    <x v="1068"/>
    <s v="Dark Zone 291"/>
    <x v="1"/>
    <s v="P. Johnson"/>
    <x v="0"/>
    <d v="2021-03-12T00:00:00"/>
    <x v="2"/>
    <x v="9"/>
    <s v="3 Seasons"/>
    <x v="1"/>
    <n v="9.3000000000000007"/>
    <n v="18829044"/>
    <n v="140754"/>
    <n v="42"/>
    <x v="0"/>
    <x v="0"/>
  </r>
  <r>
    <x v="1069"/>
    <s v="Fire Empire 1616"/>
    <x v="0"/>
    <s v="Unknown"/>
    <x v="7"/>
    <d v="2021-03-14T00:00:00"/>
    <x v="11"/>
    <x v="3"/>
    <s v="131 Min"/>
    <x v="6"/>
    <n v="5.8"/>
    <n v="9832902"/>
    <n v="4511053"/>
    <n v="55"/>
    <x v="7"/>
    <x v="0"/>
  </r>
  <r>
    <x v="1070"/>
    <s v="Wild Game 1686"/>
    <x v="0"/>
    <s v="N. Singh"/>
    <x v="2"/>
    <d v="2021-03-14T00:00:00"/>
    <x v="15"/>
    <x v="3"/>
    <s v="85 Min"/>
    <x v="3"/>
    <n v="6.1"/>
    <n v="627138"/>
    <n v="1062068"/>
    <n v="90"/>
    <x v="4"/>
    <x v="3"/>
  </r>
  <r>
    <x v="1071"/>
    <s v="Shadow Dream 709"/>
    <x v="1"/>
    <s v="S. Patel"/>
    <x v="3"/>
    <d v="2021-03-20T00:00:00"/>
    <x v="12"/>
    <x v="9"/>
    <s v="7 Seasons"/>
    <x v="8"/>
    <n v="7.1"/>
    <n v="18555095"/>
    <n v="456373"/>
    <n v="120"/>
    <x v="0"/>
    <x v="0"/>
  </r>
  <r>
    <x v="1072"/>
    <s v="Urban World 777"/>
    <x v="2"/>
    <s v="N. Singh"/>
    <x v="2"/>
    <d v="2021-03-24T00:00:00"/>
    <x v="4"/>
    <x v="0"/>
    <s v="3 Seasons"/>
    <x v="3"/>
    <n v="6.1"/>
    <n v="10839770"/>
    <n v="4332640"/>
    <n v="100"/>
    <x v="9"/>
    <x v="1"/>
  </r>
  <r>
    <x v="1073"/>
    <s v="Royal Mission 1113"/>
    <x v="0"/>
    <s v="Unknown"/>
    <x v="10"/>
    <d v="2021-03-25T00:00:00"/>
    <x v="27"/>
    <x v="6"/>
    <s v="80 Min"/>
    <x v="4"/>
    <n v="5"/>
    <n v="856627"/>
    <n v="1328045"/>
    <n v="56"/>
    <x v="6"/>
    <x v="4"/>
  </r>
  <r>
    <x v="1074"/>
    <s v="Hidden Quest 1154"/>
    <x v="1"/>
    <s v="L. Brown"/>
    <x v="7"/>
    <d v="2021-03-25T00:00:00"/>
    <x v="1"/>
    <x v="5"/>
    <s v="3 Seasons"/>
    <x v="4"/>
    <n v="8.8000000000000007"/>
    <n v="22949929"/>
    <n v="872032"/>
    <n v="61"/>
    <x v="6"/>
    <x v="2"/>
  </r>
  <r>
    <x v="1075"/>
    <s v="Beyond Line 1187"/>
    <x v="0"/>
    <s v="D. Kim"/>
    <x v="3"/>
    <d v="2021-03-25T00:00:00"/>
    <x v="22"/>
    <x v="2"/>
    <s v="71 Min"/>
    <x v="3"/>
    <n v="8.3000000000000007"/>
    <n v="8465379"/>
    <n v="892631"/>
    <n v="47"/>
    <x v="4"/>
    <x v="4"/>
  </r>
  <r>
    <x v="1076"/>
    <s v="Dark Night 370"/>
    <x v="0"/>
    <s v="D. Kim"/>
    <x v="6"/>
    <d v="2021-03-26T00:00:00"/>
    <x v="10"/>
    <x v="7"/>
    <s v="124 Min"/>
    <x v="0"/>
    <n v="8.5"/>
    <n v="17951220"/>
    <n v="1421993"/>
    <n v="51"/>
    <x v="3"/>
    <x v="0"/>
  </r>
  <r>
    <x v="1077"/>
    <s v="Beyond Valley 1092"/>
    <x v="2"/>
    <s v="P. Johnson"/>
    <x v="2"/>
    <d v="2021-03-29T00:00:00"/>
    <x v="24"/>
    <x v="6"/>
    <s v="6 Seasons"/>
    <x v="5"/>
    <n v="6.6"/>
    <n v="1550948"/>
    <n v="1400887"/>
    <n v="89"/>
    <x v="9"/>
    <x v="1"/>
  </r>
  <r>
    <x v="1078"/>
    <s v="Broken Line 1941"/>
    <x v="0"/>
    <s v="D. Kim"/>
    <x v="3"/>
    <d v="2021-03-29T00:00:00"/>
    <x v="25"/>
    <x v="3"/>
    <s v="141 Min"/>
    <x v="1"/>
    <n v="8.4"/>
    <n v="6059542"/>
    <n v="2863422"/>
    <n v="88"/>
    <x v="1"/>
    <x v="4"/>
  </r>
  <r>
    <x v="1079"/>
    <s v="Beyond Legacy 1070"/>
    <x v="0"/>
    <s v="P. Johnson"/>
    <x v="0"/>
    <d v="2021-03-30T00:00:00"/>
    <x v="7"/>
    <x v="4"/>
    <s v="164 Min"/>
    <x v="10"/>
    <n v="7.2"/>
    <n v="11141610"/>
    <n v="3116682"/>
    <n v="95"/>
    <x v="0"/>
    <x v="3"/>
  </r>
  <r>
    <x v="1080"/>
    <s v="Blue Legacy 1022"/>
    <x v="0"/>
    <s v="L. Brown"/>
    <x v="7"/>
    <d v="2021-04-03T00:00:00"/>
    <x v="9"/>
    <x v="9"/>
    <s v="123 Min"/>
    <x v="9"/>
    <n v="8.9"/>
    <n v="4444129"/>
    <n v="2806482"/>
    <n v="52"/>
    <x v="7"/>
    <x v="0"/>
  </r>
  <r>
    <x v="1081"/>
    <s v="Wild Dream 916"/>
    <x v="2"/>
    <s v="L. Brown"/>
    <x v="9"/>
    <d v="2021-04-05T00:00:00"/>
    <x v="11"/>
    <x v="7"/>
    <s v="8 Seasons"/>
    <x v="3"/>
    <n v="7.3"/>
    <n v="24439823"/>
    <n v="1593219"/>
    <n v="60"/>
    <x v="7"/>
    <x v="4"/>
  </r>
  <r>
    <x v="1082"/>
    <s v="Echo Zone 745"/>
    <x v="0"/>
    <s v="A. Smith"/>
    <x v="5"/>
    <d v="2021-04-06T00:00:00"/>
    <x v="22"/>
    <x v="8"/>
    <s v="153 Min"/>
    <x v="3"/>
    <n v="6.3"/>
    <n v="23661439"/>
    <n v="3861043"/>
    <n v="75"/>
    <x v="4"/>
    <x v="2"/>
  </r>
  <r>
    <x v="1083"/>
    <s v="Echo Game 1533"/>
    <x v="1"/>
    <s v="P. Johnson"/>
    <x v="4"/>
    <d v="2021-04-06T00:00:00"/>
    <x v="19"/>
    <x v="6"/>
    <s v="5 Seasons"/>
    <x v="2"/>
    <n v="6.4"/>
    <n v="16766479"/>
    <n v="4487339"/>
    <n v="41"/>
    <x v="1"/>
    <x v="1"/>
  </r>
  <r>
    <x v="1084"/>
    <s v="Dark Dream 107"/>
    <x v="0"/>
    <s v="K. Tanaka"/>
    <x v="8"/>
    <d v="2021-04-07T00:00:00"/>
    <x v="2"/>
    <x v="6"/>
    <s v="133 Min"/>
    <x v="5"/>
    <n v="6"/>
    <n v="11853160"/>
    <n v="3278298"/>
    <n v="78"/>
    <x v="7"/>
    <x v="4"/>
  </r>
  <r>
    <x v="1085"/>
    <s v="Echo Chronicles 833"/>
    <x v="1"/>
    <s v="P. Johnson"/>
    <x v="3"/>
    <d v="2021-04-09T00:00:00"/>
    <x v="0"/>
    <x v="2"/>
    <s v="7 Seasons"/>
    <x v="0"/>
    <n v="6.1"/>
    <n v="7095863"/>
    <n v="1788393"/>
    <n v="53"/>
    <x v="0"/>
    <x v="4"/>
  </r>
  <r>
    <x v="1086"/>
    <s v="Beyond Valley 89"/>
    <x v="0"/>
    <s v="N. Singh"/>
    <x v="8"/>
    <d v="2021-04-11T00:00:00"/>
    <x v="9"/>
    <x v="3"/>
    <s v="132 Min"/>
    <x v="1"/>
    <n v="4.7"/>
    <n v="6074473"/>
    <n v="3173588"/>
    <n v="43"/>
    <x v="6"/>
    <x v="3"/>
  </r>
  <r>
    <x v="1087"/>
    <s v="Dark Game 256"/>
    <x v="0"/>
    <s v="A. Smith"/>
    <x v="0"/>
    <d v="2021-04-16T00:00:00"/>
    <x v="26"/>
    <x v="1"/>
    <s v="104 Min"/>
    <x v="10"/>
    <n v="7.6"/>
    <n v="448510"/>
    <n v="4808434"/>
    <n v="51"/>
    <x v="2"/>
    <x v="2"/>
  </r>
  <r>
    <x v="1088"/>
    <s v="Beyond Legacy 945"/>
    <x v="0"/>
    <s v="K. Tanaka"/>
    <x v="10"/>
    <d v="2021-04-19T00:00:00"/>
    <x v="2"/>
    <x v="5"/>
    <s v="175 Min"/>
    <x v="3"/>
    <n v="7.9"/>
    <n v="4509658"/>
    <n v="15241"/>
    <n v="43"/>
    <x v="0"/>
    <x v="0"/>
  </r>
  <r>
    <x v="1089"/>
    <s v="Future Rise 855"/>
    <x v="0"/>
    <s v="N. Singh"/>
    <x v="4"/>
    <d v="2021-04-24T00:00:00"/>
    <x v="1"/>
    <x v="3"/>
    <s v="74 Min"/>
    <x v="2"/>
    <n v="9"/>
    <n v="18591272"/>
    <n v="4401646"/>
    <n v="56"/>
    <x v="2"/>
    <x v="1"/>
  </r>
  <r>
    <x v="1090"/>
    <s v="Last Line 1919"/>
    <x v="0"/>
    <s v="K. Tanaka"/>
    <x v="3"/>
    <d v="2021-04-25T00:00:00"/>
    <x v="19"/>
    <x v="7"/>
    <s v="145 Min"/>
    <x v="8"/>
    <n v="8.3000000000000007"/>
    <n v="3794077"/>
    <n v="3582938"/>
    <n v="50"/>
    <x v="7"/>
    <x v="1"/>
  </r>
  <r>
    <x v="1091"/>
    <s v="Urban Story 207"/>
    <x v="0"/>
    <s v="K. Tanaka"/>
    <x v="7"/>
    <d v="2021-04-27T00:00:00"/>
    <x v="9"/>
    <x v="3"/>
    <s v="154 Min"/>
    <x v="5"/>
    <n v="7.1"/>
    <n v="16282635"/>
    <n v="4023510"/>
    <n v="98"/>
    <x v="2"/>
    <x v="0"/>
  </r>
  <r>
    <x v="1092"/>
    <s v="Fire Truth 917"/>
    <x v="0"/>
    <s v="S. Patel"/>
    <x v="11"/>
    <d v="2021-04-28T00:00:00"/>
    <x v="0"/>
    <x v="8"/>
    <s v="77 Min"/>
    <x v="10"/>
    <n v="7.7"/>
    <n v="968006"/>
    <n v="1194931"/>
    <n v="79"/>
    <x v="8"/>
    <x v="0"/>
  </r>
  <r>
    <x v="1093"/>
    <s v="Infinite Legacy 1478"/>
    <x v="0"/>
    <s v="P. Johnson"/>
    <x v="2"/>
    <d v="2021-04-30T00:00:00"/>
    <x v="12"/>
    <x v="5"/>
    <s v="145 Min"/>
    <x v="1"/>
    <n v="5.2"/>
    <n v="4839616"/>
    <n v="2342560"/>
    <n v="59"/>
    <x v="2"/>
    <x v="4"/>
  </r>
  <r>
    <x v="1094"/>
    <s v="Wild Journey 312"/>
    <x v="2"/>
    <s v="M. Garcia"/>
    <x v="0"/>
    <d v="2021-05-02T00:00:00"/>
    <x v="19"/>
    <x v="3"/>
    <s v="2 Seasons"/>
    <x v="9"/>
    <n v="9.5"/>
    <n v="19029646"/>
    <n v="3725637"/>
    <n v="56"/>
    <x v="8"/>
    <x v="4"/>
  </r>
  <r>
    <x v="1095"/>
    <s v="Dark Signal 454"/>
    <x v="0"/>
    <s v="S. Patel"/>
    <x v="12"/>
    <d v="2021-05-06T00:00:00"/>
    <x v="13"/>
    <x v="3"/>
    <s v="76 Min"/>
    <x v="9"/>
    <n v="9.6999999999999993"/>
    <n v="7557150"/>
    <n v="3174855"/>
    <n v="68"/>
    <x v="4"/>
    <x v="3"/>
  </r>
  <r>
    <x v="1096"/>
    <s v="Hidden Edge 1656"/>
    <x v="0"/>
    <s v="Unknown"/>
    <x v="10"/>
    <d v="2021-05-06T00:00:00"/>
    <x v="3"/>
    <x v="4"/>
    <s v="117 Min"/>
    <x v="7"/>
    <n v="7.5"/>
    <n v="6460051"/>
    <n v="2938742"/>
    <n v="60"/>
    <x v="9"/>
    <x v="0"/>
  </r>
  <r>
    <x v="1097"/>
    <s v="Fire Edge 1831"/>
    <x v="1"/>
    <s v="M. Garcia"/>
    <x v="3"/>
    <d v="2021-05-09T00:00:00"/>
    <x v="17"/>
    <x v="3"/>
    <s v="2 Seasons"/>
    <x v="6"/>
    <n v="6.2"/>
    <n v="762666"/>
    <n v="3547916"/>
    <n v="120"/>
    <x v="5"/>
    <x v="0"/>
  </r>
  <r>
    <x v="1098"/>
    <s v="Golden Empire 322"/>
    <x v="1"/>
    <s v="Unknown"/>
    <x v="9"/>
    <d v="2021-05-10T00:00:00"/>
    <x v="10"/>
    <x v="9"/>
    <s v="5 Seasons"/>
    <x v="3"/>
    <n v="9.6"/>
    <n v="-339"/>
    <n v="1925576"/>
    <n v="52"/>
    <x v="7"/>
    <x v="4"/>
  </r>
  <r>
    <x v="1099"/>
    <s v="Urban Code 872"/>
    <x v="0"/>
    <s v="N. Singh"/>
    <x v="1"/>
    <d v="2021-05-20T00:00:00"/>
    <x v="16"/>
    <x v="8"/>
    <s v="135 Min"/>
    <x v="9"/>
    <n v="8.9"/>
    <n v="14086253"/>
    <n v="1153858"/>
    <n v="77"/>
    <x v="1"/>
    <x v="4"/>
  </r>
  <r>
    <x v="1100"/>
    <s v="Crimson World 1456"/>
    <x v="1"/>
    <s v="D. Kim"/>
    <x v="0"/>
    <d v="2021-05-23T00:00:00"/>
    <x v="19"/>
    <x v="7"/>
    <s v="5 Seasons"/>
    <x v="0"/>
    <n v="5"/>
    <n v="2748920"/>
    <n v="4444989"/>
    <n v="59"/>
    <x v="1"/>
    <x v="2"/>
  </r>
  <r>
    <x v="1101"/>
    <s v="Last Signal 848"/>
    <x v="1"/>
    <s v="Unknown"/>
    <x v="7"/>
    <d v="2021-05-27T00:00:00"/>
    <x v="15"/>
    <x v="9"/>
    <s v="7 Seasons"/>
    <x v="0"/>
    <n v="5.2"/>
    <n v="14659347"/>
    <n v="3302594"/>
    <n v="70"/>
    <x v="9"/>
    <x v="0"/>
  </r>
  <r>
    <x v="1102"/>
    <s v="Hidden Rise 27"/>
    <x v="2"/>
    <s v="Unknown"/>
    <x v="9"/>
    <d v="2021-05-28T00:00:00"/>
    <x v="9"/>
    <x v="6"/>
    <s v="4 Seasons"/>
    <x v="6"/>
    <n v="9.6999999999999993"/>
    <n v="597352"/>
    <n v="2430247"/>
    <n v="92"/>
    <x v="5"/>
    <x v="0"/>
  </r>
  <r>
    <x v="1103"/>
    <s v="Blue Chronicles 1519"/>
    <x v="0"/>
    <s v="D. Kim"/>
    <x v="12"/>
    <d v="2021-05-29T00:00:00"/>
    <x v="1"/>
    <x v="1"/>
    <s v="98 Min"/>
    <x v="6"/>
    <n v="7.8"/>
    <n v="4816927"/>
    <n v="3424520"/>
    <n v="74"/>
    <x v="2"/>
    <x v="4"/>
  </r>
  <r>
    <x v="1104"/>
    <s v="Crimson Truth 1540"/>
    <x v="1"/>
    <s v="P. Johnson"/>
    <x v="11"/>
    <d v="2021-06-01T00:00:00"/>
    <x v="25"/>
    <x v="8"/>
    <s v="3 Seasons"/>
    <x v="9"/>
    <n v="9.6"/>
    <n v="19950198"/>
    <n v="3537763"/>
    <n v="67"/>
    <x v="6"/>
    <x v="2"/>
  </r>
  <r>
    <x v="1105"/>
    <s v="Beyond Chronicles 121"/>
    <x v="0"/>
    <s v="A. Smith"/>
    <x v="5"/>
    <d v="2021-06-03T00:00:00"/>
    <x v="26"/>
    <x v="3"/>
    <s v="114 Min"/>
    <x v="4"/>
    <n v="4.7"/>
    <n v="11608533"/>
    <n v="723568"/>
    <n v="87"/>
    <x v="7"/>
    <x v="3"/>
  </r>
  <r>
    <x v="1106"/>
    <s v="Golden Mission 501"/>
    <x v="1"/>
    <s v="J. Lee"/>
    <x v="9"/>
    <d v="2021-06-09T00:00:00"/>
    <x v="25"/>
    <x v="4"/>
    <s v="8 Seasons"/>
    <x v="3"/>
    <n v="8.3000000000000007"/>
    <n v="13737676"/>
    <n v="3006528"/>
    <n v="55"/>
    <x v="9"/>
    <x v="4"/>
  </r>
  <r>
    <x v="1107"/>
    <s v="Urban Game 478"/>
    <x v="0"/>
    <s v="J. Lee"/>
    <x v="4"/>
    <d v="2021-06-10T00:00:00"/>
    <x v="16"/>
    <x v="9"/>
    <s v="91 Min"/>
    <x v="2"/>
    <n v="7.2"/>
    <n v="4345725"/>
    <n v="3070335"/>
    <n v="82"/>
    <x v="8"/>
    <x v="1"/>
  </r>
  <r>
    <x v="1108"/>
    <s v="Broken Signal 26"/>
    <x v="1"/>
    <s v="R. Kumar"/>
    <x v="9"/>
    <d v="2021-06-11T00:00:00"/>
    <x v="2"/>
    <x v="7"/>
    <s v="7 Seasons"/>
    <x v="2"/>
    <n v="6.3"/>
    <n v="23259423"/>
    <n v="2554636"/>
    <n v="48"/>
    <x v="6"/>
    <x v="0"/>
  </r>
  <r>
    <x v="1109"/>
    <s v="Wild Story 5"/>
    <x v="1"/>
    <s v="P. Johnson"/>
    <x v="10"/>
    <d v="2021-06-12T00:00:00"/>
    <x v="1"/>
    <x v="5"/>
    <s v="2 Seasons"/>
    <x v="5"/>
    <n v="6.9"/>
    <n v="4604478"/>
    <n v="3612477"/>
    <n v="57"/>
    <x v="7"/>
    <x v="4"/>
  </r>
  <r>
    <x v="1110"/>
    <s v="Future Edge 262"/>
    <x v="1"/>
    <s v="M. Garcia"/>
    <x v="0"/>
    <d v="2021-06-14T00:00:00"/>
    <x v="6"/>
    <x v="4"/>
    <s v="2 Seasons"/>
    <x v="3"/>
    <n v="4.7"/>
    <n v="14462203"/>
    <n v="580703"/>
    <n v="44"/>
    <x v="6"/>
    <x v="3"/>
  </r>
  <r>
    <x v="1111"/>
    <s v="Golden Edge 1339"/>
    <x v="1"/>
    <s v="P. Johnson"/>
    <x v="7"/>
    <d v="2021-06-14T00:00:00"/>
    <x v="25"/>
    <x v="3"/>
    <s v="6 Seasons"/>
    <x v="10"/>
    <n v="6.4"/>
    <n v="18992277"/>
    <n v="2109131"/>
    <n v="89"/>
    <x v="2"/>
    <x v="2"/>
  </r>
  <r>
    <x v="1112"/>
    <s v="Royal Code 1933"/>
    <x v="0"/>
    <s v="L. Brown"/>
    <x v="11"/>
    <d v="2021-06-15T00:00:00"/>
    <x v="4"/>
    <x v="5"/>
    <s v="150 Min"/>
    <x v="9"/>
    <n v="5.5"/>
    <n v="3510070"/>
    <n v="3632625"/>
    <n v="99"/>
    <x v="7"/>
    <x v="4"/>
  </r>
  <r>
    <x v="1113"/>
    <s v="Royal Night 1482"/>
    <x v="0"/>
    <s v="Unknown"/>
    <x v="10"/>
    <d v="2021-06-16T00:00:00"/>
    <x v="12"/>
    <x v="5"/>
    <s v="142 Min"/>
    <x v="5"/>
    <n v="9.6999999999999993"/>
    <n v="10208481"/>
    <n v="4863834"/>
    <n v="57"/>
    <x v="6"/>
    <x v="4"/>
  </r>
  <r>
    <x v="1114"/>
    <s v="Lost Signal 547"/>
    <x v="0"/>
    <s v="D. Kim"/>
    <x v="0"/>
    <d v="2021-06-18T00:00:00"/>
    <x v="17"/>
    <x v="1"/>
    <s v="128 Min"/>
    <x v="8"/>
    <n v="7.7"/>
    <n v="24130323"/>
    <n v="667714"/>
    <n v="59"/>
    <x v="2"/>
    <x v="0"/>
  </r>
  <r>
    <x v="1115"/>
    <s v="Future Signal 1283"/>
    <x v="0"/>
    <s v="N. Singh"/>
    <x v="6"/>
    <d v="2021-06-23T00:00:00"/>
    <x v="12"/>
    <x v="2"/>
    <s v="164 Min"/>
    <x v="10"/>
    <n v="7.3"/>
    <n v="18357762"/>
    <n v="3964400"/>
    <n v="62"/>
    <x v="1"/>
    <x v="1"/>
  </r>
  <r>
    <x v="1116"/>
    <s v="Dark Rise 1735"/>
    <x v="2"/>
    <s v="Unknown"/>
    <x v="0"/>
    <d v="2021-06-23T00:00:00"/>
    <x v="18"/>
    <x v="4"/>
    <s v="7 Seasons"/>
    <x v="5"/>
    <n v="7.2"/>
    <n v="8601630"/>
    <n v="3668613"/>
    <n v="48"/>
    <x v="0"/>
    <x v="2"/>
  </r>
  <r>
    <x v="1117"/>
    <s v="Crimson Zone 1205"/>
    <x v="1"/>
    <s v="N. Singh"/>
    <x v="9"/>
    <d v="2021-07-06T00:00:00"/>
    <x v="1"/>
    <x v="7"/>
    <s v="1 Seasons"/>
    <x v="9"/>
    <n v="6.9"/>
    <n v="18224880"/>
    <n v="1429279"/>
    <n v="95"/>
    <x v="5"/>
    <x v="4"/>
  </r>
  <r>
    <x v="1118"/>
    <s v="Beyond Night 1184"/>
    <x v="1"/>
    <s v="S. Patel"/>
    <x v="4"/>
    <d v="2021-07-08T00:00:00"/>
    <x v="13"/>
    <x v="3"/>
    <s v="8 Seasons"/>
    <x v="6"/>
    <n v="7.7"/>
    <n v="1056658"/>
    <n v="2292897"/>
    <n v="89"/>
    <x v="6"/>
    <x v="4"/>
  </r>
  <r>
    <x v="1119"/>
    <s v="Fire Zone 1163"/>
    <x v="0"/>
    <s v="P. Johnson"/>
    <x v="4"/>
    <d v="2021-07-09T00:00:00"/>
    <x v="7"/>
    <x v="5"/>
    <s v="87 Min"/>
    <x v="5"/>
    <n v="5.6"/>
    <n v="14208473"/>
    <n v="1056935"/>
    <n v="76"/>
    <x v="5"/>
    <x v="4"/>
  </r>
  <r>
    <x v="1120"/>
    <s v="Wild Zone 1484"/>
    <x v="0"/>
    <s v="J. Lee"/>
    <x v="3"/>
    <d v="2021-07-11T00:00:00"/>
    <x v="14"/>
    <x v="8"/>
    <s v="162 Min"/>
    <x v="5"/>
    <n v="5.7"/>
    <n v="20506818"/>
    <n v="879461"/>
    <n v="91"/>
    <x v="3"/>
    <x v="1"/>
  </r>
  <r>
    <x v="1121"/>
    <s v="Last Edge 1613"/>
    <x v="0"/>
    <s v="Unknown"/>
    <x v="1"/>
    <d v="2021-07-11T00:00:00"/>
    <x v="19"/>
    <x v="0"/>
    <s v="173 Min"/>
    <x v="0"/>
    <n v="7.9"/>
    <n v="12632097"/>
    <n v="1578487"/>
    <n v="41"/>
    <x v="8"/>
    <x v="1"/>
  </r>
  <r>
    <x v="1122"/>
    <s v="Urban Night 1188"/>
    <x v="0"/>
    <s v="M. Garcia"/>
    <x v="2"/>
    <d v="2021-07-12T00:00:00"/>
    <x v="20"/>
    <x v="2"/>
    <s v="147 Min"/>
    <x v="3"/>
    <n v="7.2"/>
    <n v="15133131"/>
    <n v="1778728"/>
    <n v="70"/>
    <x v="5"/>
    <x v="2"/>
  </r>
  <r>
    <x v="1123"/>
    <s v="Infinite Quest 480"/>
    <x v="0"/>
    <s v="N. Singh"/>
    <x v="7"/>
    <d v="2021-07-17T00:00:00"/>
    <x v="15"/>
    <x v="1"/>
    <s v="83 Min"/>
    <x v="8"/>
    <n v="5.5"/>
    <n v="2582685"/>
    <n v="2176901"/>
    <n v="73"/>
    <x v="5"/>
    <x v="3"/>
  </r>
  <r>
    <x v="1124"/>
    <s v="Broken Line 869"/>
    <x v="2"/>
    <s v="J. Lee"/>
    <x v="7"/>
    <d v="2021-07-19T00:00:00"/>
    <x v="19"/>
    <x v="2"/>
    <s v="2 Seasons"/>
    <x v="5"/>
    <n v="11.2"/>
    <n v="9640879"/>
    <n v="1542786"/>
    <n v="59"/>
    <x v="2"/>
    <x v="4"/>
  </r>
  <r>
    <x v="1125"/>
    <s v="Silent Mission 1266"/>
    <x v="2"/>
    <s v="M. Garcia"/>
    <x v="6"/>
    <d v="2021-07-21T00:00:00"/>
    <x v="10"/>
    <x v="9"/>
    <s v="8 Seasons"/>
    <x v="3"/>
    <n v="6.1"/>
    <n v="19224690"/>
    <n v="1825835"/>
    <n v="48"/>
    <x v="7"/>
    <x v="0"/>
  </r>
  <r>
    <x v="1126"/>
    <s v="Broken Line 255"/>
    <x v="1"/>
    <s v="M. Garcia"/>
    <x v="8"/>
    <d v="2021-07-28T00:00:00"/>
    <x v="1"/>
    <x v="3"/>
    <s v="6 Seasons"/>
    <x v="3"/>
    <n v="4.9000000000000004"/>
    <n v="22242542"/>
    <n v="992218"/>
    <n v="55"/>
    <x v="1"/>
    <x v="4"/>
  </r>
  <r>
    <x v="1127"/>
    <s v="Lost Signal 95"/>
    <x v="0"/>
    <s v="J. Lee"/>
    <x v="10"/>
    <d v="2021-08-01T00:00:00"/>
    <x v="19"/>
    <x v="1"/>
    <s v="123 Min"/>
    <x v="6"/>
    <n v="5.2"/>
    <n v="-853"/>
    <n v="4418329"/>
    <n v="63"/>
    <x v="7"/>
    <x v="2"/>
  </r>
  <r>
    <x v="1128"/>
    <s v="Shadow Valley 573"/>
    <x v="0"/>
    <s v="P. Johnson"/>
    <x v="6"/>
    <d v="2021-08-08T00:00:00"/>
    <x v="18"/>
    <x v="4"/>
    <s v="87 Min"/>
    <x v="7"/>
    <n v="7.3"/>
    <n v="19188423"/>
    <n v="2172149"/>
    <n v="54"/>
    <x v="8"/>
    <x v="1"/>
  </r>
  <r>
    <x v="1129"/>
    <s v="Crimson Dream 1097"/>
    <x v="0"/>
    <s v="N. Singh"/>
    <x v="8"/>
    <d v="2021-08-21T00:00:00"/>
    <x v="23"/>
    <x v="1"/>
    <s v="88 Min"/>
    <x v="7"/>
    <n v="8.3000000000000007"/>
    <n v="24284409"/>
    <n v="3777658"/>
    <n v="93"/>
    <x v="1"/>
    <x v="4"/>
  </r>
  <r>
    <x v="1130"/>
    <s v="Crimson Edge 788"/>
    <x v="0"/>
    <s v="M. Garcia"/>
    <x v="8"/>
    <d v="2021-08-22T00:00:00"/>
    <x v="24"/>
    <x v="0"/>
    <s v="122 Min"/>
    <x v="8"/>
    <n v="9.4"/>
    <n v="-357"/>
    <n v="2337287"/>
    <n v="85"/>
    <x v="7"/>
    <x v="1"/>
  </r>
  <r>
    <x v="1131"/>
    <s v="Golden Code 1417"/>
    <x v="1"/>
    <s v="J. Lee"/>
    <x v="6"/>
    <d v="2021-08-23T00:00:00"/>
    <x v="16"/>
    <x v="4"/>
    <s v="7 Seasons"/>
    <x v="2"/>
    <n v="6.7"/>
    <n v="12838447"/>
    <n v="2462744"/>
    <n v="94"/>
    <x v="5"/>
    <x v="3"/>
  </r>
  <r>
    <x v="1132"/>
    <s v="Future Empire 786"/>
    <x v="0"/>
    <s v="K. Tanaka"/>
    <x v="10"/>
    <d v="2021-08-25T00:00:00"/>
    <x v="12"/>
    <x v="4"/>
    <s v="83 Min"/>
    <x v="3"/>
    <n v="9.3000000000000007"/>
    <n v="10077445"/>
    <n v="3182608"/>
    <n v="59"/>
    <x v="9"/>
    <x v="4"/>
  </r>
  <r>
    <x v="1133"/>
    <s v="Beyond Chronicles 1815"/>
    <x v="1"/>
    <s v="A. Smith"/>
    <x v="0"/>
    <d v="2021-08-25T00:00:00"/>
    <x v="8"/>
    <x v="6"/>
    <s v="7 Seasons"/>
    <x v="9"/>
    <n v="5.7"/>
    <n v="3386490"/>
    <n v="3846954"/>
    <n v="79"/>
    <x v="7"/>
    <x v="4"/>
  </r>
  <r>
    <x v="1134"/>
    <s v="Broken Valley 1907"/>
    <x v="0"/>
    <s v="P. Johnson"/>
    <x v="7"/>
    <d v="2021-08-26T00:00:00"/>
    <x v="6"/>
    <x v="2"/>
    <s v="156 Min"/>
    <x v="9"/>
    <n v="6.7"/>
    <n v="21027914"/>
    <n v="4952442"/>
    <n v="66"/>
    <x v="9"/>
    <x v="0"/>
  </r>
  <r>
    <x v="1135"/>
    <s v="Blue Truth 1859"/>
    <x v="1"/>
    <s v="K. Tanaka"/>
    <x v="10"/>
    <d v="2021-08-29T00:00:00"/>
    <x v="7"/>
    <x v="6"/>
    <s v="4 Seasons"/>
    <x v="10"/>
    <n v="5.3"/>
    <n v="10970721"/>
    <n v="3077104"/>
    <n v="85"/>
    <x v="3"/>
    <x v="4"/>
  </r>
  <r>
    <x v="1136"/>
    <s v="Blue Line 580"/>
    <x v="2"/>
    <s v="A. Smith"/>
    <x v="5"/>
    <d v="2021-09-01T00:00:00"/>
    <x v="12"/>
    <x v="7"/>
    <s v="7 Seasons"/>
    <x v="0"/>
    <n v="9.8000000000000007"/>
    <n v="6992578"/>
    <n v="1530951"/>
    <n v="73"/>
    <x v="2"/>
    <x v="1"/>
  </r>
  <r>
    <x v="1137"/>
    <s v="Royal Game 419"/>
    <x v="0"/>
    <s v="P. Johnson"/>
    <x v="7"/>
    <d v="2021-09-08T00:00:00"/>
    <x v="11"/>
    <x v="5"/>
    <s v="102 Min"/>
    <x v="7"/>
    <n v="6.8"/>
    <n v="22323782"/>
    <n v="4568833"/>
    <n v="40"/>
    <x v="1"/>
    <x v="2"/>
  </r>
  <r>
    <x v="1138"/>
    <s v="Broken Empire 980"/>
    <x v="0"/>
    <s v="A. Smith"/>
    <x v="8"/>
    <d v="2021-09-08T00:00:00"/>
    <x v="14"/>
    <x v="8"/>
    <s v="128 Min"/>
    <x v="7"/>
    <n v="8"/>
    <n v="572254"/>
    <n v="4350521"/>
    <n v="73"/>
    <x v="5"/>
    <x v="0"/>
  </r>
  <r>
    <x v="1139"/>
    <s v="Silent World 169"/>
    <x v="0"/>
    <s v="L. Brown"/>
    <x v="6"/>
    <d v="2021-09-09T00:00:00"/>
    <x v="14"/>
    <x v="9"/>
    <s v="165 Min"/>
    <x v="2"/>
    <n v="8.6999999999999993"/>
    <n v="15491909"/>
    <n v="302139"/>
    <n v="72"/>
    <x v="0"/>
    <x v="2"/>
  </r>
  <r>
    <x v="1140"/>
    <s v="Golden Quest 1310"/>
    <x v="0"/>
    <s v="Unknown"/>
    <x v="3"/>
    <d v="2021-09-09T00:00:00"/>
    <x v="15"/>
    <x v="0"/>
    <s v="130 Min"/>
    <x v="3"/>
    <n v="8.9"/>
    <n v="5715998"/>
    <n v="2822783"/>
    <n v="44"/>
    <x v="9"/>
    <x v="3"/>
  </r>
  <r>
    <x v="1141"/>
    <s v="Secret World 1606"/>
    <x v="0"/>
    <s v="J. Lee"/>
    <x v="5"/>
    <d v="2021-09-09T00:00:00"/>
    <x v="25"/>
    <x v="3"/>
    <s v="165 Min"/>
    <x v="2"/>
    <n v="8.6999999999999993"/>
    <n v="11485862"/>
    <n v="4542537"/>
    <n v="89"/>
    <x v="5"/>
    <x v="1"/>
  </r>
  <r>
    <x v="1142"/>
    <s v="Ocean Chronicles 797"/>
    <x v="2"/>
    <s v="J. Lee"/>
    <x v="0"/>
    <d v="2021-09-11T00:00:00"/>
    <x v="6"/>
    <x v="3"/>
    <s v="3 Seasons"/>
    <x v="0"/>
    <n v="7.9"/>
    <n v="15912458"/>
    <n v="1486301"/>
    <n v="74"/>
    <x v="9"/>
    <x v="2"/>
  </r>
  <r>
    <x v="1143"/>
    <s v="Urban Rise 390"/>
    <x v="1"/>
    <s v="P. Johnson"/>
    <x v="1"/>
    <d v="2021-09-16T00:00:00"/>
    <x v="9"/>
    <x v="3"/>
    <s v="3 Seasons"/>
    <x v="8"/>
    <n v="7.4"/>
    <n v="9955415"/>
    <n v="4060961"/>
    <n v="64"/>
    <x v="1"/>
    <x v="4"/>
  </r>
  <r>
    <x v="1144"/>
    <s v="Dark Game 1786"/>
    <x v="1"/>
    <s v="J. Lee"/>
    <x v="0"/>
    <d v="2021-09-21T00:00:00"/>
    <x v="2"/>
    <x v="3"/>
    <s v="8 Seasons"/>
    <x v="8"/>
    <n v="7.1"/>
    <n v="24796858"/>
    <n v="684420"/>
    <n v="48"/>
    <x v="0"/>
    <x v="1"/>
  </r>
  <r>
    <x v="1145"/>
    <s v="Echo Zone 451"/>
    <x v="0"/>
    <s v="Unknown"/>
    <x v="2"/>
    <d v="2021-09-23T00:00:00"/>
    <x v="5"/>
    <x v="8"/>
    <s v="147 Min"/>
    <x v="3"/>
    <n v="8.9"/>
    <n v="9610000"/>
    <n v="3309435"/>
    <n v="81"/>
    <x v="8"/>
    <x v="1"/>
  </r>
  <r>
    <x v="1146"/>
    <s v="Fire Journey 656"/>
    <x v="2"/>
    <s v="A. Smith"/>
    <x v="3"/>
    <d v="2021-09-24T00:00:00"/>
    <x v="14"/>
    <x v="9"/>
    <s v="3 Seasons"/>
    <x v="2"/>
    <n v="6.6"/>
    <n v="1952883"/>
    <n v="203874"/>
    <n v="82"/>
    <x v="5"/>
    <x v="0"/>
  </r>
  <r>
    <x v="1147"/>
    <s v="Royal Journey 1430"/>
    <x v="0"/>
    <s v="D. Kim"/>
    <x v="5"/>
    <d v="2021-09-24T00:00:00"/>
    <x v="26"/>
    <x v="3"/>
    <s v="97 Min"/>
    <x v="1"/>
    <n v="6.3"/>
    <n v="9047121"/>
    <n v="4754867"/>
    <n v="70"/>
    <x v="4"/>
    <x v="3"/>
  </r>
  <r>
    <x v="1148"/>
    <s v="Echo Files 1258"/>
    <x v="2"/>
    <s v="D. Kim"/>
    <x v="1"/>
    <d v="2021-09-25T00:00:00"/>
    <x v="3"/>
    <x v="7"/>
    <s v="5 Seasons"/>
    <x v="3"/>
    <n v="11.2"/>
    <n v="1132193"/>
    <n v="2590453"/>
    <n v="42"/>
    <x v="4"/>
    <x v="1"/>
  </r>
  <r>
    <x v="1149"/>
    <s v="Fire Files 1918"/>
    <x v="2"/>
    <s v="K. Tanaka"/>
    <x v="12"/>
    <d v="2021-09-25T00:00:00"/>
    <x v="25"/>
    <x v="9"/>
    <s v="4 Seasons"/>
    <x v="7"/>
    <n v="7.8"/>
    <n v="3119449"/>
    <n v="1030268"/>
    <n v="55"/>
    <x v="9"/>
    <x v="1"/>
  </r>
  <r>
    <x v="1150"/>
    <s v="Last Mission 507"/>
    <x v="0"/>
    <s v="J. Lee"/>
    <x v="0"/>
    <d v="2021-09-28T00:00:00"/>
    <x v="10"/>
    <x v="4"/>
    <s v="93 Min"/>
    <x v="6"/>
    <n v="9.4"/>
    <n v="7210603"/>
    <n v="1935927"/>
    <n v="79"/>
    <x v="7"/>
    <x v="2"/>
  </r>
  <r>
    <x v="1151"/>
    <s v="Shadow Line 385"/>
    <x v="1"/>
    <s v="L. Brown"/>
    <x v="3"/>
    <d v="2021-10-02T00:00:00"/>
    <x v="20"/>
    <x v="4"/>
    <s v="4 Seasons"/>
    <x v="9"/>
    <n v="4.5999999999999996"/>
    <n v="22795450"/>
    <n v="2516630"/>
    <n v="68"/>
    <x v="4"/>
    <x v="4"/>
  </r>
  <r>
    <x v="1152"/>
    <s v="Future Line 662"/>
    <x v="0"/>
    <s v="L. Brown"/>
    <x v="5"/>
    <d v="2021-10-04T00:00:00"/>
    <x v="27"/>
    <x v="4"/>
    <s v="176 Min"/>
    <x v="5"/>
    <n v="7.6"/>
    <n v="17582317"/>
    <n v="3760214"/>
    <n v="85"/>
    <x v="6"/>
    <x v="0"/>
  </r>
  <r>
    <x v="1153"/>
    <s v="Ocean Journey 609"/>
    <x v="1"/>
    <s v="P. Johnson"/>
    <x v="1"/>
    <d v="2021-10-09T00:00:00"/>
    <x v="5"/>
    <x v="0"/>
    <s v="4 Seasons"/>
    <x v="6"/>
    <n v="9.1999999999999993"/>
    <n v="6786313"/>
    <n v="2369069"/>
    <n v="62"/>
    <x v="1"/>
    <x v="2"/>
  </r>
  <r>
    <x v="1154"/>
    <s v="Golden Files 1375"/>
    <x v="1"/>
    <s v="M. Garcia"/>
    <x v="5"/>
    <d v="2021-10-10T00:00:00"/>
    <x v="0"/>
    <x v="1"/>
    <s v="8 Seasons"/>
    <x v="2"/>
    <n v="7.7"/>
    <n v="20654562"/>
    <n v="2996966"/>
    <n v="79"/>
    <x v="2"/>
    <x v="2"/>
  </r>
  <r>
    <x v="1155"/>
    <s v="Echo World 1275"/>
    <x v="1"/>
    <s v="S. Patel"/>
    <x v="0"/>
    <d v="2021-10-14T00:00:00"/>
    <x v="11"/>
    <x v="8"/>
    <s v="6 Seasons"/>
    <x v="7"/>
    <n v="7.1"/>
    <n v="23699104"/>
    <n v="4169035"/>
    <n v="62"/>
    <x v="0"/>
    <x v="4"/>
  </r>
  <r>
    <x v="1156"/>
    <s v="Royal Empire 16"/>
    <x v="2"/>
    <s v="K. Tanaka"/>
    <x v="5"/>
    <d v="2021-10-16T00:00:00"/>
    <x v="18"/>
    <x v="0"/>
    <s v="4 Seasons"/>
    <x v="3"/>
    <n v="5.3"/>
    <n v="15704610"/>
    <n v="1843036"/>
    <n v="46"/>
    <x v="7"/>
    <x v="0"/>
  </r>
  <r>
    <x v="1157"/>
    <s v="Lost Night 42"/>
    <x v="1"/>
    <s v="A. Smith"/>
    <x v="7"/>
    <d v="2021-10-20T00:00:00"/>
    <x v="18"/>
    <x v="0"/>
    <s v="3 Seasons"/>
    <x v="10"/>
    <n v="6.9"/>
    <n v="19998945"/>
    <n v="663824"/>
    <n v="65"/>
    <x v="3"/>
    <x v="1"/>
  </r>
  <r>
    <x v="1158"/>
    <s v="Fire Truth 1171"/>
    <x v="0"/>
    <s v="P. Johnson"/>
    <x v="7"/>
    <d v="2021-10-20T00:00:00"/>
    <x v="26"/>
    <x v="7"/>
    <s v="178 Min"/>
    <x v="1"/>
    <n v="5.6"/>
    <n v="15723734"/>
    <n v="4856854"/>
    <n v="51"/>
    <x v="7"/>
    <x v="0"/>
  </r>
  <r>
    <x v="1159"/>
    <s v="Future Journey 173"/>
    <x v="0"/>
    <s v="N. Singh"/>
    <x v="7"/>
    <d v="2021-10-23T00:00:00"/>
    <x v="11"/>
    <x v="3"/>
    <s v="97 Min"/>
    <x v="1"/>
    <n v="11.2"/>
    <n v="13833412"/>
    <n v="3416043"/>
    <n v="90"/>
    <x v="2"/>
    <x v="1"/>
  </r>
  <r>
    <x v="1160"/>
    <s v="Broken Legacy 1655"/>
    <x v="1"/>
    <s v="P. Johnson"/>
    <x v="1"/>
    <d v="2021-10-26T00:00:00"/>
    <x v="17"/>
    <x v="0"/>
    <s v="7 Seasons"/>
    <x v="7"/>
    <n v="7.1"/>
    <n v="347670"/>
    <n v="1637020"/>
    <n v="72"/>
    <x v="3"/>
    <x v="4"/>
  </r>
  <r>
    <x v="1161"/>
    <s v="Fire Legacy 1120"/>
    <x v="0"/>
    <s v="K. Tanaka"/>
    <x v="5"/>
    <d v="2021-10-27T00:00:00"/>
    <x v="25"/>
    <x v="5"/>
    <s v="116 Min"/>
    <x v="9"/>
    <n v="7.1"/>
    <n v="18311434"/>
    <n v="2305211"/>
    <n v="90"/>
    <x v="0"/>
    <x v="2"/>
  </r>
  <r>
    <x v="1162"/>
    <s v="Hidden Legacy 700"/>
    <x v="1"/>
    <s v="Unknown"/>
    <x v="1"/>
    <d v="2021-10-29T00:00:00"/>
    <x v="21"/>
    <x v="3"/>
    <s v="8 Seasons"/>
    <x v="9"/>
    <n v="7.1"/>
    <n v="22566402"/>
    <n v="4444970"/>
    <n v="71"/>
    <x v="7"/>
    <x v="0"/>
  </r>
  <r>
    <x v="1163"/>
    <s v="Wild Journey 177"/>
    <x v="0"/>
    <s v="N. Singh"/>
    <x v="7"/>
    <d v="2021-11-01T00:00:00"/>
    <x v="23"/>
    <x v="3"/>
    <s v="154 Min"/>
    <x v="2"/>
    <n v="7"/>
    <n v="10058147"/>
    <n v="3838654"/>
    <n v="74"/>
    <x v="2"/>
    <x v="2"/>
  </r>
  <r>
    <x v="1164"/>
    <s v="Echo World 622"/>
    <x v="1"/>
    <s v="S. Patel"/>
    <x v="7"/>
    <d v="2021-11-04T00:00:00"/>
    <x v="20"/>
    <x v="4"/>
    <s v="8 Seasons"/>
    <x v="3"/>
    <n v="8.4"/>
    <n v="12669414"/>
    <n v="2506874"/>
    <n v="71"/>
    <x v="8"/>
    <x v="2"/>
  </r>
  <r>
    <x v="1165"/>
    <s v="Shadow Chronicles 268"/>
    <x v="1"/>
    <s v="K. Tanaka"/>
    <x v="8"/>
    <d v="2021-11-07T00:00:00"/>
    <x v="1"/>
    <x v="8"/>
    <s v="1 Seasons"/>
    <x v="2"/>
    <n v="8.4"/>
    <n v="3435746"/>
    <n v="3098603"/>
    <n v="97"/>
    <x v="8"/>
    <x v="2"/>
  </r>
  <r>
    <x v="1166"/>
    <s v="Lost Mission 1066"/>
    <x v="1"/>
    <s v="Unknown"/>
    <x v="10"/>
    <d v="2021-11-07T00:00:00"/>
    <x v="3"/>
    <x v="4"/>
    <s v="1 Seasons"/>
    <x v="4"/>
    <n v="8.9"/>
    <n v="17793951"/>
    <n v="1028886"/>
    <n v="61"/>
    <x v="4"/>
    <x v="2"/>
  </r>
  <r>
    <x v="1167"/>
    <s v="Blue Edge 1807"/>
    <x v="2"/>
    <s v="D. Kim"/>
    <x v="1"/>
    <d v="2021-11-07T00:00:00"/>
    <x v="24"/>
    <x v="0"/>
    <s v="4 Seasons"/>
    <x v="9"/>
    <n v="4.9000000000000004"/>
    <n v="19040517"/>
    <n v="2244099"/>
    <n v="60"/>
    <x v="7"/>
    <x v="1"/>
  </r>
  <r>
    <x v="1168"/>
    <s v="Golden Quest 476"/>
    <x v="0"/>
    <s v="J. Lee"/>
    <x v="7"/>
    <d v="2021-11-12T00:00:00"/>
    <x v="2"/>
    <x v="2"/>
    <s v="110 Min"/>
    <x v="9"/>
    <n v="9.5"/>
    <n v="24280756"/>
    <n v="4011363"/>
    <n v="100"/>
    <x v="4"/>
    <x v="1"/>
  </r>
  <r>
    <x v="1169"/>
    <s v="Fire Chronicles 1728"/>
    <x v="1"/>
    <s v="D. Kim"/>
    <x v="0"/>
    <d v="2021-11-12T00:00:00"/>
    <x v="17"/>
    <x v="7"/>
    <s v="4 Seasons"/>
    <x v="2"/>
    <n v="9.6999999999999993"/>
    <n v="20707040"/>
    <n v="3860967"/>
    <n v="41"/>
    <x v="4"/>
    <x v="2"/>
  </r>
  <r>
    <x v="1170"/>
    <s v="Golden Valley 310"/>
    <x v="1"/>
    <s v="Unknown"/>
    <x v="7"/>
    <d v="2021-11-13T00:00:00"/>
    <x v="0"/>
    <x v="8"/>
    <s v="1 Seasons"/>
    <x v="7"/>
    <n v="8.1"/>
    <n v="18142279"/>
    <n v="1339859"/>
    <n v="45"/>
    <x v="9"/>
    <x v="0"/>
  </r>
  <r>
    <x v="1171"/>
    <s v="Lost Edge 779"/>
    <x v="1"/>
    <s v="K. Tanaka"/>
    <x v="12"/>
    <d v="2021-11-14T00:00:00"/>
    <x v="24"/>
    <x v="5"/>
    <s v="4 Seasons"/>
    <x v="2"/>
    <n v="8.6999999999999993"/>
    <n v="21767043"/>
    <n v="2461510"/>
    <n v="71"/>
    <x v="5"/>
    <x v="2"/>
  </r>
  <r>
    <x v="1172"/>
    <s v="Lost Rise 646"/>
    <x v="0"/>
    <s v="J. Lee"/>
    <x v="8"/>
    <d v="2021-11-17T00:00:00"/>
    <x v="10"/>
    <x v="1"/>
    <s v="140 Min"/>
    <x v="3"/>
    <n v="9.3000000000000007"/>
    <n v="24188302"/>
    <n v="11163"/>
    <n v="73"/>
    <x v="2"/>
    <x v="0"/>
  </r>
  <r>
    <x v="1173"/>
    <s v="Shadow Night 1762"/>
    <x v="0"/>
    <s v="J. Lee"/>
    <x v="7"/>
    <d v="2021-11-19T00:00:00"/>
    <x v="20"/>
    <x v="7"/>
    <s v="139 Min"/>
    <x v="9"/>
    <n v="7.1"/>
    <n v="16623661"/>
    <n v="1572740"/>
    <n v="54"/>
    <x v="1"/>
    <x v="1"/>
  </r>
  <r>
    <x v="1174"/>
    <s v="Hidden Truth 231"/>
    <x v="0"/>
    <s v="Unknown"/>
    <x v="3"/>
    <d v="2021-11-20T00:00:00"/>
    <x v="7"/>
    <x v="8"/>
    <s v="134 Min"/>
    <x v="3"/>
    <n v="9"/>
    <n v="4677019"/>
    <n v="4552635"/>
    <n v="43"/>
    <x v="5"/>
    <x v="0"/>
  </r>
  <r>
    <x v="1175"/>
    <s v="Secret Valley 280"/>
    <x v="0"/>
    <s v="A. Smith"/>
    <x v="2"/>
    <d v="2021-11-27T00:00:00"/>
    <x v="10"/>
    <x v="9"/>
    <s v="173 Min"/>
    <x v="9"/>
    <n v="5.3"/>
    <n v="15579195"/>
    <n v="3160934"/>
    <n v="69"/>
    <x v="2"/>
    <x v="1"/>
  </r>
  <r>
    <x v="1176"/>
    <s v="Broken Journey 260"/>
    <x v="0"/>
    <s v="Unknown"/>
    <x v="5"/>
    <d v="2021-12-02T00:00:00"/>
    <x v="18"/>
    <x v="3"/>
    <s v="113 Min"/>
    <x v="1"/>
    <n v="6.8"/>
    <n v="3572257"/>
    <n v="4308942"/>
    <n v="50"/>
    <x v="0"/>
    <x v="2"/>
  </r>
  <r>
    <x v="1177"/>
    <s v="Dark Quest 685"/>
    <x v="0"/>
    <s v="J. Lee"/>
    <x v="2"/>
    <d v="2021-12-02T00:00:00"/>
    <x v="22"/>
    <x v="4"/>
    <s v="79 Min"/>
    <x v="9"/>
    <n v="8.9"/>
    <n v="6813107"/>
    <n v="3366952"/>
    <n v="46"/>
    <x v="0"/>
    <x v="2"/>
  </r>
  <r>
    <x v="1178"/>
    <s v="Fire World 718"/>
    <x v="2"/>
    <s v="D. Kim"/>
    <x v="1"/>
    <d v="2021-12-02T00:00:00"/>
    <x v="18"/>
    <x v="1"/>
    <s v="1 Seasons"/>
    <x v="3"/>
    <n v="5.0999999999999996"/>
    <n v="20140209"/>
    <n v="3183907"/>
    <n v="45"/>
    <x v="6"/>
    <x v="2"/>
  </r>
  <r>
    <x v="1179"/>
    <s v="Blue Signal 1395"/>
    <x v="0"/>
    <s v="A. Smith"/>
    <x v="2"/>
    <d v="2021-12-05T00:00:00"/>
    <x v="20"/>
    <x v="9"/>
    <s v="122 Min"/>
    <x v="0"/>
    <n v="7.8"/>
    <n v="17414042"/>
    <n v="4066216"/>
    <n v="55"/>
    <x v="6"/>
    <x v="4"/>
  </r>
  <r>
    <x v="1180"/>
    <s v="Lost World 1607"/>
    <x v="2"/>
    <s v="Unknown"/>
    <x v="10"/>
    <d v="2021-12-05T00:00:00"/>
    <x v="6"/>
    <x v="1"/>
    <s v="4 Seasons"/>
    <x v="1"/>
    <n v="7.3"/>
    <n v="2491410"/>
    <n v="1784045"/>
    <n v="82"/>
    <x v="9"/>
    <x v="3"/>
  </r>
  <r>
    <x v="1181"/>
    <s v="Broken Files 485"/>
    <x v="1"/>
    <s v="L. Brown"/>
    <x v="1"/>
    <d v="2021-12-10T00:00:00"/>
    <x v="2"/>
    <x v="7"/>
    <s v="5 Seasons"/>
    <x v="3"/>
    <n v="6.5"/>
    <n v="24024067"/>
    <n v="3731116"/>
    <n v="85"/>
    <x v="0"/>
    <x v="2"/>
  </r>
  <r>
    <x v="1182"/>
    <s v="Shadow Line 695"/>
    <x v="1"/>
    <s v="A. Smith"/>
    <x v="5"/>
    <d v="2021-12-11T00:00:00"/>
    <x v="1"/>
    <x v="3"/>
    <s v="8 Seasons"/>
    <x v="8"/>
    <n v="6.2"/>
    <n v="894750"/>
    <n v="3552464"/>
    <n v="80"/>
    <x v="3"/>
    <x v="0"/>
  </r>
  <r>
    <x v="1183"/>
    <s v="Fire Code 1196"/>
    <x v="0"/>
    <s v="Unknown"/>
    <x v="1"/>
    <d v="2021-12-16T00:00:00"/>
    <x v="18"/>
    <x v="3"/>
    <s v="152 Min"/>
    <x v="6"/>
    <n v="6"/>
    <n v="6761632"/>
    <n v="4396386"/>
    <n v="84"/>
    <x v="0"/>
    <x v="3"/>
  </r>
  <r>
    <x v="1184"/>
    <s v="Crimson Story 127"/>
    <x v="2"/>
    <s v="R. Kumar"/>
    <x v="7"/>
    <d v="2021-12-17T00:00:00"/>
    <x v="6"/>
    <x v="5"/>
    <s v="3 Seasons"/>
    <x v="10"/>
    <n v="6.5"/>
    <n v="12400847"/>
    <n v="2127931"/>
    <n v="42"/>
    <x v="1"/>
    <x v="3"/>
  </r>
  <r>
    <x v="1185"/>
    <s v="Last Line 118"/>
    <x v="1"/>
    <s v="Unknown"/>
    <x v="2"/>
    <d v="2021-12-20T00:00:00"/>
    <x v="23"/>
    <x v="6"/>
    <s v="1 Seasons"/>
    <x v="0"/>
    <n v="6.2"/>
    <n v="3666135"/>
    <n v="572103"/>
    <n v="63"/>
    <x v="5"/>
    <x v="4"/>
  </r>
  <r>
    <x v="1186"/>
    <s v="Dark Chronicles 427"/>
    <x v="1"/>
    <s v="S. Patel"/>
    <x v="9"/>
    <d v="2021-12-21T00:00:00"/>
    <x v="27"/>
    <x v="9"/>
    <s v="8 Seasons"/>
    <x v="1"/>
    <n v="6.1"/>
    <n v="17538609"/>
    <n v="922525"/>
    <n v="60"/>
    <x v="3"/>
    <x v="0"/>
  </r>
  <r>
    <x v="1187"/>
    <s v="Lost Code 698"/>
    <x v="0"/>
    <s v="M. Garcia"/>
    <x v="0"/>
    <d v="2021-12-22T00:00:00"/>
    <x v="22"/>
    <x v="4"/>
    <s v="81 Min"/>
    <x v="5"/>
    <n v="9.6"/>
    <n v="23863797"/>
    <n v="1416986"/>
    <n v="51"/>
    <x v="2"/>
    <x v="2"/>
  </r>
  <r>
    <x v="1188"/>
    <s v="Urban Line 900"/>
    <x v="0"/>
    <s v="K. Tanaka"/>
    <x v="3"/>
    <d v="2021-12-24T00:00:00"/>
    <x v="14"/>
    <x v="4"/>
    <s v="76 Min"/>
    <x v="3"/>
    <n v="9.8000000000000007"/>
    <n v="7162534"/>
    <n v="340291"/>
    <n v="64"/>
    <x v="5"/>
    <x v="1"/>
  </r>
  <r>
    <x v="1189"/>
    <s v="Hidden World 365"/>
    <x v="1"/>
    <s v="R. Kumar"/>
    <x v="5"/>
    <d v="2021-12-25T00:00:00"/>
    <x v="15"/>
    <x v="1"/>
    <s v="7 Seasons"/>
    <x v="2"/>
    <n v="7.8"/>
    <n v="24236588"/>
    <n v="1050984"/>
    <n v="79"/>
    <x v="5"/>
    <x v="1"/>
  </r>
  <r>
    <x v="1190"/>
    <s v="Lost Game 512"/>
    <x v="2"/>
    <s v="K. Tanaka"/>
    <x v="6"/>
    <d v="2021-12-25T00:00:00"/>
    <x v="24"/>
    <x v="1"/>
    <s v="3 Seasons"/>
    <x v="2"/>
    <n v="5.6"/>
    <n v="21247248"/>
    <n v="2118251"/>
    <n v="90"/>
    <x v="8"/>
    <x v="4"/>
  </r>
  <r>
    <x v="1191"/>
    <s v="Lost Empire 693"/>
    <x v="0"/>
    <s v="K. Tanaka"/>
    <x v="11"/>
    <d v="2021-12-28T00:00:00"/>
    <x v="9"/>
    <x v="8"/>
    <s v="123 Min"/>
    <x v="4"/>
    <n v="9"/>
    <n v="4527930"/>
    <n v="3796351"/>
    <n v="96"/>
    <x v="0"/>
    <x v="0"/>
  </r>
  <r>
    <x v="1192"/>
    <s v="Dark Edge 1769"/>
    <x v="0"/>
    <s v="R. Kumar"/>
    <x v="4"/>
    <d v="2021-12-28T00:00:00"/>
    <x v="13"/>
    <x v="2"/>
    <s v="159 Min"/>
    <x v="5"/>
    <n v="7.7"/>
    <n v="14976564"/>
    <n v="3036375"/>
    <n v="67"/>
    <x v="0"/>
    <x v="1"/>
  </r>
  <r>
    <x v="1193"/>
    <s v="Broken Zone 946"/>
    <x v="0"/>
    <s v="R. Kumar"/>
    <x v="2"/>
    <d v="2021-12-31T00:00:00"/>
    <x v="20"/>
    <x v="9"/>
    <s v="125 Min"/>
    <x v="10"/>
    <n v="6.8"/>
    <n v="394475"/>
    <n v="1952932"/>
    <n v="94"/>
    <x v="8"/>
    <x v="2"/>
  </r>
  <r>
    <x v="1194"/>
    <s v="Hidden Zone 1707"/>
    <x v="1"/>
    <s v="K. Tanaka"/>
    <x v="1"/>
    <d v="2022-01-02T00:00:00"/>
    <x v="17"/>
    <x v="3"/>
    <s v="2 Seasons"/>
    <x v="10"/>
    <n v="5.7"/>
    <n v="21114136"/>
    <n v="326712"/>
    <n v="94"/>
    <x v="4"/>
    <x v="4"/>
  </r>
  <r>
    <x v="1195"/>
    <s v="Broken Zone 1204"/>
    <x v="1"/>
    <s v="D. Kim"/>
    <x v="10"/>
    <d v="2022-01-07T00:00:00"/>
    <x v="24"/>
    <x v="2"/>
    <s v="8 Seasons"/>
    <x v="10"/>
    <n v="9.1"/>
    <n v="7859155"/>
    <n v="1060246"/>
    <n v="72"/>
    <x v="2"/>
    <x v="2"/>
  </r>
  <r>
    <x v="1196"/>
    <s v="Royal Valley 1504"/>
    <x v="0"/>
    <s v="S. Patel"/>
    <x v="4"/>
    <d v="2022-01-17T00:00:00"/>
    <x v="17"/>
    <x v="1"/>
    <s v="92 Min"/>
    <x v="2"/>
    <n v="7.6"/>
    <n v="-578"/>
    <n v="388343"/>
    <n v="73"/>
    <x v="0"/>
    <x v="0"/>
  </r>
  <r>
    <x v="1197"/>
    <s v="Blue Code 601"/>
    <x v="2"/>
    <s v="L. Brown"/>
    <x v="6"/>
    <d v="2022-01-19T00:00:00"/>
    <x v="6"/>
    <x v="0"/>
    <s v="7 Seasons"/>
    <x v="8"/>
    <n v="6.9"/>
    <n v="22444884"/>
    <n v="2382364"/>
    <n v="42"/>
    <x v="7"/>
    <x v="4"/>
  </r>
  <r>
    <x v="1198"/>
    <s v="Lost Quest 226"/>
    <x v="1"/>
    <s v="Unknown"/>
    <x v="3"/>
    <d v="2022-01-21T00:00:00"/>
    <x v="22"/>
    <x v="3"/>
    <s v="7 Seasons"/>
    <x v="7"/>
    <n v="9"/>
    <n v="18718193"/>
    <n v="1082728"/>
    <n v="83"/>
    <x v="0"/>
    <x v="2"/>
  </r>
  <r>
    <x v="1199"/>
    <s v="Lost Valley 1061"/>
    <x v="1"/>
    <s v="S. Patel"/>
    <x v="8"/>
    <d v="2022-01-21T00:00:00"/>
    <x v="23"/>
    <x v="1"/>
    <s v="1 Seasons"/>
    <x v="4"/>
    <n v="5.2"/>
    <n v="3514435"/>
    <n v="2522096"/>
    <n v="58"/>
    <x v="7"/>
    <x v="3"/>
  </r>
  <r>
    <x v="1200"/>
    <s v="Last Night 1960"/>
    <x v="0"/>
    <s v="J. Lee"/>
    <x v="6"/>
    <d v="2022-01-22T00:00:00"/>
    <x v="5"/>
    <x v="4"/>
    <s v="78 Min"/>
    <x v="3"/>
    <n v="7.9"/>
    <n v="13121377"/>
    <n v="2153363"/>
    <n v="120"/>
    <x v="4"/>
    <x v="0"/>
  </r>
  <r>
    <x v="1201"/>
    <s v="Broken Mission 813"/>
    <x v="2"/>
    <s v="L. Brown"/>
    <x v="12"/>
    <d v="2022-01-23T00:00:00"/>
    <x v="3"/>
    <x v="1"/>
    <s v="5 Seasons"/>
    <x v="2"/>
    <n v="7.6"/>
    <n v="16567061"/>
    <n v="1821153"/>
    <n v="86"/>
    <x v="7"/>
    <x v="1"/>
  </r>
  <r>
    <x v="1202"/>
    <s v="Golden Dream 1801"/>
    <x v="0"/>
    <s v="M. Garcia"/>
    <x v="12"/>
    <d v="2022-01-23T00:00:00"/>
    <x v="19"/>
    <x v="7"/>
    <s v="147 Min"/>
    <x v="2"/>
    <n v="5.4"/>
    <n v="21028372"/>
    <n v="2358491"/>
    <n v="120"/>
    <x v="2"/>
    <x v="2"/>
  </r>
  <r>
    <x v="1203"/>
    <s v="Blue Files 319"/>
    <x v="0"/>
    <s v="K. Tanaka"/>
    <x v="4"/>
    <d v="2022-01-24T00:00:00"/>
    <x v="17"/>
    <x v="7"/>
    <s v="158 Min"/>
    <x v="0"/>
    <n v="9.6999999999999993"/>
    <n v="7328646"/>
    <n v="2737238"/>
    <n v="40"/>
    <x v="4"/>
    <x v="4"/>
  </r>
  <r>
    <x v="1204"/>
    <s v="Infinite Journey 421"/>
    <x v="1"/>
    <s v="S. Patel"/>
    <x v="2"/>
    <d v="2022-01-28T00:00:00"/>
    <x v="26"/>
    <x v="1"/>
    <s v="3 Seasons"/>
    <x v="8"/>
    <n v="7.7"/>
    <n v="10410076"/>
    <n v="3536835"/>
    <n v="81"/>
    <x v="1"/>
    <x v="1"/>
  </r>
  <r>
    <x v="1205"/>
    <s v="Royal Rise 1207"/>
    <x v="1"/>
    <s v="Unknown"/>
    <x v="5"/>
    <d v="2022-02-03T00:00:00"/>
    <x v="4"/>
    <x v="0"/>
    <s v="8 Seasons"/>
    <x v="0"/>
    <n v="6.5"/>
    <n v="2106023"/>
    <n v="2933811"/>
    <n v="92"/>
    <x v="7"/>
    <x v="3"/>
  </r>
  <r>
    <x v="1206"/>
    <s v="Broken Journey 41"/>
    <x v="0"/>
    <s v="N. Singh"/>
    <x v="10"/>
    <d v="2022-02-05T00:00:00"/>
    <x v="0"/>
    <x v="1"/>
    <s v="112 Min"/>
    <x v="9"/>
    <n v="7.9"/>
    <n v="823919"/>
    <n v="1962812"/>
    <n v="85"/>
    <x v="8"/>
    <x v="0"/>
  </r>
  <r>
    <x v="1207"/>
    <s v="Hidden Journey 456"/>
    <x v="0"/>
    <s v="S. Patel"/>
    <x v="7"/>
    <d v="2022-02-09T00:00:00"/>
    <x v="23"/>
    <x v="6"/>
    <s v="164 Min"/>
    <x v="9"/>
    <n v="7.6"/>
    <n v="13196688"/>
    <n v="3063155"/>
    <n v="52"/>
    <x v="7"/>
    <x v="3"/>
  </r>
  <r>
    <x v="1208"/>
    <s v="Crimson World 806"/>
    <x v="1"/>
    <s v="K. Tanaka"/>
    <x v="5"/>
    <d v="2022-02-09T00:00:00"/>
    <x v="6"/>
    <x v="0"/>
    <s v="1 Seasons"/>
    <x v="1"/>
    <n v="7.3"/>
    <n v="17733177"/>
    <n v="2691968"/>
    <n v="41"/>
    <x v="4"/>
    <x v="4"/>
  </r>
  <r>
    <x v="1209"/>
    <s v="Broken Truth 1811"/>
    <x v="0"/>
    <s v="K. Tanaka"/>
    <x v="10"/>
    <d v="2022-02-11T00:00:00"/>
    <x v="12"/>
    <x v="5"/>
    <s v="121 Min"/>
    <x v="7"/>
    <n v="9.5"/>
    <n v="274200"/>
    <n v="228372"/>
    <n v="68"/>
    <x v="5"/>
    <x v="4"/>
  </r>
  <r>
    <x v="1210"/>
    <s v="Fire Story 230"/>
    <x v="0"/>
    <s v="A. Smith"/>
    <x v="3"/>
    <d v="2022-02-16T00:00:00"/>
    <x v="21"/>
    <x v="8"/>
    <s v="75 Min"/>
    <x v="9"/>
    <n v="6.5"/>
    <n v="7631651"/>
    <n v="106621"/>
    <n v="66"/>
    <x v="0"/>
    <x v="1"/>
  </r>
  <r>
    <x v="1211"/>
    <s v="Fire Valley 1491"/>
    <x v="0"/>
    <s v="Unknown"/>
    <x v="2"/>
    <d v="2022-02-20T00:00:00"/>
    <x v="21"/>
    <x v="3"/>
    <s v="164 Min"/>
    <x v="3"/>
    <n v="9.4"/>
    <n v="13978724"/>
    <n v="3534230"/>
    <n v="50"/>
    <x v="0"/>
    <x v="0"/>
  </r>
  <r>
    <x v="1212"/>
    <s v="Silent Signal 17"/>
    <x v="0"/>
    <s v="L. Brown"/>
    <x v="0"/>
    <d v="2022-02-22T00:00:00"/>
    <x v="20"/>
    <x v="1"/>
    <s v="121 Min"/>
    <x v="5"/>
    <n v="4.5999999999999996"/>
    <n v="20945518"/>
    <n v="2479448"/>
    <n v="44"/>
    <x v="1"/>
    <x v="1"/>
  </r>
  <r>
    <x v="1213"/>
    <s v="Future Edge 625"/>
    <x v="0"/>
    <s v="L. Brown"/>
    <x v="5"/>
    <d v="2022-02-24T00:00:00"/>
    <x v="7"/>
    <x v="5"/>
    <s v="120 Min"/>
    <x v="1"/>
    <n v="8.4"/>
    <n v="3495875"/>
    <n v="3170920"/>
    <n v="95"/>
    <x v="9"/>
    <x v="2"/>
  </r>
  <r>
    <x v="1214"/>
    <s v="Urban Rise 1355"/>
    <x v="0"/>
    <s v="P. Johnson"/>
    <x v="8"/>
    <d v="2022-02-24T00:00:00"/>
    <x v="16"/>
    <x v="7"/>
    <s v="173 Min"/>
    <x v="5"/>
    <n v="7.4"/>
    <n v="15162991"/>
    <n v="1420082"/>
    <n v="92"/>
    <x v="1"/>
    <x v="3"/>
  </r>
  <r>
    <x v="1215"/>
    <s v="Broken Code 593"/>
    <x v="1"/>
    <s v="R. Kumar"/>
    <x v="1"/>
    <d v="2022-02-25T00:00:00"/>
    <x v="19"/>
    <x v="1"/>
    <s v="4 Seasons"/>
    <x v="4"/>
    <n v="5.4"/>
    <n v="15772046"/>
    <n v="2854448"/>
    <n v="84"/>
    <x v="9"/>
    <x v="1"/>
  </r>
  <r>
    <x v="1216"/>
    <s v="Royal Chronicles 1590"/>
    <x v="0"/>
    <s v="R. Kumar"/>
    <x v="1"/>
    <d v="2022-03-02T00:00:00"/>
    <x v="26"/>
    <x v="3"/>
    <s v="154 Min"/>
    <x v="2"/>
    <n v="9.4"/>
    <n v="16714768"/>
    <n v="1592816"/>
    <n v="49"/>
    <x v="1"/>
    <x v="1"/>
  </r>
  <r>
    <x v="1217"/>
    <s v="Lost Chronicles 982"/>
    <x v="1"/>
    <s v="R. Kumar"/>
    <x v="1"/>
    <d v="2022-03-04T00:00:00"/>
    <x v="6"/>
    <x v="0"/>
    <s v="4 Seasons"/>
    <x v="4"/>
    <n v="7.1"/>
    <n v="608700"/>
    <n v="2990355"/>
    <n v="99"/>
    <x v="1"/>
    <x v="0"/>
  </r>
  <r>
    <x v="1218"/>
    <s v="Hidden Rise 238"/>
    <x v="0"/>
    <s v="D. Kim"/>
    <x v="4"/>
    <d v="2022-03-05T00:00:00"/>
    <x v="19"/>
    <x v="4"/>
    <s v="78 Min"/>
    <x v="10"/>
    <n v="8.3000000000000007"/>
    <n v="7649576"/>
    <n v="1353469"/>
    <n v="62"/>
    <x v="0"/>
    <x v="0"/>
  </r>
  <r>
    <x v="1219"/>
    <s v="Golden Legacy 494"/>
    <x v="2"/>
    <s v="S. Patel"/>
    <x v="0"/>
    <d v="2022-03-09T00:00:00"/>
    <x v="24"/>
    <x v="7"/>
    <s v="1 Seasons"/>
    <x v="0"/>
    <n v="6.5"/>
    <n v="13643465"/>
    <n v="3648546"/>
    <n v="59"/>
    <x v="6"/>
    <x v="4"/>
  </r>
  <r>
    <x v="1220"/>
    <s v="Beyond Night 1344"/>
    <x v="2"/>
    <s v="S. Patel"/>
    <x v="7"/>
    <d v="2022-03-10T00:00:00"/>
    <x v="7"/>
    <x v="8"/>
    <s v="4 Seasons"/>
    <x v="8"/>
    <n v="9.3000000000000007"/>
    <n v="5967787"/>
    <n v="3022425"/>
    <n v="61"/>
    <x v="4"/>
    <x v="3"/>
  </r>
  <r>
    <x v="1221"/>
    <s v="Silent Empire 1351"/>
    <x v="2"/>
    <s v="L. Brown"/>
    <x v="1"/>
    <d v="2022-03-11T00:00:00"/>
    <x v="6"/>
    <x v="1"/>
    <s v="6 Seasons"/>
    <x v="5"/>
    <n v="6.2"/>
    <n v="8401445"/>
    <n v="16670"/>
    <n v="96"/>
    <x v="1"/>
    <x v="3"/>
  </r>
  <r>
    <x v="1222"/>
    <s v="Infinite Code 391"/>
    <x v="0"/>
    <s v="R. Kumar"/>
    <x v="5"/>
    <d v="2022-03-12T00:00:00"/>
    <x v="27"/>
    <x v="3"/>
    <s v="83 Min"/>
    <x v="0"/>
    <n v="7.3"/>
    <n v="23347074"/>
    <n v="3951468"/>
    <n v="59"/>
    <x v="4"/>
    <x v="2"/>
  </r>
  <r>
    <x v="1223"/>
    <s v="Shadow Empire 827"/>
    <x v="0"/>
    <s v="R. Kumar"/>
    <x v="1"/>
    <d v="2022-03-12T00:00:00"/>
    <x v="8"/>
    <x v="4"/>
    <s v="73 Min"/>
    <x v="6"/>
    <n v="6.7"/>
    <n v="14552762"/>
    <n v="3863701"/>
    <n v="44"/>
    <x v="4"/>
    <x v="3"/>
  </r>
  <r>
    <x v="1224"/>
    <s v="Shadow Legacy 923"/>
    <x v="0"/>
    <s v="Unknown"/>
    <x v="3"/>
    <d v="2022-03-13T00:00:00"/>
    <x v="7"/>
    <x v="2"/>
    <s v="177 Min"/>
    <x v="10"/>
    <n v="6"/>
    <n v="10037193"/>
    <n v="2755457"/>
    <n v="98"/>
    <x v="0"/>
    <x v="4"/>
  </r>
  <r>
    <x v="1225"/>
    <s v="Shadow Story 98"/>
    <x v="0"/>
    <s v="R. Kumar"/>
    <x v="3"/>
    <d v="2022-03-14T00:00:00"/>
    <x v="12"/>
    <x v="3"/>
    <s v="79 Min"/>
    <x v="3"/>
    <n v="5.0999999999999996"/>
    <n v="14990002"/>
    <n v="4306990"/>
    <n v="120"/>
    <x v="5"/>
    <x v="1"/>
  </r>
  <r>
    <x v="1226"/>
    <s v="Golden Dream 531"/>
    <x v="0"/>
    <s v="K. Tanaka"/>
    <x v="7"/>
    <d v="2022-03-18T00:00:00"/>
    <x v="17"/>
    <x v="9"/>
    <s v="109 Min"/>
    <x v="5"/>
    <n v="7.2"/>
    <n v="4170125"/>
    <n v="2328227"/>
    <n v="58"/>
    <x v="5"/>
    <x v="4"/>
  </r>
  <r>
    <x v="1227"/>
    <s v="Urban Line 1873"/>
    <x v="1"/>
    <s v="J. Lee"/>
    <x v="10"/>
    <d v="2022-03-20T00:00:00"/>
    <x v="4"/>
    <x v="1"/>
    <s v="8 Seasons"/>
    <x v="10"/>
    <n v="5.9"/>
    <n v="4755600"/>
    <n v="3320459"/>
    <n v="89"/>
    <x v="7"/>
    <x v="4"/>
  </r>
  <r>
    <x v="1228"/>
    <s v="Crimson Edge 1119"/>
    <x v="2"/>
    <s v="Unknown"/>
    <x v="7"/>
    <d v="2022-03-21T00:00:00"/>
    <x v="10"/>
    <x v="2"/>
    <s v="8 Seasons"/>
    <x v="8"/>
    <n v="11.2"/>
    <n v="7132630"/>
    <n v="290736"/>
    <n v="49"/>
    <x v="1"/>
    <x v="1"/>
  </r>
  <r>
    <x v="1229"/>
    <s v="Future Mission 271"/>
    <x v="1"/>
    <s v="P. Johnson"/>
    <x v="8"/>
    <d v="2022-03-22T00:00:00"/>
    <x v="26"/>
    <x v="8"/>
    <s v="4 Seasons"/>
    <x v="9"/>
    <n v="6.9"/>
    <n v="14791001"/>
    <n v="2612598"/>
    <n v="98"/>
    <x v="9"/>
    <x v="2"/>
  </r>
  <r>
    <x v="1230"/>
    <s v="Secret Edge 1909"/>
    <x v="2"/>
    <s v="D. Kim"/>
    <x v="5"/>
    <d v="2022-03-24T00:00:00"/>
    <x v="11"/>
    <x v="9"/>
    <s v="8 Seasons"/>
    <x v="3"/>
    <n v="7"/>
    <n v="9126528"/>
    <n v="2336714"/>
    <n v="54"/>
    <x v="9"/>
    <x v="3"/>
  </r>
  <r>
    <x v="1231"/>
    <s v="Echo Code 514"/>
    <x v="1"/>
    <s v="N. Singh"/>
    <x v="4"/>
    <d v="2022-03-27T00:00:00"/>
    <x v="18"/>
    <x v="5"/>
    <s v="8 Seasons"/>
    <x v="9"/>
    <n v="7.6"/>
    <n v="18465299"/>
    <n v="2557238"/>
    <n v="50"/>
    <x v="0"/>
    <x v="0"/>
  </r>
  <r>
    <x v="1232"/>
    <s v="Golden Mission 1561"/>
    <x v="0"/>
    <s v="Unknown"/>
    <x v="11"/>
    <d v="2022-03-31T00:00:00"/>
    <x v="15"/>
    <x v="6"/>
    <s v="70 Min"/>
    <x v="0"/>
    <n v="6"/>
    <n v="18740698"/>
    <n v="3345192"/>
    <n v="70"/>
    <x v="7"/>
    <x v="4"/>
  </r>
  <r>
    <x v="1233"/>
    <s v="Secret Files 993"/>
    <x v="0"/>
    <s v="A. Smith"/>
    <x v="0"/>
    <d v="2022-04-02T00:00:00"/>
    <x v="27"/>
    <x v="3"/>
    <s v="111 Min"/>
    <x v="0"/>
    <n v="4.5"/>
    <n v="1998007"/>
    <n v="1037038"/>
    <n v="43"/>
    <x v="4"/>
    <x v="4"/>
  </r>
  <r>
    <x v="1234"/>
    <s v="Silent Journey 546"/>
    <x v="0"/>
    <s v="S. Patel"/>
    <x v="4"/>
    <d v="2022-04-04T00:00:00"/>
    <x v="26"/>
    <x v="5"/>
    <s v="144 Min"/>
    <x v="9"/>
    <n v="8.8000000000000007"/>
    <n v="12918627"/>
    <n v="4651475"/>
    <n v="73"/>
    <x v="8"/>
    <x v="2"/>
  </r>
  <r>
    <x v="1235"/>
    <s v="Beyond Valley 920"/>
    <x v="1"/>
    <s v="A. Smith"/>
    <x v="7"/>
    <d v="2022-04-04T00:00:00"/>
    <x v="18"/>
    <x v="8"/>
    <s v="8 Seasons"/>
    <x v="3"/>
    <n v="5.3"/>
    <n v="2883530"/>
    <n v="4130147"/>
    <n v="71"/>
    <x v="6"/>
    <x v="4"/>
  </r>
  <r>
    <x v="1236"/>
    <s v="Dark Story 334"/>
    <x v="1"/>
    <s v="Unknown"/>
    <x v="12"/>
    <d v="2022-04-06T00:00:00"/>
    <x v="1"/>
    <x v="7"/>
    <s v="1 Seasons"/>
    <x v="7"/>
    <n v="9.1"/>
    <n v="14919264"/>
    <n v="3251204"/>
    <n v="51"/>
    <x v="9"/>
    <x v="2"/>
  </r>
  <r>
    <x v="1237"/>
    <s v="Echo Signal 861"/>
    <x v="0"/>
    <s v="N. Singh"/>
    <x v="6"/>
    <d v="2022-04-07T00:00:00"/>
    <x v="24"/>
    <x v="6"/>
    <s v="103 Min"/>
    <x v="3"/>
    <n v="4.7"/>
    <n v="13590096"/>
    <n v="183846"/>
    <n v="55"/>
    <x v="3"/>
    <x v="0"/>
  </r>
  <r>
    <x v="1238"/>
    <s v="Broken World 1860"/>
    <x v="1"/>
    <s v="K. Tanaka"/>
    <x v="9"/>
    <d v="2022-04-07T00:00:00"/>
    <x v="25"/>
    <x v="2"/>
    <s v="3 Seasons"/>
    <x v="3"/>
    <n v="9.6999999999999993"/>
    <n v="1634448"/>
    <n v="735306"/>
    <n v="94"/>
    <x v="2"/>
    <x v="3"/>
  </r>
  <r>
    <x v="1239"/>
    <s v="Infinite World 817"/>
    <x v="0"/>
    <s v="Unknown"/>
    <x v="7"/>
    <d v="2022-04-08T00:00:00"/>
    <x v="20"/>
    <x v="7"/>
    <s v="177 Min"/>
    <x v="4"/>
    <n v="8.4"/>
    <n v="22626772"/>
    <n v="358818"/>
    <n v="71"/>
    <x v="6"/>
    <x v="0"/>
  </r>
  <r>
    <x v="1240"/>
    <s v="Blue Journey 1719"/>
    <x v="0"/>
    <s v="N. Singh"/>
    <x v="12"/>
    <d v="2022-04-16T00:00:00"/>
    <x v="13"/>
    <x v="5"/>
    <s v="72 Min"/>
    <x v="9"/>
    <n v="5.7"/>
    <n v="11934150"/>
    <n v="2272298"/>
    <n v="51"/>
    <x v="6"/>
    <x v="3"/>
  </r>
  <r>
    <x v="1241"/>
    <s v="Blue Rise 242"/>
    <x v="0"/>
    <s v="L. Brown"/>
    <x v="1"/>
    <d v="2022-04-17T00:00:00"/>
    <x v="15"/>
    <x v="6"/>
    <s v="72 Min"/>
    <x v="8"/>
    <n v="7.5"/>
    <n v="572291"/>
    <n v="3108852"/>
    <n v="44"/>
    <x v="9"/>
    <x v="3"/>
  </r>
  <r>
    <x v="1242"/>
    <s v="Secret Mission 1874"/>
    <x v="0"/>
    <s v="S. Patel"/>
    <x v="6"/>
    <d v="2022-04-17T00:00:00"/>
    <x v="11"/>
    <x v="2"/>
    <s v="107 Min"/>
    <x v="6"/>
    <n v="6.7"/>
    <n v="23913360"/>
    <n v="3670726"/>
    <n v="95"/>
    <x v="0"/>
    <x v="2"/>
  </r>
  <r>
    <x v="1243"/>
    <s v="Crimson Mission 1669"/>
    <x v="0"/>
    <s v="S. Patel"/>
    <x v="4"/>
    <d v="2022-04-19T00:00:00"/>
    <x v="1"/>
    <x v="5"/>
    <s v="160 Min"/>
    <x v="9"/>
    <n v="8.1"/>
    <n v="10687857"/>
    <n v="4289848"/>
    <n v="62"/>
    <x v="4"/>
    <x v="3"/>
  </r>
  <r>
    <x v="1244"/>
    <s v="Infinite Mission 1748"/>
    <x v="1"/>
    <s v="N. Singh"/>
    <x v="7"/>
    <d v="2022-04-19T00:00:00"/>
    <x v="25"/>
    <x v="3"/>
    <s v="8 Seasons"/>
    <x v="10"/>
    <n v="7.6"/>
    <n v="21436429"/>
    <n v="3465696"/>
    <n v="74"/>
    <x v="1"/>
    <x v="2"/>
  </r>
  <r>
    <x v="1245"/>
    <s v="Last Chronicles 1915"/>
    <x v="0"/>
    <s v="S. Patel"/>
    <x v="10"/>
    <d v="2022-04-25T00:00:00"/>
    <x v="0"/>
    <x v="7"/>
    <s v="152 Min"/>
    <x v="0"/>
    <n v="7.9"/>
    <n v="17070320"/>
    <n v="390714"/>
    <n v="78"/>
    <x v="5"/>
    <x v="2"/>
  </r>
  <r>
    <x v="1246"/>
    <s v="Fire Line 1363"/>
    <x v="2"/>
    <s v="D. Kim"/>
    <x v="6"/>
    <d v="2022-05-02T00:00:00"/>
    <x v="7"/>
    <x v="6"/>
    <s v="4 Seasons"/>
    <x v="1"/>
    <n v="7.1"/>
    <n v="9563655"/>
    <n v="1409098"/>
    <n v="89"/>
    <x v="3"/>
    <x v="0"/>
  </r>
  <r>
    <x v="1247"/>
    <s v="Shadow Journey 1445"/>
    <x v="1"/>
    <s v="L. Brown"/>
    <x v="0"/>
    <d v="2022-05-02T00:00:00"/>
    <x v="16"/>
    <x v="3"/>
    <s v="5 Seasons"/>
    <x v="2"/>
    <n v="7.5"/>
    <n v="1573776"/>
    <n v="3020378"/>
    <n v="56"/>
    <x v="1"/>
    <x v="2"/>
  </r>
  <r>
    <x v="1248"/>
    <s v="Echo Journey 653"/>
    <x v="0"/>
    <s v="M. Garcia"/>
    <x v="4"/>
    <d v="2022-05-03T00:00:00"/>
    <x v="1"/>
    <x v="0"/>
    <s v="91 Min"/>
    <x v="4"/>
    <n v="8.8000000000000007"/>
    <n v="1344546"/>
    <n v="2700575"/>
    <n v="80"/>
    <x v="4"/>
    <x v="2"/>
  </r>
  <r>
    <x v="1249"/>
    <s v="Broken Empire 857"/>
    <x v="0"/>
    <s v="J. Lee"/>
    <x v="1"/>
    <d v="2022-05-06T00:00:00"/>
    <x v="25"/>
    <x v="1"/>
    <s v="89 Min"/>
    <x v="9"/>
    <n v="9.8000000000000007"/>
    <n v="1812380"/>
    <n v="4445429"/>
    <n v="93"/>
    <x v="2"/>
    <x v="4"/>
  </r>
  <r>
    <x v="1250"/>
    <s v="Shadow Files 308"/>
    <x v="0"/>
    <s v="J. Lee"/>
    <x v="7"/>
    <d v="2022-05-09T00:00:00"/>
    <x v="8"/>
    <x v="0"/>
    <s v="82 Min"/>
    <x v="3"/>
    <n v="5.3"/>
    <n v="15042802"/>
    <n v="2313201"/>
    <n v="78"/>
    <x v="5"/>
    <x v="1"/>
  </r>
  <r>
    <x v="1251"/>
    <s v="Wild Valley 1391"/>
    <x v="0"/>
    <s v="A. Smith"/>
    <x v="7"/>
    <d v="2022-05-10T00:00:00"/>
    <x v="7"/>
    <x v="3"/>
    <s v="120 Min"/>
    <x v="6"/>
    <n v="5.6"/>
    <n v="8483353"/>
    <n v="4057253"/>
    <n v="96"/>
    <x v="4"/>
    <x v="4"/>
  </r>
  <r>
    <x v="1252"/>
    <s v="Royal World 652"/>
    <x v="2"/>
    <s v="Unknown"/>
    <x v="9"/>
    <d v="2022-05-16T00:00:00"/>
    <x v="7"/>
    <x v="7"/>
    <s v="8 Seasons"/>
    <x v="5"/>
    <n v="5.4"/>
    <n v="3027577"/>
    <n v="4401519"/>
    <n v="63"/>
    <x v="4"/>
    <x v="2"/>
  </r>
  <r>
    <x v="1253"/>
    <s v="Broken Chronicles 444"/>
    <x v="1"/>
    <s v="L. Brown"/>
    <x v="3"/>
    <d v="2022-05-18T00:00:00"/>
    <x v="23"/>
    <x v="4"/>
    <s v="5 Seasons"/>
    <x v="3"/>
    <n v="5"/>
    <n v="8280221"/>
    <n v="425342"/>
    <n v="66"/>
    <x v="2"/>
    <x v="1"/>
  </r>
  <r>
    <x v="1254"/>
    <s v="Beyond Truth 1661"/>
    <x v="1"/>
    <s v="Unknown"/>
    <x v="10"/>
    <d v="2022-05-18T00:00:00"/>
    <x v="3"/>
    <x v="8"/>
    <s v="2 Seasons"/>
    <x v="4"/>
    <n v="7"/>
    <n v="8684392"/>
    <n v="4676947"/>
    <n v="53"/>
    <x v="0"/>
    <x v="2"/>
  </r>
  <r>
    <x v="1255"/>
    <s v="Future World 1820"/>
    <x v="1"/>
    <s v="S. Patel"/>
    <x v="4"/>
    <d v="2022-05-19T00:00:00"/>
    <x v="1"/>
    <x v="6"/>
    <s v="8 Seasons"/>
    <x v="5"/>
    <n v="8.3000000000000007"/>
    <n v="11252152"/>
    <n v="2659686"/>
    <n v="52"/>
    <x v="8"/>
    <x v="2"/>
  </r>
  <r>
    <x v="1256"/>
    <s v="Royal Chronicles 1158"/>
    <x v="2"/>
    <s v="D. Kim"/>
    <x v="1"/>
    <d v="2022-05-25T00:00:00"/>
    <x v="10"/>
    <x v="1"/>
    <s v="4 Seasons"/>
    <x v="3"/>
    <n v="8"/>
    <n v="19576886"/>
    <n v="2243969"/>
    <n v="87"/>
    <x v="2"/>
    <x v="0"/>
  </r>
  <r>
    <x v="1257"/>
    <s v="Beyond Quest 1073"/>
    <x v="2"/>
    <s v="M. Garcia"/>
    <x v="4"/>
    <d v="2022-05-28T00:00:00"/>
    <x v="10"/>
    <x v="6"/>
    <s v="5 Seasons"/>
    <x v="5"/>
    <n v="6.4"/>
    <n v="2367023"/>
    <n v="3075407"/>
    <n v="62"/>
    <x v="0"/>
    <x v="4"/>
  </r>
  <r>
    <x v="1258"/>
    <s v="Urban Empire 1366"/>
    <x v="0"/>
    <s v="K. Tanaka"/>
    <x v="7"/>
    <d v="2022-05-28T00:00:00"/>
    <x v="21"/>
    <x v="4"/>
    <s v="101 Min"/>
    <x v="9"/>
    <n v="6.2"/>
    <n v="3057791"/>
    <n v="526414"/>
    <n v="71"/>
    <x v="5"/>
    <x v="2"/>
  </r>
  <r>
    <x v="1259"/>
    <s v="Last Quest 731"/>
    <x v="0"/>
    <s v="K. Tanaka"/>
    <x v="4"/>
    <d v="2022-05-29T00:00:00"/>
    <x v="4"/>
    <x v="1"/>
    <s v="120 Min"/>
    <x v="3"/>
    <n v="5.5"/>
    <n v="13114035"/>
    <n v="476035"/>
    <n v="90"/>
    <x v="1"/>
    <x v="0"/>
  </r>
  <r>
    <x v="1260"/>
    <s v="Silent Files 498"/>
    <x v="0"/>
    <s v="Unknown"/>
    <x v="7"/>
    <d v="2022-05-31T00:00:00"/>
    <x v="27"/>
    <x v="0"/>
    <s v="129 Min"/>
    <x v="9"/>
    <n v="6"/>
    <n v="16921348"/>
    <n v="299249"/>
    <n v="95"/>
    <x v="3"/>
    <x v="3"/>
  </r>
  <r>
    <x v="1261"/>
    <s v="Royal Zone 678"/>
    <x v="0"/>
    <s v="M. Garcia"/>
    <x v="12"/>
    <d v="2022-06-04T00:00:00"/>
    <x v="13"/>
    <x v="2"/>
    <s v="81 Min"/>
    <x v="10"/>
    <n v="5.0999999999999996"/>
    <n v="9414656"/>
    <n v="2170659"/>
    <n v="42"/>
    <x v="8"/>
    <x v="0"/>
  </r>
  <r>
    <x v="1262"/>
    <s v="Shadow Journey 1598"/>
    <x v="0"/>
    <s v="K. Tanaka"/>
    <x v="0"/>
    <d v="2022-06-05T00:00:00"/>
    <x v="2"/>
    <x v="1"/>
    <s v="86 Min"/>
    <x v="8"/>
    <n v="6.5"/>
    <n v="15552941"/>
    <n v="1287192"/>
    <n v="50"/>
    <x v="5"/>
    <x v="4"/>
  </r>
  <r>
    <x v="1263"/>
    <s v="Echo Edge 1431"/>
    <x v="0"/>
    <s v="P. Johnson"/>
    <x v="0"/>
    <d v="2022-06-06T00:00:00"/>
    <x v="7"/>
    <x v="8"/>
    <s v="Unknown"/>
    <x v="2"/>
    <n v="4.5"/>
    <n v="9705220"/>
    <n v="1251161"/>
    <n v="65"/>
    <x v="5"/>
    <x v="0"/>
  </r>
  <r>
    <x v="1264"/>
    <s v="Lost Valley 613"/>
    <x v="0"/>
    <s v="N. Singh"/>
    <x v="9"/>
    <d v="2022-06-07T00:00:00"/>
    <x v="7"/>
    <x v="0"/>
    <s v="98 Min"/>
    <x v="9"/>
    <n v="8.9"/>
    <n v="6373219"/>
    <n v="3777998"/>
    <n v="99"/>
    <x v="7"/>
    <x v="2"/>
  </r>
  <r>
    <x v="1265"/>
    <s v="Dark Line 1185"/>
    <x v="2"/>
    <s v="Unknown"/>
    <x v="0"/>
    <d v="2022-06-07T00:00:00"/>
    <x v="9"/>
    <x v="9"/>
    <s v="5 Seasons"/>
    <x v="3"/>
    <n v="9.1"/>
    <n v="24262031"/>
    <n v="762111"/>
    <n v="85"/>
    <x v="6"/>
    <x v="2"/>
  </r>
  <r>
    <x v="1266"/>
    <s v="Shadow Chronicles 1914"/>
    <x v="1"/>
    <s v="R. Kumar"/>
    <x v="9"/>
    <d v="2022-06-14T00:00:00"/>
    <x v="1"/>
    <x v="7"/>
    <s v="5 Seasons"/>
    <x v="7"/>
    <n v="4.5999999999999996"/>
    <n v="19997185"/>
    <n v="2566936"/>
    <n v="95"/>
    <x v="0"/>
    <x v="2"/>
  </r>
  <r>
    <x v="1267"/>
    <s v="Dark Files 952"/>
    <x v="0"/>
    <s v="L. Brown"/>
    <x v="4"/>
    <d v="2022-06-15T00:00:00"/>
    <x v="26"/>
    <x v="3"/>
    <s v="124 Min"/>
    <x v="6"/>
    <n v="6.3"/>
    <n v="5568723"/>
    <n v="19166"/>
    <n v="89"/>
    <x v="1"/>
    <x v="0"/>
  </r>
  <r>
    <x v="1268"/>
    <s v="Last Quest 1128"/>
    <x v="0"/>
    <s v="K. Tanaka"/>
    <x v="7"/>
    <d v="2022-06-15T00:00:00"/>
    <x v="2"/>
    <x v="8"/>
    <s v="87 Min"/>
    <x v="3"/>
    <n v="9.3000000000000007"/>
    <n v="21417673"/>
    <n v="1812941"/>
    <n v="89"/>
    <x v="8"/>
    <x v="0"/>
  </r>
  <r>
    <x v="1269"/>
    <s v="Echo Valley 1690"/>
    <x v="0"/>
    <s v="A. Smith"/>
    <x v="5"/>
    <d v="2022-06-17T00:00:00"/>
    <x v="15"/>
    <x v="6"/>
    <s v="131 Min"/>
    <x v="4"/>
    <n v="9"/>
    <n v="24135530"/>
    <n v="2476645"/>
    <n v="92"/>
    <x v="9"/>
    <x v="4"/>
  </r>
  <r>
    <x v="1270"/>
    <s v="Last Signal 567"/>
    <x v="2"/>
    <s v="N. Singh"/>
    <x v="8"/>
    <d v="2022-06-21T00:00:00"/>
    <x v="9"/>
    <x v="2"/>
    <s v="6 Seasons"/>
    <x v="4"/>
    <n v="7.6"/>
    <n v="3550425"/>
    <n v="1181033"/>
    <n v="92"/>
    <x v="1"/>
    <x v="2"/>
  </r>
  <r>
    <x v="1271"/>
    <s v="Shadow Night 1406"/>
    <x v="0"/>
    <s v="R. Kumar"/>
    <x v="11"/>
    <d v="2022-06-21T00:00:00"/>
    <x v="19"/>
    <x v="0"/>
    <s v="77 Min"/>
    <x v="0"/>
    <n v="9.1999999999999993"/>
    <n v="17408488"/>
    <n v="1181844"/>
    <n v="71"/>
    <x v="7"/>
    <x v="0"/>
  </r>
  <r>
    <x v="1272"/>
    <s v="Dark Quest 1109"/>
    <x v="0"/>
    <s v="M. Garcia"/>
    <x v="4"/>
    <d v="2022-06-22T00:00:00"/>
    <x v="6"/>
    <x v="1"/>
    <s v="149 Min"/>
    <x v="3"/>
    <n v="9.3000000000000007"/>
    <n v="19745943"/>
    <n v="4532206"/>
    <n v="48"/>
    <x v="6"/>
    <x v="4"/>
  </r>
  <r>
    <x v="1273"/>
    <s v="Hidden Files 1905"/>
    <x v="2"/>
    <s v="N. Singh"/>
    <x v="11"/>
    <d v="2022-06-23T00:00:00"/>
    <x v="15"/>
    <x v="3"/>
    <s v="3 Seasons"/>
    <x v="9"/>
    <n v="5.0999999999999996"/>
    <n v="11968875"/>
    <n v="3017553"/>
    <n v="62"/>
    <x v="1"/>
    <x v="2"/>
  </r>
  <r>
    <x v="1274"/>
    <s v="Last Empire 1034"/>
    <x v="0"/>
    <s v="M. Garcia"/>
    <x v="7"/>
    <d v="2022-06-29T00:00:00"/>
    <x v="25"/>
    <x v="2"/>
    <s v="83 Min"/>
    <x v="3"/>
    <n v="4.7"/>
    <n v="3201337"/>
    <n v="2055043"/>
    <n v="59"/>
    <x v="2"/>
    <x v="0"/>
  </r>
  <r>
    <x v="1275"/>
    <s v="Silent Chronicles 588"/>
    <x v="0"/>
    <s v="L. Brown"/>
    <x v="12"/>
    <d v="2022-07-03T00:00:00"/>
    <x v="23"/>
    <x v="7"/>
    <s v="118 Min"/>
    <x v="3"/>
    <n v="8.1999999999999993"/>
    <n v="830899"/>
    <n v="1554565"/>
    <n v="77"/>
    <x v="4"/>
    <x v="4"/>
  </r>
  <r>
    <x v="1276"/>
    <s v="Fire Quest 821"/>
    <x v="1"/>
    <s v="J. Lee"/>
    <x v="9"/>
    <d v="2022-07-07T00:00:00"/>
    <x v="24"/>
    <x v="6"/>
    <s v="5 Seasons"/>
    <x v="3"/>
    <n v="7.3"/>
    <n v="10478272"/>
    <n v="2433173"/>
    <n v="86"/>
    <x v="3"/>
    <x v="3"/>
  </r>
  <r>
    <x v="1277"/>
    <s v="Future Code 1713"/>
    <x v="1"/>
    <s v="M. Garcia"/>
    <x v="1"/>
    <d v="2022-07-08T00:00:00"/>
    <x v="25"/>
    <x v="0"/>
    <s v="8 Seasons"/>
    <x v="1"/>
    <n v="5.2"/>
    <n v="10349421"/>
    <n v="1557242"/>
    <n v="67"/>
    <x v="1"/>
    <x v="0"/>
  </r>
  <r>
    <x v="1278"/>
    <s v="Silent Edge 150"/>
    <x v="0"/>
    <s v="Unknown"/>
    <x v="2"/>
    <d v="2022-07-12T00:00:00"/>
    <x v="4"/>
    <x v="3"/>
    <s v="152 Min"/>
    <x v="0"/>
    <n v="4.5999999999999996"/>
    <n v="19980919"/>
    <n v="1944042"/>
    <n v="84"/>
    <x v="1"/>
    <x v="2"/>
  </r>
  <r>
    <x v="1279"/>
    <s v="Shadow Empire 161"/>
    <x v="1"/>
    <s v="A. Smith"/>
    <x v="7"/>
    <d v="2022-07-12T00:00:00"/>
    <x v="4"/>
    <x v="9"/>
    <s v="8 Seasons"/>
    <x v="8"/>
    <n v="5.2"/>
    <n v="1690922"/>
    <n v="1221747"/>
    <n v="52"/>
    <x v="5"/>
    <x v="2"/>
  </r>
  <r>
    <x v="1280"/>
    <s v="Beyond Story 740"/>
    <x v="1"/>
    <s v="P. Johnson"/>
    <x v="6"/>
    <d v="2022-07-12T00:00:00"/>
    <x v="2"/>
    <x v="4"/>
    <s v="7 Seasons"/>
    <x v="2"/>
    <n v="6.3"/>
    <n v="24945841"/>
    <n v="3041699"/>
    <n v="100"/>
    <x v="4"/>
    <x v="4"/>
  </r>
  <r>
    <x v="1281"/>
    <s v="Hidden Story 562"/>
    <x v="1"/>
    <s v="K. Tanaka"/>
    <x v="11"/>
    <d v="2022-07-16T00:00:00"/>
    <x v="26"/>
    <x v="2"/>
    <s v="8 Seasons"/>
    <x v="8"/>
    <n v="8.1"/>
    <n v="11047295"/>
    <n v="4629577"/>
    <n v="41"/>
    <x v="2"/>
    <x v="3"/>
  </r>
  <r>
    <x v="1282"/>
    <s v="Future Code 1056"/>
    <x v="0"/>
    <s v="P. Johnson"/>
    <x v="0"/>
    <d v="2022-07-18T00:00:00"/>
    <x v="14"/>
    <x v="9"/>
    <s v="153 Min"/>
    <x v="4"/>
    <n v="6.1"/>
    <n v="4094227"/>
    <n v="4521991"/>
    <n v="97"/>
    <x v="9"/>
    <x v="4"/>
  </r>
  <r>
    <x v="1283"/>
    <s v="Fire Quest 818"/>
    <x v="1"/>
    <s v="A. Smith"/>
    <x v="11"/>
    <d v="2022-07-21T00:00:00"/>
    <x v="9"/>
    <x v="7"/>
    <s v="3 Seasons"/>
    <x v="6"/>
    <n v="7.8"/>
    <n v="21524238"/>
    <n v="2882943"/>
    <n v="65"/>
    <x v="4"/>
    <x v="3"/>
  </r>
  <r>
    <x v="1284"/>
    <s v="Beyond Valley 246"/>
    <x v="1"/>
    <s v="P. Johnson"/>
    <x v="9"/>
    <d v="2022-07-23T00:00:00"/>
    <x v="24"/>
    <x v="0"/>
    <s v="1 Seasons"/>
    <x v="0"/>
    <n v="5.3"/>
    <n v="12871922"/>
    <n v="1314859"/>
    <n v="40"/>
    <x v="5"/>
    <x v="3"/>
  </r>
  <r>
    <x v="1285"/>
    <s v="Infinite Chronicles 517"/>
    <x v="1"/>
    <s v="L. Brown"/>
    <x v="4"/>
    <d v="2022-07-26T00:00:00"/>
    <x v="4"/>
    <x v="7"/>
    <s v="1 Seasons"/>
    <x v="2"/>
    <n v="8.8000000000000007"/>
    <n v="2942965"/>
    <n v="1872071"/>
    <n v="70"/>
    <x v="1"/>
    <x v="4"/>
  </r>
  <r>
    <x v="1286"/>
    <s v="Shadow Game 143"/>
    <x v="0"/>
    <s v="P. Johnson"/>
    <x v="0"/>
    <d v="2022-07-30T00:00:00"/>
    <x v="17"/>
    <x v="1"/>
    <s v="153 Min"/>
    <x v="9"/>
    <n v="7.1"/>
    <n v="8634071"/>
    <n v="3888097"/>
    <n v="41"/>
    <x v="9"/>
    <x v="3"/>
  </r>
  <r>
    <x v="1287"/>
    <s v="Beyond Zone 407"/>
    <x v="0"/>
    <s v="A. Smith"/>
    <x v="5"/>
    <d v="2022-08-02T00:00:00"/>
    <x v="5"/>
    <x v="7"/>
    <s v="133 Min"/>
    <x v="9"/>
    <n v="6.9"/>
    <n v="14513684"/>
    <n v="4527375"/>
    <n v="53"/>
    <x v="6"/>
    <x v="2"/>
  </r>
  <r>
    <x v="1288"/>
    <s v="Urban Chronicles 1736"/>
    <x v="1"/>
    <s v="S. Patel"/>
    <x v="10"/>
    <d v="2022-08-03T00:00:00"/>
    <x v="17"/>
    <x v="6"/>
    <s v="5 Seasons"/>
    <x v="10"/>
    <n v="8.5"/>
    <n v="9874034"/>
    <n v="4239953"/>
    <n v="40"/>
    <x v="3"/>
    <x v="0"/>
  </r>
  <r>
    <x v="1289"/>
    <s v="Silent Zone 1118"/>
    <x v="0"/>
    <s v="N. Singh"/>
    <x v="9"/>
    <d v="2022-08-06T00:00:00"/>
    <x v="4"/>
    <x v="6"/>
    <s v="105 Min"/>
    <x v="6"/>
    <n v="8.3000000000000007"/>
    <n v="18556594"/>
    <n v="490573"/>
    <n v="120"/>
    <x v="7"/>
    <x v="0"/>
  </r>
  <r>
    <x v="1290"/>
    <s v="Blue Mission 1886"/>
    <x v="0"/>
    <s v="Unknown"/>
    <x v="4"/>
    <d v="2022-08-06T00:00:00"/>
    <x v="8"/>
    <x v="2"/>
    <s v="156 Min"/>
    <x v="10"/>
    <n v="6.3"/>
    <n v="-920"/>
    <n v="2695784"/>
    <n v="98"/>
    <x v="0"/>
    <x v="0"/>
  </r>
  <r>
    <x v="1291"/>
    <s v="Secret Rise 457"/>
    <x v="0"/>
    <s v="A. Smith"/>
    <x v="4"/>
    <d v="2022-08-11T00:00:00"/>
    <x v="13"/>
    <x v="0"/>
    <s v="171 Min"/>
    <x v="0"/>
    <n v="8.5"/>
    <n v="14248355"/>
    <n v="4148235"/>
    <n v="76"/>
    <x v="8"/>
    <x v="0"/>
  </r>
  <r>
    <x v="1292"/>
    <s v="Echo Chronicles 1890"/>
    <x v="1"/>
    <s v="P. Johnson"/>
    <x v="5"/>
    <d v="2022-08-13T00:00:00"/>
    <x v="2"/>
    <x v="7"/>
    <s v="8 Seasons"/>
    <x v="2"/>
    <n v="6"/>
    <n v="16139892"/>
    <n v="421387"/>
    <n v="95"/>
    <x v="1"/>
    <x v="1"/>
  </r>
  <r>
    <x v="1293"/>
    <s v="Fire Mission 1947"/>
    <x v="0"/>
    <s v="J. Lee"/>
    <x v="11"/>
    <d v="2022-08-13T00:00:00"/>
    <x v="0"/>
    <x v="3"/>
    <s v="165 Min"/>
    <x v="9"/>
    <n v="5.7"/>
    <n v="14182711"/>
    <n v="3060778"/>
    <n v="97"/>
    <x v="9"/>
    <x v="0"/>
  </r>
  <r>
    <x v="1294"/>
    <s v="Urban Zone 1183"/>
    <x v="0"/>
    <s v="L. Brown"/>
    <x v="11"/>
    <d v="2022-08-14T00:00:00"/>
    <x v="3"/>
    <x v="3"/>
    <s v="73 Min"/>
    <x v="0"/>
    <n v="8.5"/>
    <n v="12260605"/>
    <n v="3924122"/>
    <n v="63"/>
    <x v="6"/>
    <x v="2"/>
  </r>
  <r>
    <x v="1295"/>
    <s v="Broken Files 1153"/>
    <x v="0"/>
    <s v="P. Johnson"/>
    <x v="11"/>
    <d v="2022-08-20T00:00:00"/>
    <x v="17"/>
    <x v="3"/>
    <s v="Unknown"/>
    <x v="9"/>
    <n v="5.3"/>
    <n v="869072"/>
    <n v="3582689"/>
    <n v="61"/>
    <x v="4"/>
    <x v="2"/>
  </r>
  <r>
    <x v="1296"/>
    <s v="Future Files 116"/>
    <x v="1"/>
    <s v="A. Smith"/>
    <x v="12"/>
    <d v="2022-08-28T00:00:00"/>
    <x v="1"/>
    <x v="0"/>
    <s v="7 Seasons"/>
    <x v="7"/>
    <n v="8.6999999999999993"/>
    <n v="15681692"/>
    <n v="2015812"/>
    <n v="62"/>
    <x v="2"/>
    <x v="0"/>
  </r>
  <r>
    <x v="1297"/>
    <s v="Last Valley 134"/>
    <x v="0"/>
    <s v="L. Brown"/>
    <x v="6"/>
    <d v="2022-08-28T00:00:00"/>
    <x v="14"/>
    <x v="7"/>
    <s v="Unknown"/>
    <x v="7"/>
    <n v="6.5"/>
    <n v="11987583"/>
    <n v="4102928"/>
    <n v="78"/>
    <x v="9"/>
    <x v="2"/>
  </r>
  <r>
    <x v="1298"/>
    <s v="Fire Empire 139"/>
    <x v="1"/>
    <s v="Unknown"/>
    <x v="5"/>
    <d v="2022-08-29T00:00:00"/>
    <x v="24"/>
    <x v="7"/>
    <s v="3 Seasons"/>
    <x v="6"/>
    <n v="6.3"/>
    <n v="22550293"/>
    <n v="2712197"/>
    <n v="90"/>
    <x v="8"/>
    <x v="3"/>
  </r>
  <r>
    <x v="1299"/>
    <s v="Crimson Truth 186"/>
    <x v="2"/>
    <s v="K. Tanaka"/>
    <x v="0"/>
    <d v="2022-08-31T00:00:00"/>
    <x v="15"/>
    <x v="8"/>
    <s v="2 Seasons"/>
    <x v="1"/>
    <n v="5.3"/>
    <n v="13889449"/>
    <n v="2423150"/>
    <n v="61"/>
    <x v="1"/>
    <x v="0"/>
  </r>
  <r>
    <x v="1300"/>
    <s v="Fire World 758"/>
    <x v="0"/>
    <s v="P. Johnson"/>
    <x v="12"/>
    <d v="2022-09-01T00:00:00"/>
    <x v="3"/>
    <x v="3"/>
    <s v="174 Min"/>
    <x v="2"/>
    <n v="8.1999999999999993"/>
    <n v="22545004"/>
    <n v="2842260"/>
    <n v="51"/>
    <x v="5"/>
    <x v="1"/>
  </r>
  <r>
    <x v="1301"/>
    <s v="Blue Chronicles 1563"/>
    <x v="0"/>
    <s v="L. Brown"/>
    <x v="3"/>
    <d v="2022-09-04T00:00:00"/>
    <x v="24"/>
    <x v="2"/>
    <s v="79 Min"/>
    <x v="3"/>
    <n v="6.7"/>
    <n v="4788478"/>
    <n v="4475336"/>
    <n v="58"/>
    <x v="3"/>
    <x v="1"/>
  </r>
  <r>
    <x v="1302"/>
    <s v="Fire Legacy 110"/>
    <x v="1"/>
    <s v="P. Johnson"/>
    <x v="7"/>
    <d v="2022-09-13T00:00:00"/>
    <x v="14"/>
    <x v="6"/>
    <s v="7 Seasons"/>
    <x v="10"/>
    <n v="4.9000000000000004"/>
    <n v="5901682"/>
    <n v="928039"/>
    <n v="58"/>
    <x v="9"/>
    <x v="3"/>
  </r>
  <r>
    <x v="1303"/>
    <s v="Wild Files 1674"/>
    <x v="0"/>
    <s v="N. Singh"/>
    <x v="12"/>
    <d v="2022-09-14T00:00:00"/>
    <x v="1"/>
    <x v="9"/>
    <s v="114 Min"/>
    <x v="1"/>
    <n v="8.8000000000000007"/>
    <n v="11693025"/>
    <n v="4539349"/>
    <n v="40"/>
    <x v="2"/>
    <x v="3"/>
  </r>
  <r>
    <x v="1304"/>
    <s v="Ocean Valley 1043"/>
    <x v="1"/>
    <s v="L. Brown"/>
    <x v="11"/>
    <d v="2022-09-15T00:00:00"/>
    <x v="17"/>
    <x v="1"/>
    <s v="6 Seasons"/>
    <x v="8"/>
    <n v="9.6"/>
    <n v="19739690"/>
    <n v="1718990"/>
    <n v="43"/>
    <x v="6"/>
    <x v="3"/>
  </r>
  <r>
    <x v="1305"/>
    <s v="Golden Empire 1084"/>
    <x v="0"/>
    <s v="Unknown"/>
    <x v="1"/>
    <d v="2022-09-17T00:00:00"/>
    <x v="18"/>
    <x v="8"/>
    <s v="117 Min"/>
    <x v="9"/>
    <n v="11.2"/>
    <n v="12805734"/>
    <n v="1385935"/>
    <n v="80"/>
    <x v="2"/>
    <x v="2"/>
  </r>
  <r>
    <x v="1306"/>
    <s v="Blue Mission 1448"/>
    <x v="0"/>
    <s v="K. Tanaka"/>
    <x v="12"/>
    <d v="2022-09-18T00:00:00"/>
    <x v="27"/>
    <x v="3"/>
    <s v="178 Min"/>
    <x v="2"/>
    <n v="8.1999999999999993"/>
    <n v="-528"/>
    <n v="3128107"/>
    <n v="91"/>
    <x v="7"/>
    <x v="3"/>
  </r>
  <r>
    <x v="1307"/>
    <s v="Golden Line 9"/>
    <x v="0"/>
    <s v="S. Patel"/>
    <x v="9"/>
    <d v="2022-09-21T00:00:00"/>
    <x v="14"/>
    <x v="8"/>
    <s v="171 Min"/>
    <x v="10"/>
    <n v="5"/>
    <n v="11342589"/>
    <n v="1715408"/>
    <n v="97"/>
    <x v="0"/>
    <x v="2"/>
  </r>
  <r>
    <x v="1308"/>
    <s v="Crimson Line 490"/>
    <x v="0"/>
    <s v="Unknown"/>
    <x v="9"/>
    <d v="2022-09-21T00:00:00"/>
    <x v="26"/>
    <x v="6"/>
    <s v="116 Min"/>
    <x v="7"/>
    <n v="4.9000000000000004"/>
    <n v="24653950"/>
    <n v="834890"/>
    <n v="44"/>
    <x v="2"/>
    <x v="4"/>
  </r>
  <r>
    <x v="1309"/>
    <s v="Broken World 1036"/>
    <x v="1"/>
    <s v="S. Patel"/>
    <x v="6"/>
    <d v="2022-09-21T00:00:00"/>
    <x v="16"/>
    <x v="4"/>
    <s v="1 Seasons"/>
    <x v="6"/>
    <n v="8.8000000000000007"/>
    <n v="19560631"/>
    <n v="4805860"/>
    <n v="90"/>
    <x v="4"/>
    <x v="3"/>
  </r>
  <r>
    <x v="1310"/>
    <s v="Echo Game 508"/>
    <x v="0"/>
    <s v="R. Kumar"/>
    <x v="11"/>
    <d v="2022-09-23T00:00:00"/>
    <x v="7"/>
    <x v="4"/>
    <s v="125 Min"/>
    <x v="5"/>
    <n v="5.8"/>
    <n v="636155"/>
    <n v="3616678"/>
    <n v="66"/>
    <x v="7"/>
    <x v="4"/>
  </r>
  <r>
    <x v="1311"/>
    <s v="Infinite Game 1137"/>
    <x v="0"/>
    <s v="K. Tanaka"/>
    <x v="7"/>
    <d v="2022-09-23T00:00:00"/>
    <x v="25"/>
    <x v="2"/>
    <s v="74 Min"/>
    <x v="9"/>
    <n v="9.6999999999999993"/>
    <n v="10335568"/>
    <n v="1573252"/>
    <n v="43"/>
    <x v="4"/>
    <x v="1"/>
  </r>
  <r>
    <x v="1312"/>
    <s v="Ocean Valley 658"/>
    <x v="0"/>
    <s v="Unknown"/>
    <x v="8"/>
    <d v="2022-09-25T00:00:00"/>
    <x v="22"/>
    <x v="3"/>
    <s v="168 Min"/>
    <x v="9"/>
    <n v="7.3"/>
    <n v="12370428"/>
    <n v="3468494"/>
    <n v="72"/>
    <x v="3"/>
    <x v="1"/>
  </r>
  <r>
    <x v="1313"/>
    <s v="Echo Files 1772"/>
    <x v="1"/>
    <s v="J. Lee"/>
    <x v="10"/>
    <d v="2022-09-26T00:00:00"/>
    <x v="16"/>
    <x v="8"/>
    <s v="Unknown"/>
    <x v="9"/>
    <n v="4.5999999999999996"/>
    <n v="8806201"/>
    <n v="3737181"/>
    <n v="76"/>
    <x v="5"/>
    <x v="4"/>
  </r>
  <r>
    <x v="1314"/>
    <s v="Future World 1147"/>
    <x v="2"/>
    <s v="J. Lee"/>
    <x v="0"/>
    <d v="2022-09-28T00:00:00"/>
    <x v="12"/>
    <x v="1"/>
    <s v="7 Seasons"/>
    <x v="6"/>
    <n v="7.1"/>
    <n v="9956860"/>
    <n v="3978763"/>
    <n v="96"/>
    <x v="4"/>
    <x v="1"/>
  </r>
  <r>
    <x v="1315"/>
    <s v="Royal Chronicles 1684"/>
    <x v="0"/>
    <s v="Unknown"/>
    <x v="11"/>
    <d v="2022-10-01T00:00:00"/>
    <x v="5"/>
    <x v="1"/>
    <s v="133 Min"/>
    <x v="2"/>
    <n v="9.6"/>
    <n v="8086540"/>
    <n v="1004267"/>
    <n v="98"/>
    <x v="2"/>
    <x v="4"/>
  </r>
  <r>
    <x v="1316"/>
    <s v="Blue Dream 1689"/>
    <x v="0"/>
    <s v="Unknown"/>
    <x v="12"/>
    <d v="2022-10-01T00:00:00"/>
    <x v="15"/>
    <x v="5"/>
    <s v="74 Min"/>
    <x v="4"/>
    <n v="6.6"/>
    <n v="14510250"/>
    <n v="1714877"/>
    <n v="95"/>
    <x v="0"/>
    <x v="3"/>
  </r>
  <r>
    <x v="1317"/>
    <s v="Beyond Legacy 1883"/>
    <x v="1"/>
    <s v="R. Kumar"/>
    <x v="8"/>
    <d v="2022-10-02T00:00:00"/>
    <x v="27"/>
    <x v="2"/>
    <s v="4 Seasons"/>
    <x v="3"/>
    <n v="9"/>
    <n v="4464721"/>
    <n v="1553241"/>
    <n v="120"/>
    <x v="1"/>
    <x v="3"/>
  </r>
  <r>
    <x v="1318"/>
    <s v="Lost Night 511"/>
    <x v="1"/>
    <s v="A. Smith"/>
    <x v="7"/>
    <d v="2022-10-03T00:00:00"/>
    <x v="3"/>
    <x v="9"/>
    <s v="3 Seasons"/>
    <x v="1"/>
    <n v="9.4"/>
    <n v="14651746"/>
    <n v="3539775"/>
    <n v="61"/>
    <x v="1"/>
    <x v="1"/>
  </r>
  <r>
    <x v="1319"/>
    <s v="Broken Chronicles 414"/>
    <x v="0"/>
    <s v="R. Kumar"/>
    <x v="1"/>
    <d v="2022-10-06T00:00:00"/>
    <x v="22"/>
    <x v="3"/>
    <s v="110 Min"/>
    <x v="6"/>
    <n v="5.4"/>
    <n v="7892053"/>
    <n v="4740421"/>
    <n v="50"/>
    <x v="3"/>
    <x v="1"/>
  </r>
  <r>
    <x v="1320"/>
    <s v="Silent Chronicles 1396"/>
    <x v="2"/>
    <s v="J. Lee"/>
    <x v="7"/>
    <d v="2022-10-07T00:00:00"/>
    <x v="3"/>
    <x v="6"/>
    <s v="2 Seasons"/>
    <x v="7"/>
    <n v="7.7"/>
    <n v="17997817"/>
    <n v="4011214"/>
    <n v="87"/>
    <x v="5"/>
    <x v="3"/>
  </r>
  <r>
    <x v="1321"/>
    <s v="Hidden World 1946"/>
    <x v="0"/>
    <s v="P. Johnson"/>
    <x v="9"/>
    <d v="2022-10-08T00:00:00"/>
    <x v="11"/>
    <x v="4"/>
    <s v="165 Min"/>
    <x v="6"/>
    <n v="8.8000000000000007"/>
    <n v="13691438"/>
    <n v="2740766"/>
    <n v="57"/>
    <x v="9"/>
    <x v="2"/>
  </r>
  <r>
    <x v="1322"/>
    <s v="Secret Night 1990"/>
    <x v="0"/>
    <s v="K. Tanaka"/>
    <x v="6"/>
    <d v="2022-10-10T00:00:00"/>
    <x v="24"/>
    <x v="7"/>
    <s v="127 Min"/>
    <x v="6"/>
    <n v="8.1"/>
    <n v="9885035"/>
    <n v="1868502"/>
    <n v="66"/>
    <x v="4"/>
    <x v="1"/>
  </r>
  <r>
    <x v="1323"/>
    <s v="Royal Files 1007"/>
    <x v="1"/>
    <s v="K. Tanaka"/>
    <x v="5"/>
    <d v="2022-10-11T00:00:00"/>
    <x v="22"/>
    <x v="6"/>
    <s v="Unknown"/>
    <x v="8"/>
    <n v="7.4"/>
    <n v="21456590"/>
    <n v="628493"/>
    <n v="44"/>
    <x v="2"/>
    <x v="1"/>
  </r>
  <r>
    <x v="1324"/>
    <s v="Lost Code 399"/>
    <x v="1"/>
    <s v="M. Garcia"/>
    <x v="2"/>
    <d v="2022-10-13T00:00:00"/>
    <x v="20"/>
    <x v="0"/>
    <s v="6 Seasons"/>
    <x v="7"/>
    <n v="5.6"/>
    <n v="4050652"/>
    <n v="2357646"/>
    <n v="71"/>
    <x v="7"/>
    <x v="4"/>
  </r>
  <r>
    <x v="1325"/>
    <s v="Echo Line 477"/>
    <x v="0"/>
    <s v="K. Tanaka"/>
    <x v="5"/>
    <d v="2022-10-13T00:00:00"/>
    <x v="5"/>
    <x v="5"/>
    <s v="153 Min"/>
    <x v="2"/>
    <n v="7.2"/>
    <n v="22941048"/>
    <n v="662911"/>
    <n v="88"/>
    <x v="6"/>
    <x v="2"/>
  </r>
  <r>
    <x v="1326"/>
    <s v="Silent Line 123"/>
    <x v="1"/>
    <s v="M. Garcia"/>
    <x v="10"/>
    <d v="2022-10-15T00:00:00"/>
    <x v="25"/>
    <x v="7"/>
    <s v="5 Seasons"/>
    <x v="1"/>
    <n v="7.1"/>
    <n v="23686715"/>
    <n v="2028623"/>
    <n v="120"/>
    <x v="8"/>
    <x v="1"/>
  </r>
  <r>
    <x v="1327"/>
    <s v="Beyond Empire 1657"/>
    <x v="1"/>
    <s v="P. Johnson"/>
    <x v="0"/>
    <d v="2022-10-16T00:00:00"/>
    <x v="23"/>
    <x v="3"/>
    <s v="6 Seasons"/>
    <x v="7"/>
    <n v="6.1"/>
    <n v="9808730"/>
    <n v="3218767"/>
    <n v="42"/>
    <x v="9"/>
    <x v="3"/>
  </r>
  <r>
    <x v="1328"/>
    <s v="Urban Edge 318"/>
    <x v="1"/>
    <s v="J. Lee"/>
    <x v="7"/>
    <d v="2022-10-18T00:00:00"/>
    <x v="8"/>
    <x v="3"/>
    <s v="3 Seasons"/>
    <x v="0"/>
    <n v="7.5"/>
    <n v="12176885"/>
    <n v="2295036"/>
    <n v="80"/>
    <x v="1"/>
    <x v="3"/>
  </r>
  <r>
    <x v="1329"/>
    <s v="Blue Chronicles 1505"/>
    <x v="1"/>
    <s v="P. Johnson"/>
    <x v="5"/>
    <d v="2022-10-18T00:00:00"/>
    <x v="16"/>
    <x v="9"/>
    <s v="3 Seasons"/>
    <x v="3"/>
    <n v="8.6999999999999993"/>
    <n v="10159826"/>
    <n v="1390132"/>
    <n v="81"/>
    <x v="8"/>
    <x v="2"/>
  </r>
  <r>
    <x v="1330"/>
    <s v="Blue Journey 155"/>
    <x v="1"/>
    <s v="S. Patel"/>
    <x v="7"/>
    <d v="2022-10-19T00:00:00"/>
    <x v="15"/>
    <x v="3"/>
    <s v="5 Seasons"/>
    <x v="1"/>
    <n v="8.5"/>
    <n v="6883338"/>
    <n v="4425774"/>
    <n v="63"/>
    <x v="2"/>
    <x v="1"/>
  </r>
  <r>
    <x v="1331"/>
    <s v="Infinite Zone 1973"/>
    <x v="1"/>
    <s v="J. Lee"/>
    <x v="12"/>
    <d v="2022-10-27T00:00:00"/>
    <x v="26"/>
    <x v="8"/>
    <s v="6 Seasons"/>
    <x v="9"/>
    <n v="6.5"/>
    <n v="2095405"/>
    <n v="4364478"/>
    <n v="43"/>
    <x v="5"/>
    <x v="1"/>
  </r>
  <r>
    <x v="1332"/>
    <s v="Future Chronicles 352"/>
    <x v="0"/>
    <s v="L. Brown"/>
    <x v="10"/>
    <d v="2022-11-01T00:00:00"/>
    <x v="18"/>
    <x v="6"/>
    <s v="84 Min"/>
    <x v="10"/>
    <n v="8.3000000000000007"/>
    <n v="4780753"/>
    <n v="1476042"/>
    <n v="41"/>
    <x v="0"/>
    <x v="2"/>
  </r>
  <r>
    <x v="1333"/>
    <s v="Echo Line 488"/>
    <x v="1"/>
    <s v="A. Smith"/>
    <x v="3"/>
    <d v="2022-11-02T00:00:00"/>
    <x v="6"/>
    <x v="3"/>
    <s v="6 Seasons"/>
    <x v="9"/>
    <n v="6.1"/>
    <n v="22549545"/>
    <n v="3915701"/>
    <n v="69"/>
    <x v="1"/>
    <x v="4"/>
  </r>
  <r>
    <x v="1334"/>
    <s v="Beyond Empire 1420"/>
    <x v="0"/>
    <s v="Unknown"/>
    <x v="5"/>
    <d v="2022-11-04T00:00:00"/>
    <x v="20"/>
    <x v="4"/>
    <s v="141 Min"/>
    <x v="6"/>
    <n v="7.2"/>
    <n v="16370735"/>
    <n v="230901"/>
    <n v="68"/>
    <x v="4"/>
    <x v="1"/>
  </r>
  <r>
    <x v="1335"/>
    <s v="Ocean Empire 910"/>
    <x v="2"/>
    <s v="L. Brown"/>
    <x v="10"/>
    <d v="2022-11-07T00:00:00"/>
    <x v="6"/>
    <x v="7"/>
    <s v="2 Seasons"/>
    <x v="9"/>
    <n v="8.8000000000000007"/>
    <n v="6592081"/>
    <n v="3622052"/>
    <n v="75"/>
    <x v="2"/>
    <x v="1"/>
  </r>
  <r>
    <x v="1336"/>
    <s v="Infinite Game 1250"/>
    <x v="0"/>
    <s v="M. Garcia"/>
    <x v="5"/>
    <d v="2022-11-20T00:00:00"/>
    <x v="25"/>
    <x v="1"/>
    <s v="74 Min"/>
    <x v="3"/>
    <n v="5.5"/>
    <n v="24642150"/>
    <n v="4950440"/>
    <n v="81"/>
    <x v="6"/>
    <x v="3"/>
  </r>
  <r>
    <x v="1337"/>
    <s v="Secret Edge 1928"/>
    <x v="1"/>
    <s v="A. Smith"/>
    <x v="0"/>
    <d v="2022-11-21T00:00:00"/>
    <x v="2"/>
    <x v="2"/>
    <s v="6 Seasons"/>
    <x v="9"/>
    <n v="5.4"/>
    <n v="22156051"/>
    <n v="1447536"/>
    <n v="86"/>
    <x v="7"/>
    <x v="1"/>
  </r>
  <r>
    <x v="1338"/>
    <s v="Urban Code 72"/>
    <x v="0"/>
    <s v="R. Kumar"/>
    <x v="0"/>
    <d v="2022-11-24T00:00:00"/>
    <x v="22"/>
    <x v="4"/>
    <s v="71 Min"/>
    <x v="8"/>
    <n v="7.3"/>
    <n v="13162087"/>
    <n v="3877514"/>
    <n v="48"/>
    <x v="1"/>
    <x v="1"/>
  </r>
  <r>
    <x v="1339"/>
    <s v="Secret Quest 571"/>
    <x v="0"/>
    <s v="D. Kim"/>
    <x v="11"/>
    <d v="2022-12-03T00:00:00"/>
    <x v="9"/>
    <x v="0"/>
    <s v="178 Min"/>
    <x v="2"/>
    <n v="9.6999999999999993"/>
    <n v="12821897"/>
    <n v="3811250"/>
    <n v="51"/>
    <x v="2"/>
    <x v="2"/>
  </r>
  <r>
    <x v="1340"/>
    <s v="Broken World 1201"/>
    <x v="1"/>
    <s v="P. Johnson"/>
    <x v="5"/>
    <d v="2022-12-04T00:00:00"/>
    <x v="11"/>
    <x v="9"/>
    <s v="4 Seasons"/>
    <x v="9"/>
    <n v="4.8"/>
    <n v="17935598"/>
    <n v="2908646"/>
    <n v="56"/>
    <x v="1"/>
    <x v="0"/>
  </r>
  <r>
    <x v="1341"/>
    <s v="Lost Empire 265"/>
    <x v="2"/>
    <s v="A. Smith"/>
    <x v="6"/>
    <d v="2022-12-06T00:00:00"/>
    <x v="0"/>
    <x v="3"/>
    <s v="4 Seasons"/>
    <x v="2"/>
    <n v="9.1"/>
    <n v="21622497"/>
    <n v="4747707"/>
    <n v="59"/>
    <x v="5"/>
    <x v="1"/>
  </r>
  <r>
    <x v="1342"/>
    <s v="Wild Empire 984"/>
    <x v="1"/>
    <s v="Unknown"/>
    <x v="7"/>
    <d v="2022-12-06T00:00:00"/>
    <x v="22"/>
    <x v="3"/>
    <s v="1 Seasons"/>
    <x v="4"/>
    <n v="6.8"/>
    <n v="12357852"/>
    <n v="3910339"/>
    <n v="96"/>
    <x v="8"/>
    <x v="0"/>
  </r>
  <r>
    <x v="1343"/>
    <s v="Future Truth 629"/>
    <x v="2"/>
    <s v="D. Kim"/>
    <x v="2"/>
    <d v="2022-12-17T00:00:00"/>
    <x v="7"/>
    <x v="9"/>
    <s v="3 Seasons"/>
    <x v="10"/>
    <n v="8.6"/>
    <n v="7855603"/>
    <n v="3296623"/>
    <n v="79"/>
    <x v="5"/>
    <x v="2"/>
  </r>
  <r>
    <x v="1344"/>
    <s v="Beyond Chronicles 1402"/>
    <x v="0"/>
    <s v="A. Smith"/>
    <x v="10"/>
    <d v="2022-12-25T00:00:00"/>
    <x v="16"/>
    <x v="1"/>
    <s v="142 Min"/>
    <x v="9"/>
    <n v="4.8"/>
    <n v="8607467"/>
    <n v="2430701"/>
    <n v="100"/>
    <x v="4"/>
    <x v="2"/>
  </r>
  <r>
    <x v="1345"/>
    <s v="Fire Journey 1948"/>
    <x v="1"/>
    <s v="R. Kumar"/>
    <x v="7"/>
    <d v="2022-12-27T00:00:00"/>
    <x v="18"/>
    <x v="4"/>
    <s v="1 Seasons"/>
    <x v="10"/>
    <n v="4.5999999999999996"/>
    <n v="2482221"/>
    <n v="3878236"/>
    <n v="84"/>
    <x v="7"/>
    <x v="3"/>
  </r>
  <r>
    <x v="1346"/>
    <s v="Fire Quest 422"/>
    <x v="0"/>
    <s v="L. Brown"/>
    <x v="7"/>
    <d v="2022-12-29T00:00:00"/>
    <x v="13"/>
    <x v="6"/>
    <s v="146 Min"/>
    <x v="7"/>
    <n v="9.6"/>
    <n v="4417462"/>
    <n v="4513301"/>
    <n v="83"/>
    <x v="8"/>
    <x v="4"/>
  </r>
  <r>
    <x v="1347"/>
    <s v="Fire Zone 234"/>
    <x v="1"/>
    <s v="J. Lee"/>
    <x v="1"/>
    <d v="2022-12-31T00:00:00"/>
    <x v="11"/>
    <x v="3"/>
    <s v="2 Seasons"/>
    <x v="4"/>
    <n v="9.5"/>
    <n v="5302909"/>
    <n v="3193634"/>
    <n v="44"/>
    <x v="7"/>
    <x v="1"/>
  </r>
  <r>
    <x v="1348"/>
    <s v="Hidden Empire 1568"/>
    <x v="0"/>
    <s v="M. Garcia"/>
    <x v="8"/>
    <d v="2023-01-01T00:00:00"/>
    <x v="7"/>
    <x v="2"/>
    <s v="76 Min"/>
    <x v="8"/>
    <n v="6.5"/>
    <n v="12626656"/>
    <n v="154325"/>
    <n v="82"/>
    <x v="6"/>
    <x v="0"/>
  </r>
  <r>
    <x v="1349"/>
    <s v="Ocean Edge 1641"/>
    <x v="1"/>
    <s v="P. Johnson"/>
    <x v="6"/>
    <d v="2023-01-05T00:00:00"/>
    <x v="8"/>
    <x v="1"/>
    <s v="3 Seasons"/>
    <x v="0"/>
    <n v="5.4"/>
    <n v="6146935"/>
    <n v="204900"/>
    <n v="71"/>
    <x v="5"/>
    <x v="1"/>
  </r>
  <r>
    <x v="1350"/>
    <s v="Ocean Dream 1035"/>
    <x v="0"/>
    <s v="L. Brown"/>
    <x v="0"/>
    <d v="2023-01-12T00:00:00"/>
    <x v="25"/>
    <x v="2"/>
    <s v="135 Min"/>
    <x v="4"/>
    <n v="8.4"/>
    <n v="15580437"/>
    <n v="4837025"/>
    <n v="77"/>
    <x v="8"/>
    <x v="3"/>
  </r>
  <r>
    <x v="1351"/>
    <s v="Echo Signal 885"/>
    <x v="0"/>
    <s v="P. Johnson"/>
    <x v="7"/>
    <d v="2023-01-13T00:00:00"/>
    <x v="9"/>
    <x v="3"/>
    <s v="118 Min"/>
    <x v="2"/>
    <n v="7.8"/>
    <n v="11916261"/>
    <n v="687924"/>
    <n v="85"/>
    <x v="0"/>
    <x v="3"/>
  </r>
  <r>
    <x v="1352"/>
    <s v="Royal Mission 115"/>
    <x v="0"/>
    <s v="M. Garcia"/>
    <x v="5"/>
    <d v="2023-01-14T00:00:00"/>
    <x v="5"/>
    <x v="2"/>
    <s v="171 Min"/>
    <x v="10"/>
    <n v="7.3"/>
    <n v="13539015"/>
    <n v="550008"/>
    <n v="67"/>
    <x v="9"/>
    <x v="3"/>
  </r>
  <r>
    <x v="1353"/>
    <s v="Last Chronicles 1673"/>
    <x v="0"/>
    <s v="D. Kim"/>
    <x v="7"/>
    <d v="2023-01-18T00:00:00"/>
    <x v="3"/>
    <x v="4"/>
    <s v="146 Min"/>
    <x v="7"/>
    <n v="9.1999999999999993"/>
    <n v="20800360"/>
    <n v="4715514"/>
    <n v="64"/>
    <x v="7"/>
    <x v="4"/>
  </r>
  <r>
    <x v="1354"/>
    <s v="Future Dream 1981"/>
    <x v="0"/>
    <s v="Unknown"/>
    <x v="4"/>
    <d v="2023-01-18T00:00:00"/>
    <x v="25"/>
    <x v="9"/>
    <s v="93 Min"/>
    <x v="3"/>
    <n v="8.9"/>
    <n v="19201464"/>
    <n v="1427581"/>
    <n v="58"/>
    <x v="7"/>
    <x v="0"/>
  </r>
  <r>
    <x v="1355"/>
    <s v="Ocean Code 1855"/>
    <x v="0"/>
    <s v="Unknown"/>
    <x v="4"/>
    <d v="2023-01-19T00:00:00"/>
    <x v="15"/>
    <x v="2"/>
    <s v="163 Min"/>
    <x v="3"/>
    <n v="9.1"/>
    <n v="10767451"/>
    <n v="2562487"/>
    <n v="41"/>
    <x v="6"/>
    <x v="3"/>
  </r>
  <r>
    <x v="1356"/>
    <s v="Royal Legacy 170"/>
    <x v="0"/>
    <s v="Unknown"/>
    <x v="4"/>
    <d v="2023-01-23T00:00:00"/>
    <x v="13"/>
    <x v="8"/>
    <s v="Unknown"/>
    <x v="3"/>
    <n v="7"/>
    <n v="3164559"/>
    <n v="894684"/>
    <n v="47"/>
    <x v="3"/>
    <x v="0"/>
  </r>
  <r>
    <x v="1357"/>
    <s v="Secret Rise 457"/>
    <x v="1"/>
    <s v="R. Kumar"/>
    <x v="0"/>
    <d v="2023-01-28T00:00:00"/>
    <x v="27"/>
    <x v="0"/>
    <s v="4 Seasons"/>
    <x v="2"/>
    <n v="6.6"/>
    <n v="-540"/>
    <n v="2601980"/>
    <n v="40"/>
    <x v="3"/>
    <x v="2"/>
  </r>
  <r>
    <x v="1358"/>
    <s v="Wild Files 1529"/>
    <x v="0"/>
    <s v="J. Lee"/>
    <x v="9"/>
    <d v="2023-01-28T00:00:00"/>
    <x v="22"/>
    <x v="4"/>
    <s v="98 Min"/>
    <x v="5"/>
    <n v="7.1"/>
    <n v="4460414"/>
    <n v="4288093"/>
    <n v="87"/>
    <x v="6"/>
    <x v="4"/>
  </r>
  <r>
    <x v="1359"/>
    <s v="Crimson Chronicles 423"/>
    <x v="0"/>
    <s v="A. Smith"/>
    <x v="11"/>
    <d v="2023-01-30T00:00:00"/>
    <x v="23"/>
    <x v="9"/>
    <s v="178 Min"/>
    <x v="7"/>
    <n v="4.9000000000000004"/>
    <n v="16868045"/>
    <n v="129279"/>
    <n v="93"/>
    <x v="8"/>
    <x v="3"/>
  </r>
  <r>
    <x v="1360"/>
    <s v="Dark Story 1392"/>
    <x v="2"/>
    <s v="D. Kim"/>
    <x v="7"/>
    <d v="2023-02-08T00:00:00"/>
    <x v="13"/>
    <x v="8"/>
    <s v="6 Seasons"/>
    <x v="1"/>
    <n v="5.5"/>
    <n v="3921315"/>
    <n v="4822812"/>
    <n v="120"/>
    <x v="0"/>
    <x v="3"/>
  </r>
  <r>
    <x v="1361"/>
    <s v="Fire Night 333"/>
    <x v="1"/>
    <s v="R. Kumar"/>
    <x v="0"/>
    <d v="2023-02-11T00:00:00"/>
    <x v="8"/>
    <x v="5"/>
    <s v="7 Seasons"/>
    <x v="7"/>
    <n v="5"/>
    <n v="-739"/>
    <n v="957771"/>
    <n v="68"/>
    <x v="3"/>
    <x v="3"/>
  </r>
  <r>
    <x v="1362"/>
    <s v="Blue Empire 415"/>
    <x v="0"/>
    <s v="L. Brown"/>
    <x v="5"/>
    <d v="2023-02-13T00:00:00"/>
    <x v="0"/>
    <x v="9"/>
    <s v="73 Min"/>
    <x v="4"/>
    <n v="9.5"/>
    <n v="19612166"/>
    <n v="2198262"/>
    <n v="59"/>
    <x v="6"/>
    <x v="1"/>
  </r>
  <r>
    <x v="1363"/>
    <s v="Urban Signal 1617"/>
    <x v="0"/>
    <s v="L. Brown"/>
    <x v="12"/>
    <d v="2023-02-15T00:00:00"/>
    <x v="27"/>
    <x v="7"/>
    <s v="71 Min"/>
    <x v="0"/>
    <n v="5.5"/>
    <n v="15822228"/>
    <n v="1586387"/>
    <n v="99"/>
    <x v="5"/>
    <x v="0"/>
  </r>
  <r>
    <x v="1364"/>
    <s v="Lost Game 1440"/>
    <x v="0"/>
    <s v="J. Lee"/>
    <x v="5"/>
    <d v="2023-02-16T00:00:00"/>
    <x v="5"/>
    <x v="8"/>
    <s v="175 Min"/>
    <x v="0"/>
    <n v="4.8"/>
    <n v="5371262"/>
    <n v="2259688"/>
    <n v="62"/>
    <x v="8"/>
    <x v="4"/>
  </r>
  <r>
    <x v="1365"/>
    <s v="Hidden Valley 1513"/>
    <x v="0"/>
    <s v="P. Johnson"/>
    <x v="2"/>
    <d v="2023-02-17T00:00:00"/>
    <x v="18"/>
    <x v="3"/>
    <s v="84 Min"/>
    <x v="6"/>
    <n v="7.2"/>
    <n v="9347180"/>
    <n v="1208198"/>
    <n v="52"/>
    <x v="6"/>
    <x v="2"/>
  </r>
  <r>
    <x v="1366"/>
    <s v="Lost Truth 152"/>
    <x v="0"/>
    <s v="D. Kim"/>
    <x v="10"/>
    <d v="2023-02-18T00:00:00"/>
    <x v="6"/>
    <x v="1"/>
    <s v="95 Min"/>
    <x v="6"/>
    <n v="6.3"/>
    <n v="24094021"/>
    <n v="2254102"/>
    <n v="60"/>
    <x v="5"/>
    <x v="0"/>
  </r>
  <r>
    <x v="1367"/>
    <s v="Beyond Dream 677"/>
    <x v="1"/>
    <s v="K. Tanaka"/>
    <x v="5"/>
    <d v="2023-02-24T00:00:00"/>
    <x v="27"/>
    <x v="9"/>
    <s v="5 Seasons"/>
    <x v="5"/>
    <n v="9.1999999999999993"/>
    <n v="15956277"/>
    <n v="1771008"/>
    <n v="83"/>
    <x v="4"/>
    <x v="0"/>
  </r>
  <r>
    <x v="1368"/>
    <s v="Future Chronicles 1108"/>
    <x v="0"/>
    <s v="Unknown"/>
    <x v="4"/>
    <d v="2023-02-24T00:00:00"/>
    <x v="7"/>
    <x v="9"/>
    <s v="175 Min"/>
    <x v="3"/>
    <n v="5.9"/>
    <n v="8521162"/>
    <n v="2289875"/>
    <n v="46"/>
    <x v="5"/>
    <x v="0"/>
  </r>
  <r>
    <x v="1369"/>
    <s v="Golden Mission 1265"/>
    <x v="2"/>
    <s v="P. Johnson"/>
    <x v="3"/>
    <d v="2023-02-28T00:00:00"/>
    <x v="11"/>
    <x v="7"/>
    <s v="7 Seasons"/>
    <x v="4"/>
    <n v="5.4"/>
    <n v="22763314"/>
    <n v="1440461"/>
    <n v="45"/>
    <x v="6"/>
    <x v="2"/>
  </r>
  <r>
    <x v="1370"/>
    <s v="Crimson Night 40"/>
    <x v="1"/>
    <s v="D. Kim"/>
    <x v="9"/>
    <d v="2023-03-03T00:00:00"/>
    <x v="15"/>
    <x v="1"/>
    <s v="6 Seasons"/>
    <x v="4"/>
    <n v="8.6"/>
    <n v="1179519"/>
    <n v="3893738"/>
    <n v="98"/>
    <x v="6"/>
    <x v="4"/>
  </r>
  <r>
    <x v="1371"/>
    <s v="Future Signal 1803"/>
    <x v="1"/>
    <s v="Unknown"/>
    <x v="12"/>
    <d v="2023-03-03T00:00:00"/>
    <x v="7"/>
    <x v="4"/>
    <s v="7 Seasons"/>
    <x v="2"/>
    <n v="7.9"/>
    <n v="14226372"/>
    <n v="1602714"/>
    <n v="52"/>
    <x v="5"/>
    <x v="4"/>
  </r>
  <r>
    <x v="1372"/>
    <s v="Future Mission 1574"/>
    <x v="0"/>
    <s v="M. Garcia"/>
    <x v="9"/>
    <d v="2023-03-05T00:00:00"/>
    <x v="19"/>
    <x v="2"/>
    <s v="150 Min"/>
    <x v="3"/>
    <n v="8.6"/>
    <n v="9536793"/>
    <n v="1505218"/>
    <n v="50"/>
    <x v="4"/>
    <x v="4"/>
  </r>
  <r>
    <x v="1373"/>
    <s v="Last Night 47"/>
    <x v="1"/>
    <s v="R. Kumar"/>
    <x v="7"/>
    <d v="2023-03-07T00:00:00"/>
    <x v="3"/>
    <x v="0"/>
    <s v="Unknown"/>
    <x v="6"/>
    <n v="8.8000000000000007"/>
    <n v="19232143"/>
    <n v="3111861"/>
    <n v="50"/>
    <x v="3"/>
    <x v="4"/>
  </r>
  <r>
    <x v="1374"/>
    <s v="Blue Dream 323"/>
    <x v="0"/>
    <s v="D. Kim"/>
    <x v="12"/>
    <d v="2023-03-12T00:00:00"/>
    <x v="20"/>
    <x v="8"/>
    <s v="71 Min"/>
    <x v="1"/>
    <n v="5"/>
    <n v="16747599"/>
    <n v="2559749"/>
    <n v="73"/>
    <x v="6"/>
    <x v="4"/>
  </r>
  <r>
    <x v="1375"/>
    <s v="Royal Rise 990"/>
    <x v="0"/>
    <s v="D. Kim"/>
    <x v="12"/>
    <d v="2023-03-13T00:00:00"/>
    <x v="15"/>
    <x v="4"/>
    <s v="180 Min"/>
    <x v="8"/>
    <n v="6.2"/>
    <n v="21266263"/>
    <n v="692622"/>
    <n v="45"/>
    <x v="7"/>
    <x v="4"/>
  </r>
  <r>
    <x v="1376"/>
    <s v="Wild Dream 93"/>
    <x v="0"/>
    <s v="M. Garcia"/>
    <x v="9"/>
    <d v="2023-03-18T00:00:00"/>
    <x v="1"/>
    <x v="1"/>
    <s v="111 Min"/>
    <x v="5"/>
    <n v="5.3"/>
    <n v="8948792"/>
    <n v="3509644"/>
    <n v="49"/>
    <x v="6"/>
    <x v="4"/>
  </r>
  <r>
    <x v="1377"/>
    <s v="Blue Zone 1143"/>
    <x v="0"/>
    <s v="L. Brown"/>
    <x v="6"/>
    <d v="2023-03-22T00:00:00"/>
    <x v="16"/>
    <x v="4"/>
    <s v="167 Min"/>
    <x v="1"/>
    <n v="6.5"/>
    <n v="9026437"/>
    <n v="4394167"/>
    <n v="71"/>
    <x v="6"/>
    <x v="2"/>
  </r>
  <r>
    <x v="1378"/>
    <s v="Golden Line 9"/>
    <x v="0"/>
    <s v="R. Kumar"/>
    <x v="2"/>
    <d v="2023-03-24T00:00:00"/>
    <x v="20"/>
    <x v="4"/>
    <s v="152 Min"/>
    <x v="0"/>
    <n v="7.9"/>
    <n v="6558014"/>
    <n v="2009129"/>
    <n v="87"/>
    <x v="2"/>
    <x v="1"/>
  </r>
  <r>
    <x v="1379"/>
    <s v="Dark Code 552"/>
    <x v="1"/>
    <s v="N. Singh"/>
    <x v="6"/>
    <d v="2023-03-28T00:00:00"/>
    <x v="27"/>
    <x v="7"/>
    <s v="8 Seasons"/>
    <x v="2"/>
    <n v="9.6999999999999993"/>
    <n v="17216173"/>
    <n v="4323371"/>
    <n v="58"/>
    <x v="8"/>
    <x v="3"/>
  </r>
  <r>
    <x v="1380"/>
    <s v="Lost Line 808"/>
    <x v="0"/>
    <s v="Unknown"/>
    <x v="0"/>
    <d v="2023-03-29T00:00:00"/>
    <x v="19"/>
    <x v="3"/>
    <s v="175 Min"/>
    <x v="2"/>
    <n v="8"/>
    <n v="907998"/>
    <n v="2523079"/>
    <n v="94"/>
    <x v="3"/>
    <x v="2"/>
  </r>
  <r>
    <x v="1381"/>
    <s v="Crimson Rise 1385"/>
    <x v="2"/>
    <s v="P. Johnson"/>
    <x v="7"/>
    <d v="2023-03-30T00:00:00"/>
    <x v="8"/>
    <x v="9"/>
    <s v="1 Seasons"/>
    <x v="6"/>
    <n v="7.3"/>
    <n v="12882960"/>
    <n v="2136491"/>
    <n v="72"/>
    <x v="5"/>
    <x v="2"/>
  </r>
  <r>
    <x v="1382"/>
    <s v="Infinite Code 1222"/>
    <x v="0"/>
    <s v="P. Johnson"/>
    <x v="11"/>
    <d v="2023-04-02T00:00:00"/>
    <x v="21"/>
    <x v="0"/>
    <s v="142 Min"/>
    <x v="4"/>
    <n v="5.6"/>
    <n v="2528775"/>
    <n v="1171825"/>
    <n v="91"/>
    <x v="9"/>
    <x v="2"/>
  </r>
  <r>
    <x v="1383"/>
    <s v="Secret Journey 1943"/>
    <x v="0"/>
    <s v="P. Johnson"/>
    <x v="7"/>
    <d v="2023-04-02T00:00:00"/>
    <x v="4"/>
    <x v="6"/>
    <s v="118 Min"/>
    <x v="2"/>
    <n v="7.2"/>
    <n v="18681263"/>
    <n v="1623598"/>
    <n v="79"/>
    <x v="6"/>
    <x v="0"/>
  </r>
  <r>
    <x v="1384"/>
    <s v="Wild Story 831"/>
    <x v="0"/>
    <s v="M. Garcia"/>
    <x v="7"/>
    <d v="2023-04-03T00:00:00"/>
    <x v="20"/>
    <x v="4"/>
    <s v="77 Min"/>
    <x v="10"/>
    <n v="9.4"/>
    <n v="21830463"/>
    <n v="2597367"/>
    <n v="99"/>
    <x v="5"/>
    <x v="3"/>
  </r>
  <r>
    <x v="1385"/>
    <s v="Secret Dream 1809"/>
    <x v="0"/>
    <s v="J. Lee"/>
    <x v="6"/>
    <d v="2023-04-04T00:00:00"/>
    <x v="7"/>
    <x v="9"/>
    <s v="137 Min"/>
    <x v="8"/>
    <n v="9.1"/>
    <n v="7017132"/>
    <n v="637108"/>
    <n v="54"/>
    <x v="0"/>
    <x v="2"/>
  </r>
  <r>
    <x v="1386"/>
    <s v="Silent Rise 1098"/>
    <x v="1"/>
    <s v="R. Kumar"/>
    <x v="9"/>
    <d v="2023-04-11T00:00:00"/>
    <x v="15"/>
    <x v="1"/>
    <s v="6 Seasons"/>
    <x v="1"/>
    <n v="5.4"/>
    <n v="16352140"/>
    <n v="142394"/>
    <n v="64"/>
    <x v="1"/>
    <x v="1"/>
  </r>
  <r>
    <x v="1387"/>
    <s v="Crimson Zone 1724"/>
    <x v="1"/>
    <s v="N. Singh"/>
    <x v="0"/>
    <d v="2023-04-11T00:00:00"/>
    <x v="21"/>
    <x v="7"/>
    <s v="8 Seasons"/>
    <x v="6"/>
    <n v="4.5999999999999996"/>
    <n v="266813"/>
    <n v="209010"/>
    <n v="90"/>
    <x v="7"/>
    <x v="4"/>
  </r>
  <r>
    <x v="1388"/>
    <s v="Royal Edge 1893"/>
    <x v="1"/>
    <s v="Unknown"/>
    <x v="10"/>
    <d v="2023-04-13T00:00:00"/>
    <x v="13"/>
    <x v="8"/>
    <s v="4 Seasons"/>
    <x v="2"/>
    <n v="8.3000000000000007"/>
    <n v="7670260"/>
    <n v="2857138"/>
    <n v="60"/>
    <x v="6"/>
    <x v="1"/>
  </r>
  <r>
    <x v="1389"/>
    <s v="Last Code 1230"/>
    <x v="0"/>
    <s v="Unknown"/>
    <x v="8"/>
    <d v="2023-04-17T00:00:00"/>
    <x v="15"/>
    <x v="1"/>
    <s v="92 Min"/>
    <x v="3"/>
    <n v="5.9"/>
    <n v="11663416"/>
    <n v="60505"/>
    <n v="89"/>
    <x v="5"/>
    <x v="1"/>
  </r>
  <r>
    <x v="1390"/>
    <s v="Broken Code 396"/>
    <x v="0"/>
    <s v="J. Lee"/>
    <x v="7"/>
    <d v="2023-04-18T00:00:00"/>
    <x v="11"/>
    <x v="0"/>
    <s v="90 Min"/>
    <x v="2"/>
    <n v="7"/>
    <n v="21118060"/>
    <n v="4679602"/>
    <n v="61"/>
    <x v="1"/>
    <x v="4"/>
  </r>
  <r>
    <x v="1391"/>
    <s v="Urban Code 1442"/>
    <x v="1"/>
    <s v="N. Singh"/>
    <x v="5"/>
    <d v="2023-04-19T00:00:00"/>
    <x v="21"/>
    <x v="5"/>
    <s v="2 Seasons"/>
    <x v="7"/>
    <n v="5.9"/>
    <n v="13671864"/>
    <n v="2905516"/>
    <n v="81"/>
    <x v="9"/>
    <x v="1"/>
  </r>
  <r>
    <x v="1392"/>
    <s v="Silent World 1450"/>
    <x v="1"/>
    <s v="N. Singh"/>
    <x v="3"/>
    <d v="2023-04-21T00:00:00"/>
    <x v="0"/>
    <x v="7"/>
    <s v="4 Seasons"/>
    <x v="0"/>
    <n v="8.9"/>
    <n v="11035151"/>
    <n v="3905477"/>
    <n v="79"/>
    <x v="5"/>
    <x v="2"/>
  </r>
  <r>
    <x v="1393"/>
    <s v="Silent Line 358"/>
    <x v="1"/>
    <s v="R. Kumar"/>
    <x v="5"/>
    <d v="2023-04-23T00:00:00"/>
    <x v="13"/>
    <x v="3"/>
    <s v="8 Seasons"/>
    <x v="8"/>
    <n v="7"/>
    <n v="20457451"/>
    <n v="3552081"/>
    <n v="99"/>
    <x v="8"/>
    <x v="4"/>
  </r>
  <r>
    <x v="1394"/>
    <s v="Dark Line 607"/>
    <x v="1"/>
    <s v="L. Brown"/>
    <x v="12"/>
    <d v="2023-04-24T00:00:00"/>
    <x v="2"/>
    <x v="3"/>
    <s v="8 Seasons"/>
    <x v="3"/>
    <n v="5.0999999999999996"/>
    <n v="17719041"/>
    <n v="2382412"/>
    <n v="83"/>
    <x v="8"/>
    <x v="2"/>
  </r>
  <r>
    <x v="1395"/>
    <s v="Golden Rise 724"/>
    <x v="2"/>
    <s v="K. Tanaka"/>
    <x v="7"/>
    <d v="2023-04-28T00:00:00"/>
    <x v="11"/>
    <x v="4"/>
    <s v="4 Seasons"/>
    <x v="6"/>
    <n v="7.9"/>
    <n v="2552900"/>
    <n v="3114230"/>
    <n v="46"/>
    <x v="1"/>
    <x v="2"/>
  </r>
  <r>
    <x v="1396"/>
    <s v="Echo Quest 55"/>
    <x v="0"/>
    <s v="D. Kim"/>
    <x v="4"/>
    <d v="2023-05-02T00:00:00"/>
    <x v="20"/>
    <x v="3"/>
    <s v="102 Min"/>
    <x v="10"/>
    <n v="6.8"/>
    <n v="24960898"/>
    <n v="406098"/>
    <n v="73"/>
    <x v="4"/>
    <x v="4"/>
  </r>
  <r>
    <x v="1397"/>
    <s v="Silent Rise 1225"/>
    <x v="0"/>
    <s v="L. Brown"/>
    <x v="4"/>
    <d v="2023-05-02T00:00:00"/>
    <x v="8"/>
    <x v="8"/>
    <s v="145 Min"/>
    <x v="1"/>
    <n v="8.6999999999999993"/>
    <n v="17984171"/>
    <n v="4226713"/>
    <n v="89"/>
    <x v="8"/>
    <x v="3"/>
  </r>
  <r>
    <x v="1398"/>
    <s v="Blue Files 319"/>
    <x v="0"/>
    <s v="P. Johnson"/>
    <x v="2"/>
    <d v="2023-05-04T00:00:00"/>
    <x v="1"/>
    <x v="3"/>
    <s v="71 Min"/>
    <x v="7"/>
    <n v="7.9"/>
    <n v="16037755"/>
    <n v="4807907"/>
    <n v="84"/>
    <x v="7"/>
    <x v="2"/>
  </r>
  <r>
    <x v="1399"/>
    <s v="Blue Truth 776"/>
    <x v="2"/>
    <s v="S. Patel"/>
    <x v="1"/>
    <d v="2023-05-05T00:00:00"/>
    <x v="12"/>
    <x v="6"/>
    <s v="2 Seasons"/>
    <x v="9"/>
    <n v="7.5"/>
    <n v="15576636"/>
    <n v="3605169"/>
    <n v="66"/>
    <x v="0"/>
    <x v="3"/>
  </r>
  <r>
    <x v="1400"/>
    <s v="Royal Valley 159"/>
    <x v="1"/>
    <s v="N. Singh"/>
    <x v="11"/>
    <d v="2023-05-09T00:00:00"/>
    <x v="25"/>
    <x v="8"/>
    <s v="3 Seasons"/>
    <x v="2"/>
    <n v="6.5"/>
    <n v="16673121"/>
    <n v="215658"/>
    <n v="76"/>
    <x v="8"/>
    <x v="0"/>
  </r>
  <r>
    <x v="1401"/>
    <s v="Golden Edge 1095"/>
    <x v="0"/>
    <s v="J. Lee"/>
    <x v="2"/>
    <d v="2023-05-11T00:00:00"/>
    <x v="17"/>
    <x v="7"/>
    <s v="83 Min"/>
    <x v="7"/>
    <n v="8.1999999999999993"/>
    <n v="21201846"/>
    <n v="1805923"/>
    <n v="76"/>
    <x v="2"/>
    <x v="2"/>
  </r>
  <r>
    <x v="1402"/>
    <s v="Ocean Line 1075"/>
    <x v="0"/>
    <s v="S. Patel"/>
    <x v="0"/>
    <d v="2023-05-14T00:00:00"/>
    <x v="3"/>
    <x v="9"/>
    <s v="84 Min"/>
    <x v="0"/>
    <n v="5"/>
    <n v="436143"/>
    <n v="1018729"/>
    <n v="66"/>
    <x v="2"/>
    <x v="2"/>
  </r>
  <r>
    <x v="1403"/>
    <s v="Echo Truth 585"/>
    <x v="1"/>
    <s v="M. Garcia"/>
    <x v="8"/>
    <d v="2023-05-19T00:00:00"/>
    <x v="9"/>
    <x v="5"/>
    <s v="4 Seasons"/>
    <x v="5"/>
    <n v="7.8"/>
    <n v="12696500"/>
    <n v="2106790"/>
    <n v="83"/>
    <x v="5"/>
    <x v="1"/>
  </r>
  <r>
    <x v="1404"/>
    <s v="Royal Signal 630"/>
    <x v="1"/>
    <s v="M. Garcia"/>
    <x v="3"/>
    <d v="2023-05-19T00:00:00"/>
    <x v="5"/>
    <x v="9"/>
    <s v="7 Seasons"/>
    <x v="7"/>
    <n v="9"/>
    <n v="1310925"/>
    <n v="4659971"/>
    <n v="52"/>
    <x v="8"/>
    <x v="4"/>
  </r>
  <r>
    <x v="1405"/>
    <s v="Lost Dream 1866"/>
    <x v="1"/>
    <s v="R. Kumar"/>
    <x v="2"/>
    <d v="2023-05-19T00:00:00"/>
    <x v="1"/>
    <x v="3"/>
    <s v="2 Seasons"/>
    <x v="0"/>
    <n v="7.4"/>
    <n v="4604884"/>
    <n v="879921"/>
    <n v="92"/>
    <x v="4"/>
    <x v="0"/>
  </r>
  <r>
    <x v="1406"/>
    <s v="Broken Truth 39"/>
    <x v="1"/>
    <s v="S. Patel"/>
    <x v="4"/>
    <d v="2023-05-21T00:00:00"/>
    <x v="9"/>
    <x v="0"/>
    <s v="1 Seasons"/>
    <x v="2"/>
    <n v="6.4"/>
    <n v="4160961"/>
    <n v="4708090"/>
    <n v="53"/>
    <x v="7"/>
    <x v="4"/>
  </r>
  <r>
    <x v="1407"/>
    <s v="Fire Edge 1812"/>
    <x v="0"/>
    <s v="D. Kim"/>
    <x v="7"/>
    <d v="2023-05-22T00:00:00"/>
    <x v="25"/>
    <x v="7"/>
    <s v="97 Min"/>
    <x v="3"/>
    <n v="6"/>
    <n v="7380186"/>
    <n v="1359675"/>
    <n v="48"/>
    <x v="6"/>
    <x v="4"/>
  </r>
  <r>
    <x v="1408"/>
    <s v="Infinite Chronicles 517"/>
    <x v="0"/>
    <s v="P. Johnson"/>
    <x v="2"/>
    <d v="2023-05-23T00:00:00"/>
    <x v="26"/>
    <x v="6"/>
    <s v="156 Min"/>
    <x v="0"/>
    <n v="9.5"/>
    <n v="15445067"/>
    <n v="4812617"/>
    <n v="67"/>
    <x v="9"/>
    <x v="0"/>
  </r>
  <r>
    <x v="1409"/>
    <s v="Future Story 1916"/>
    <x v="1"/>
    <s v="J. Lee"/>
    <x v="1"/>
    <d v="2023-05-26T00:00:00"/>
    <x v="0"/>
    <x v="3"/>
    <s v="3 Seasons"/>
    <x v="9"/>
    <n v="8.4"/>
    <n v="24785585"/>
    <n v="2431479"/>
    <n v="54"/>
    <x v="9"/>
    <x v="1"/>
  </r>
  <r>
    <x v="1410"/>
    <s v="Ocean Legacy 940"/>
    <x v="0"/>
    <s v="K. Tanaka"/>
    <x v="7"/>
    <d v="2023-06-01T00:00:00"/>
    <x v="22"/>
    <x v="7"/>
    <s v="158 Min"/>
    <x v="3"/>
    <n v="5.5"/>
    <n v="3768972"/>
    <n v="3239907"/>
    <n v="46"/>
    <x v="5"/>
    <x v="4"/>
  </r>
  <r>
    <x v="1411"/>
    <s v="Hidden Files 686"/>
    <x v="1"/>
    <s v="S. Patel"/>
    <x v="3"/>
    <d v="2023-06-05T00:00:00"/>
    <x v="0"/>
    <x v="7"/>
    <s v="1 Seasons"/>
    <x v="8"/>
    <n v="7.3"/>
    <n v="85780"/>
    <n v="214518"/>
    <n v="84"/>
    <x v="5"/>
    <x v="0"/>
  </r>
  <r>
    <x v="1412"/>
    <s v="Silent Quest 1365"/>
    <x v="1"/>
    <s v="Unknown"/>
    <x v="4"/>
    <d v="2023-06-05T00:00:00"/>
    <x v="12"/>
    <x v="3"/>
    <s v="7 Seasons"/>
    <x v="2"/>
    <n v="7.8"/>
    <n v="2908804"/>
    <n v="3466514"/>
    <n v="56"/>
    <x v="7"/>
    <x v="3"/>
  </r>
  <r>
    <x v="1413"/>
    <s v="Crimson Quest 1263"/>
    <x v="0"/>
    <s v="R. Kumar"/>
    <x v="7"/>
    <d v="2023-06-11T00:00:00"/>
    <x v="5"/>
    <x v="2"/>
    <s v="122 Min"/>
    <x v="2"/>
    <n v="5.6"/>
    <n v="18736873"/>
    <n v="2229619"/>
    <n v="74"/>
    <x v="8"/>
    <x v="0"/>
  </r>
  <r>
    <x v="1414"/>
    <s v="Urban World 1704"/>
    <x v="1"/>
    <s v="M. Garcia"/>
    <x v="10"/>
    <d v="2023-06-11T00:00:00"/>
    <x v="21"/>
    <x v="3"/>
    <s v="4 Seasons"/>
    <x v="10"/>
    <n v="6.4"/>
    <n v="8272872"/>
    <n v="2927956"/>
    <n v="49"/>
    <x v="4"/>
    <x v="3"/>
  </r>
  <r>
    <x v="1415"/>
    <s v="Fire Quest 902"/>
    <x v="2"/>
    <s v="M. Garcia"/>
    <x v="6"/>
    <d v="2023-06-13T00:00:00"/>
    <x v="22"/>
    <x v="3"/>
    <s v="3 Seasons"/>
    <x v="6"/>
    <n v="9.4"/>
    <n v="2224981"/>
    <n v="3360573"/>
    <n v="71"/>
    <x v="5"/>
    <x v="0"/>
  </r>
  <r>
    <x v="1416"/>
    <s v="Future Empire 272"/>
    <x v="2"/>
    <s v="M. Garcia"/>
    <x v="3"/>
    <d v="2023-06-18T00:00:00"/>
    <x v="24"/>
    <x v="9"/>
    <s v="7 Seasons"/>
    <x v="7"/>
    <n v="8.3000000000000007"/>
    <n v="466885"/>
    <n v="457162"/>
    <n v="69"/>
    <x v="2"/>
    <x v="3"/>
  </r>
  <r>
    <x v="1417"/>
    <s v="Beyond Legacy 1999"/>
    <x v="2"/>
    <s v="N. Singh"/>
    <x v="5"/>
    <d v="2023-06-23T00:00:00"/>
    <x v="12"/>
    <x v="8"/>
    <s v="7 Seasons"/>
    <x v="6"/>
    <n v="4.9000000000000004"/>
    <n v="14329575"/>
    <n v="2426003"/>
    <n v="68"/>
    <x v="2"/>
    <x v="2"/>
  </r>
  <r>
    <x v="1418"/>
    <s v="Ocean Night 1360"/>
    <x v="0"/>
    <s v="N. Singh"/>
    <x v="12"/>
    <d v="2023-06-28T00:00:00"/>
    <x v="14"/>
    <x v="1"/>
    <s v="77 Min"/>
    <x v="8"/>
    <n v="9.1999999999999993"/>
    <n v="19064812"/>
    <n v="4703430"/>
    <n v="54"/>
    <x v="2"/>
    <x v="3"/>
  </r>
  <r>
    <x v="1419"/>
    <s v="Echo Rise 1647"/>
    <x v="0"/>
    <s v="J. Lee"/>
    <x v="12"/>
    <d v="2023-06-28T00:00:00"/>
    <x v="11"/>
    <x v="3"/>
    <s v="106 Min"/>
    <x v="5"/>
    <n v="9.6"/>
    <n v="22559872"/>
    <n v="4978573"/>
    <n v="98"/>
    <x v="8"/>
    <x v="1"/>
  </r>
  <r>
    <x v="1420"/>
    <s v="Wild Truth 194"/>
    <x v="1"/>
    <s v="A. Smith"/>
    <x v="5"/>
    <d v="2023-07-02T00:00:00"/>
    <x v="16"/>
    <x v="6"/>
    <s v="3 Seasons"/>
    <x v="3"/>
    <n v="7.5"/>
    <n v="10860366"/>
    <n v="2840124"/>
    <n v="96"/>
    <x v="8"/>
    <x v="0"/>
  </r>
  <r>
    <x v="1421"/>
    <s v="Dark Empire 270"/>
    <x v="1"/>
    <s v="A. Smith"/>
    <x v="0"/>
    <d v="2023-07-05T00:00:00"/>
    <x v="14"/>
    <x v="8"/>
    <s v="5 Seasons"/>
    <x v="10"/>
    <n v="8.1"/>
    <n v="6332350"/>
    <n v="1736224"/>
    <n v="120"/>
    <x v="0"/>
    <x v="3"/>
  </r>
  <r>
    <x v="1422"/>
    <s v="Shadow Files 308"/>
    <x v="2"/>
    <s v="L. Brown"/>
    <x v="3"/>
    <d v="2023-07-08T00:00:00"/>
    <x v="0"/>
    <x v="9"/>
    <s v="2 Seasons"/>
    <x v="9"/>
    <n v="9"/>
    <n v="4813820"/>
    <n v="4087912"/>
    <n v="92"/>
    <x v="1"/>
    <x v="1"/>
  </r>
  <r>
    <x v="1423"/>
    <s v="Echo Night 317"/>
    <x v="0"/>
    <s v="Unknown"/>
    <x v="11"/>
    <d v="2023-07-13T00:00:00"/>
    <x v="24"/>
    <x v="2"/>
    <s v="92 Min"/>
    <x v="1"/>
    <n v="8"/>
    <n v="1481229"/>
    <n v="662183"/>
    <n v="42"/>
    <x v="7"/>
    <x v="4"/>
  </r>
  <r>
    <x v="1424"/>
    <s v="Silent Line 1652"/>
    <x v="0"/>
    <s v="P. Johnson"/>
    <x v="12"/>
    <d v="2023-07-13T00:00:00"/>
    <x v="19"/>
    <x v="3"/>
    <s v="143 Min"/>
    <x v="4"/>
    <n v="7.9"/>
    <n v="20897702"/>
    <n v="4589832"/>
    <n v="59"/>
    <x v="0"/>
    <x v="0"/>
  </r>
  <r>
    <x v="1425"/>
    <s v="Urban Empire 811"/>
    <x v="0"/>
    <s v="Unknown"/>
    <x v="11"/>
    <d v="2023-07-15T00:00:00"/>
    <x v="11"/>
    <x v="7"/>
    <s v="103 Min"/>
    <x v="3"/>
    <n v="7.9"/>
    <n v="10495756"/>
    <n v="1772095"/>
    <n v="81"/>
    <x v="4"/>
    <x v="0"/>
  </r>
  <r>
    <x v="1426"/>
    <s v="Crimson Story 1068"/>
    <x v="0"/>
    <s v="S. Patel"/>
    <x v="6"/>
    <d v="2023-07-15T00:00:00"/>
    <x v="26"/>
    <x v="9"/>
    <s v="81 Min"/>
    <x v="2"/>
    <n v="9.6999999999999993"/>
    <n v="5081595"/>
    <n v="4815648"/>
    <n v="40"/>
    <x v="3"/>
    <x v="4"/>
  </r>
  <r>
    <x v="1427"/>
    <s v="Broken Dream 1256"/>
    <x v="1"/>
    <s v="J. Lee"/>
    <x v="2"/>
    <d v="2023-07-22T00:00:00"/>
    <x v="6"/>
    <x v="3"/>
    <s v="3 Seasons"/>
    <x v="5"/>
    <n v="7.2"/>
    <n v="9610674"/>
    <n v="3567891"/>
    <n v="88"/>
    <x v="1"/>
    <x v="1"/>
  </r>
  <r>
    <x v="1428"/>
    <s v="Golden Code 1071"/>
    <x v="0"/>
    <s v="L. Brown"/>
    <x v="1"/>
    <d v="2023-07-23T00:00:00"/>
    <x v="23"/>
    <x v="9"/>
    <s v="155 Min"/>
    <x v="7"/>
    <n v="8.9"/>
    <n v="19308469"/>
    <n v="1027245"/>
    <n v="52"/>
    <x v="4"/>
    <x v="1"/>
  </r>
  <r>
    <x v="1429"/>
    <s v="Lost Dream 736"/>
    <x v="0"/>
    <s v="Unknown"/>
    <x v="8"/>
    <d v="2023-07-26T00:00:00"/>
    <x v="20"/>
    <x v="9"/>
    <s v="Unknown"/>
    <x v="2"/>
    <n v="9.1999999999999993"/>
    <n v="3551025"/>
    <n v="3851538"/>
    <n v="63"/>
    <x v="0"/>
    <x v="4"/>
  </r>
  <r>
    <x v="1430"/>
    <s v="Silent Edge 1826"/>
    <x v="1"/>
    <s v="M. Garcia"/>
    <x v="11"/>
    <d v="2023-07-27T00:00:00"/>
    <x v="6"/>
    <x v="8"/>
    <s v="1 Seasons"/>
    <x v="5"/>
    <n v="7"/>
    <n v="11527131"/>
    <n v="2850335"/>
    <n v="53"/>
    <x v="2"/>
    <x v="0"/>
  </r>
  <r>
    <x v="1431"/>
    <s v="Infinite Rise 541"/>
    <x v="1"/>
    <s v="A. Smith"/>
    <x v="2"/>
    <d v="2023-07-31T00:00:00"/>
    <x v="9"/>
    <x v="8"/>
    <s v="4 Seasons"/>
    <x v="2"/>
    <n v="9.1"/>
    <n v="18953253"/>
    <n v="3654939"/>
    <n v="48"/>
    <x v="5"/>
    <x v="3"/>
  </r>
  <r>
    <x v="1432"/>
    <s v="Fire Night 1364"/>
    <x v="2"/>
    <s v="S. Patel"/>
    <x v="9"/>
    <d v="2023-08-01T00:00:00"/>
    <x v="7"/>
    <x v="9"/>
    <s v="6 Seasons"/>
    <x v="1"/>
    <n v="4.5999999999999996"/>
    <n v="8703836"/>
    <n v="3265205"/>
    <n v="120"/>
    <x v="2"/>
    <x v="3"/>
  </r>
  <r>
    <x v="1433"/>
    <s v="Blue Zone 899"/>
    <x v="0"/>
    <s v="N. Singh"/>
    <x v="9"/>
    <d v="2023-08-03T00:00:00"/>
    <x v="6"/>
    <x v="0"/>
    <s v="164 Min"/>
    <x v="3"/>
    <n v="4.8"/>
    <n v="17588770"/>
    <n v="4743713"/>
    <n v="76"/>
    <x v="7"/>
    <x v="0"/>
  </r>
  <r>
    <x v="1434"/>
    <s v="Blue Dream 1765"/>
    <x v="1"/>
    <s v="M. Garcia"/>
    <x v="0"/>
    <d v="2023-08-10T00:00:00"/>
    <x v="2"/>
    <x v="5"/>
    <s v="4 Seasons"/>
    <x v="5"/>
    <n v="6.3"/>
    <n v="3149994"/>
    <n v="4646707"/>
    <n v="51"/>
    <x v="3"/>
    <x v="0"/>
  </r>
  <r>
    <x v="1435"/>
    <s v="Crimson Valley 1202"/>
    <x v="1"/>
    <s v="R. Kumar"/>
    <x v="1"/>
    <d v="2023-08-12T00:00:00"/>
    <x v="8"/>
    <x v="4"/>
    <s v="6 Seasons"/>
    <x v="8"/>
    <n v="8.3000000000000007"/>
    <n v="6294321"/>
    <n v="58443"/>
    <n v="73"/>
    <x v="7"/>
    <x v="2"/>
  </r>
  <r>
    <x v="1436"/>
    <s v="Ocean Quest 614"/>
    <x v="0"/>
    <s v="Unknown"/>
    <x v="3"/>
    <d v="2023-08-14T00:00:00"/>
    <x v="8"/>
    <x v="7"/>
    <s v="160 Min"/>
    <x v="9"/>
    <n v="6.5"/>
    <n v="21012225"/>
    <n v="1826283"/>
    <n v="52"/>
    <x v="1"/>
    <x v="4"/>
  </r>
  <r>
    <x v="1437"/>
    <s v="Blue Zone 1572"/>
    <x v="1"/>
    <s v="J. Lee"/>
    <x v="11"/>
    <d v="2023-08-14T00:00:00"/>
    <x v="22"/>
    <x v="1"/>
    <s v="7 Seasons"/>
    <x v="4"/>
    <n v="7.6"/>
    <n v="10642906"/>
    <n v="2610510"/>
    <n v="45"/>
    <x v="2"/>
    <x v="1"/>
  </r>
  <r>
    <x v="1438"/>
    <s v="Future Edge 138"/>
    <x v="2"/>
    <s v="Unknown"/>
    <x v="4"/>
    <d v="2023-08-16T00:00:00"/>
    <x v="24"/>
    <x v="2"/>
    <s v="3 Seasons"/>
    <x v="9"/>
    <n v="9.6"/>
    <n v="1154594"/>
    <n v="4703892"/>
    <n v="46"/>
    <x v="2"/>
    <x v="0"/>
  </r>
  <r>
    <x v="1439"/>
    <s v="Echo World 327"/>
    <x v="0"/>
    <s v="D. Kim"/>
    <x v="10"/>
    <d v="2023-08-16T00:00:00"/>
    <x v="9"/>
    <x v="3"/>
    <s v="166 Min"/>
    <x v="10"/>
    <n v="7.4"/>
    <n v="16426850"/>
    <n v="1490822"/>
    <n v="94"/>
    <x v="9"/>
    <x v="3"/>
  </r>
  <r>
    <x v="1440"/>
    <s v="Broken Mission 720"/>
    <x v="1"/>
    <s v="A. Smith"/>
    <x v="7"/>
    <d v="2023-08-16T00:00:00"/>
    <x v="8"/>
    <x v="9"/>
    <s v="2 Seasons"/>
    <x v="1"/>
    <n v="9.1"/>
    <n v="23782721"/>
    <n v="4564789"/>
    <n v="73"/>
    <x v="2"/>
    <x v="3"/>
  </r>
  <r>
    <x v="1441"/>
    <s v="Beyond Valley 1489"/>
    <x v="1"/>
    <s v="N. Singh"/>
    <x v="6"/>
    <d v="2023-08-16T00:00:00"/>
    <x v="26"/>
    <x v="1"/>
    <s v="4 Seasons"/>
    <x v="2"/>
    <n v="9.3000000000000007"/>
    <n v="1663984"/>
    <n v="1126710"/>
    <n v="57"/>
    <x v="4"/>
    <x v="0"/>
  </r>
  <r>
    <x v="1442"/>
    <s v="Shadow Mission 1522"/>
    <x v="1"/>
    <s v="R. Kumar"/>
    <x v="12"/>
    <d v="2023-08-19T00:00:00"/>
    <x v="18"/>
    <x v="1"/>
    <s v="6 Seasons"/>
    <x v="2"/>
    <n v="5.0999999999999996"/>
    <n v="5295603"/>
    <n v="1464509"/>
    <n v="67"/>
    <x v="5"/>
    <x v="1"/>
  </r>
  <r>
    <x v="1443"/>
    <s v="Infinite Valley 1771"/>
    <x v="0"/>
    <s v="L. Brown"/>
    <x v="1"/>
    <d v="2023-08-19T00:00:00"/>
    <x v="16"/>
    <x v="6"/>
    <s v="141 Min"/>
    <x v="7"/>
    <n v="9.5"/>
    <n v="3790365"/>
    <n v="1775700"/>
    <n v="93"/>
    <x v="6"/>
    <x v="1"/>
  </r>
  <r>
    <x v="1444"/>
    <s v="Blue Empire 254"/>
    <x v="1"/>
    <s v="N. Singh"/>
    <x v="12"/>
    <d v="2023-08-21T00:00:00"/>
    <x v="3"/>
    <x v="8"/>
    <s v="8 Seasons"/>
    <x v="10"/>
    <n v="5.2"/>
    <n v="21131854"/>
    <n v="3100383"/>
    <n v="100"/>
    <x v="9"/>
    <x v="0"/>
  </r>
  <r>
    <x v="1445"/>
    <s v="Echo Code 1853"/>
    <x v="0"/>
    <s v="Unknown"/>
    <x v="7"/>
    <d v="2023-08-21T00:00:00"/>
    <x v="8"/>
    <x v="5"/>
    <s v="102 Min"/>
    <x v="3"/>
    <n v="6.2"/>
    <n v="2840944"/>
    <n v="256764"/>
    <n v="120"/>
    <x v="1"/>
    <x v="3"/>
  </r>
  <r>
    <x v="1446"/>
    <s v="Future Code 500"/>
    <x v="1"/>
    <s v="D. Kim"/>
    <x v="0"/>
    <d v="2023-08-24T00:00:00"/>
    <x v="16"/>
    <x v="9"/>
    <s v="5 Seasons"/>
    <x v="9"/>
    <n v="8.1999999999999993"/>
    <n v="21232828"/>
    <n v="4295022"/>
    <n v="62"/>
    <x v="7"/>
    <x v="2"/>
  </r>
  <r>
    <x v="1447"/>
    <s v="Future Legacy 1622"/>
    <x v="2"/>
    <s v="Unknown"/>
    <x v="5"/>
    <d v="2023-08-24T00:00:00"/>
    <x v="26"/>
    <x v="1"/>
    <s v="Unknown"/>
    <x v="4"/>
    <n v="6.9"/>
    <n v="3114790"/>
    <n v="1062240"/>
    <n v="47"/>
    <x v="0"/>
    <x v="2"/>
  </r>
  <r>
    <x v="1448"/>
    <s v="Beyond Valley 307"/>
    <x v="1"/>
    <s v="M. Garcia"/>
    <x v="9"/>
    <d v="2023-08-26T00:00:00"/>
    <x v="8"/>
    <x v="3"/>
    <s v="2 Seasons"/>
    <x v="6"/>
    <n v="6"/>
    <n v="17722530"/>
    <n v="2271989"/>
    <n v="43"/>
    <x v="1"/>
    <x v="1"/>
  </r>
  <r>
    <x v="1449"/>
    <s v="Silent Legacy 1624"/>
    <x v="0"/>
    <s v="J. Lee"/>
    <x v="4"/>
    <d v="2023-09-02T00:00:00"/>
    <x v="0"/>
    <x v="1"/>
    <s v="88 Min"/>
    <x v="4"/>
    <n v="7.2"/>
    <n v="5302011"/>
    <n v="4821482"/>
    <n v="40"/>
    <x v="5"/>
    <x v="1"/>
  </r>
  <r>
    <x v="1450"/>
    <s v="Wild Signal 644"/>
    <x v="1"/>
    <s v="S. Patel"/>
    <x v="9"/>
    <d v="2023-09-03T00:00:00"/>
    <x v="13"/>
    <x v="0"/>
    <s v="8 Seasons"/>
    <x v="9"/>
    <n v="7.3"/>
    <n v="717081"/>
    <n v="909767"/>
    <n v="99"/>
    <x v="6"/>
    <x v="0"/>
  </r>
  <r>
    <x v="1451"/>
    <s v="Golden Code 765"/>
    <x v="2"/>
    <s v="D. Kim"/>
    <x v="3"/>
    <d v="2023-09-04T00:00:00"/>
    <x v="2"/>
    <x v="7"/>
    <s v="3 Seasons"/>
    <x v="2"/>
    <n v="7.2"/>
    <n v="423809"/>
    <n v="1347012"/>
    <n v="99"/>
    <x v="6"/>
    <x v="2"/>
  </r>
  <r>
    <x v="1452"/>
    <s v="Secret Dream 1595"/>
    <x v="0"/>
    <s v="D. Kim"/>
    <x v="10"/>
    <d v="2023-09-04T00:00:00"/>
    <x v="24"/>
    <x v="3"/>
    <s v="160 Min"/>
    <x v="6"/>
    <n v="9.4"/>
    <n v="8338691"/>
    <n v="4343568"/>
    <n v="58"/>
    <x v="5"/>
    <x v="4"/>
  </r>
  <r>
    <x v="1453"/>
    <s v="Crimson Zone 1895"/>
    <x v="0"/>
    <s v="S. Patel"/>
    <x v="12"/>
    <d v="2023-09-04T00:00:00"/>
    <x v="25"/>
    <x v="4"/>
    <s v="72 Min"/>
    <x v="5"/>
    <n v="9.1999999999999993"/>
    <n v="24414868"/>
    <n v="2728232"/>
    <n v="65"/>
    <x v="1"/>
    <x v="1"/>
  </r>
  <r>
    <x v="1454"/>
    <s v="Broken Story 1423"/>
    <x v="0"/>
    <s v="Unknown"/>
    <x v="4"/>
    <d v="2023-09-05T00:00:00"/>
    <x v="20"/>
    <x v="0"/>
    <s v="153 Min"/>
    <x v="4"/>
    <n v="4.5"/>
    <n v="15443892"/>
    <n v="1905756"/>
    <n v="100"/>
    <x v="1"/>
    <x v="0"/>
  </r>
  <r>
    <x v="1455"/>
    <s v="Blue Night 723"/>
    <x v="1"/>
    <s v="Unknown"/>
    <x v="12"/>
    <d v="2023-09-06T00:00:00"/>
    <x v="6"/>
    <x v="2"/>
    <s v="8 Seasons"/>
    <x v="9"/>
    <n v="6.7"/>
    <n v="10759692"/>
    <n v="4818568"/>
    <n v="47"/>
    <x v="1"/>
    <x v="3"/>
  </r>
  <r>
    <x v="1456"/>
    <s v="Broken Chronicles 1632"/>
    <x v="0"/>
    <s v="P. Johnson"/>
    <x v="6"/>
    <d v="2023-09-07T00:00:00"/>
    <x v="12"/>
    <x v="5"/>
    <s v="99 Min"/>
    <x v="5"/>
    <n v="9.3000000000000007"/>
    <n v="13801657"/>
    <n v="1450160"/>
    <n v="98"/>
    <x v="4"/>
    <x v="2"/>
  </r>
  <r>
    <x v="1457"/>
    <s v="Hidden Story 1325"/>
    <x v="1"/>
    <s v="N. Singh"/>
    <x v="1"/>
    <d v="2023-09-08T00:00:00"/>
    <x v="9"/>
    <x v="3"/>
    <s v="3 Seasons"/>
    <x v="4"/>
    <n v="7.8"/>
    <n v="8266030"/>
    <n v="1632200"/>
    <n v="45"/>
    <x v="3"/>
    <x v="2"/>
  </r>
  <r>
    <x v="1458"/>
    <s v="Broken Game 906"/>
    <x v="1"/>
    <s v="K. Tanaka"/>
    <x v="1"/>
    <d v="2023-09-11T00:00:00"/>
    <x v="1"/>
    <x v="3"/>
    <s v="3 Seasons"/>
    <x v="10"/>
    <n v="9.6999999999999993"/>
    <n v="16204775"/>
    <n v="2995699"/>
    <n v="82"/>
    <x v="1"/>
    <x v="4"/>
  </r>
  <r>
    <x v="1459"/>
    <s v="Future Edge 1038"/>
    <x v="1"/>
    <s v="L. Brown"/>
    <x v="4"/>
    <d v="2023-09-11T00:00:00"/>
    <x v="26"/>
    <x v="4"/>
    <s v="8 Seasons"/>
    <x v="6"/>
    <n v="7.5"/>
    <n v="9027701"/>
    <n v="58418"/>
    <n v="41"/>
    <x v="7"/>
    <x v="3"/>
  </r>
  <r>
    <x v="1460"/>
    <s v="Secret Dream 771"/>
    <x v="1"/>
    <s v="N. Singh"/>
    <x v="4"/>
    <d v="2023-09-12T00:00:00"/>
    <x v="6"/>
    <x v="9"/>
    <s v="7 Seasons"/>
    <x v="6"/>
    <n v="4.5999999999999996"/>
    <n v="7777488"/>
    <n v="434547"/>
    <n v="61"/>
    <x v="0"/>
    <x v="0"/>
  </r>
  <r>
    <x v="1461"/>
    <s v="Secret Line 1053"/>
    <x v="1"/>
    <s v="K. Tanaka"/>
    <x v="5"/>
    <d v="2023-09-13T00:00:00"/>
    <x v="2"/>
    <x v="3"/>
    <s v="3 Seasons"/>
    <x v="2"/>
    <n v="8.3000000000000007"/>
    <n v="11704834"/>
    <n v="706813"/>
    <n v="75"/>
    <x v="5"/>
    <x v="4"/>
  </r>
  <r>
    <x v="1462"/>
    <s v="Broken Mission 1829"/>
    <x v="1"/>
    <s v="N. Singh"/>
    <x v="2"/>
    <d v="2023-09-16T00:00:00"/>
    <x v="6"/>
    <x v="6"/>
    <s v="5 Seasons"/>
    <x v="6"/>
    <n v="7.7"/>
    <n v="5863335"/>
    <n v="105445"/>
    <n v="50"/>
    <x v="1"/>
    <x v="3"/>
  </r>
  <r>
    <x v="1463"/>
    <s v="Royal Code 1945"/>
    <x v="0"/>
    <s v="Unknown"/>
    <x v="0"/>
    <d v="2023-09-16T00:00:00"/>
    <x v="25"/>
    <x v="5"/>
    <s v="93 Min"/>
    <x v="9"/>
    <n v="7.4"/>
    <n v="1483524"/>
    <n v="3888241"/>
    <n v="57"/>
    <x v="6"/>
    <x v="0"/>
  </r>
  <r>
    <x v="1464"/>
    <s v="Crimson Quest 1526"/>
    <x v="1"/>
    <s v="N. Singh"/>
    <x v="7"/>
    <d v="2023-09-20T00:00:00"/>
    <x v="14"/>
    <x v="4"/>
    <s v="6 Seasons"/>
    <x v="6"/>
    <n v="8.6"/>
    <n v="12200201"/>
    <n v="2145106"/>
    <n v="56"/>
    <x v="7"/>
    <x v="1"/>
  </r>
  <r>
    <x v="1465"/>
    <s v="Echo World 1995"/>
    <x v="1"/>
    <s v="Unknown"/>
    <x v="2"/>
    <d v="2023-09-26T00:00:00"/>
    <x v="19"/>
    <x v="1"/>
    <s v="3 Seasons"/>
    <x v="9"/>
    <n v="7.8"/>
    <n v="13718888"/>
    <n v="1848817"/>
    <n v="51"/>
    <x v="8"/>
    <x v="4"/>
  </r>
  <r>
    <x v="1466"/>
    <s v="Hidden Edge 1528"/>
    <x v="0"/>
    <s v="D. Kim"/>
    <x v="5"/>
    <d v="2023-09-28T00:00:00"/>
    <x v="10"/>
    <x v="7"/>
    <s v="138 Min"/>
    <x v="4"/>
    <n v="8.3000000000000007"/>
    <n v="20141763"/>
    <n v="23350"/>
    <n v="120"/>
    <x v="1"/>
    <x v="2"/>
  </r>
  <r>
    <x v="1467"/>
    <s v="Dark Mission 1923"/>
    <x v="0"/>
    <s v="A. Smith"/>
    <x v="3"/>
    <d v="2023-09-28T00:00:00"/>
    <x v="8"/>
    <x v="5"/>
    <s v="98 Min"/>
    <x v="10"/>
    <n v="4.5"/>
    <n v="20340081"/>
    <n v="1617028"/>
    <n v="70"/>
    <x v="4"/>
    <x v="0"/>
  </r>
  <r>
    <x v="1468"/>
    <s v="Blue Code 1508"/>
    <x v="0"/>
    <s v="M. Garcia"/>
    <x v="1"/>
    <d v="2023-10-02T00:00:00"/>
    <x v="14"/>
    <x v="1"/>
    <s v="133 Min"/>
    <x v="0"/>
    <n v="9.5"/>
    <n v="14073255"/>
    <n v="1894840"/>
    <n v="58"/>
    <x v="9"/>
    <x v="1"/>
  </r>
  <r>
    <x v="1469"/>
    <s v="Last Story 878"/>
    <x v="1"/>
    <s v="S. Patel"/>
    <x v="2"/>
    <d v="2023-10-03T00:00:00"/>
    <x v="13"/>
    <x v="2"/>
    <s v="2 Seasons"/>
    <x v="3"/>
    <n v="5.0999999999999996"/>
    <n v="23042660"/>
    <n v="3733488"/>
    <n v="53"/>
    <x v="4"/>
    <x v="3"/>
  </r>
  <r>
    <x v="1470"/>
    <s v="Broken Valley 245"/>
    <x v="1"/>
    <s v="R. Kumar"/>
    <x v="7"/>
    <d v="2023-10-08T00:00:00"/>
    <x v="9"/>
    <x v="4"/>
    <s v="6 Seasons"/>
    <x v="3"/>
    <n v="8.1999999999999993"/>
    <n v="6046406"/>
    <n v="1278102"/>
    <n v="80"/>
    <x v="6"/>
    <x v="0"/>
  </r>
  <r>
    <x v="1471"/>
    <s v="Hidden Truth 996"/>
    <x v="0"/>
    <s v="Unknown"/>
    <x v="0"/>
    <d v="2023-10-09T00:00:00"/>
    <x v="13"/>
    <x v="9"/>
    <s v="151 Min"/>
    <x v="3"/>
    <n v="4.8"/>
    <n v="2599929"/>
    <n v="3440288"/>
    <n v="86"/>
    <x v="7"/>
    <x v="1"/>
  </r>
  <r>
    <x v="1472"/>
    <s v="Royal Chronicles 1791"/>
    <x v="0"/>
    <s v="Unknown"/>
    <x v="9"/>
    <d v="2023-10-15T00:00:00"/>
    <x v="17"/>
    <x v="2"/>
    <s v="72 Min"/>
    <x v="10"/>
    <n v="7.3"/>
    <n v="8176445"/>
    <n v="3063851"/>
    <n v="61"/>
    <x v="5"/>
    <x v="4"/>
  </r>
  <r>
    <x v="1473"/>
    <s v="Blue Valley 410"/>
    <x v="1"/>
    <s v="S. Patel"/>
    <x v="7"/>
    <d v="2023-10-16T00:00:00"/>
    <x v="23"/>
    <x v="5"/>
    <s v="7 Seasons"/>
    <x v="5"/>
    <n v="7"/>
    <n v="16563364"/>
    <n v="100549"/>
    <n v="62"/>
    <x v="4"/>
    <x v="3"/>
  </r>
  <r>
    <x v="1474"/>
    <s v="Royal Night 1694"/>
    <x v="1"/>
    <s v="J. Lee"/>
    <x v="4"/>
    <d v="2023-10-27T00:00:00"/>
    <x v="22"/>
    <x v="4"/>
    <s v="7 Seasons"/>
    <x v="0"/>
    <n v="5.4"/>
    <n v="17108074"/>
    <n v="3323400"/>
    <n v="74"/>
    <x v="8"/>
    <x v="4"/>
  </r>
  <r>
    <x v="1475"/>
    <s v="Shadow Empire 1848"/>
    <x v="1"/>
    <s v="A. Smith"/>
    <x v="6"/>
    <d v="2023-10-27T00:00:00"/>
    <x v="25"/>
    <x v="6"/>
    <s v="1 Seasons"/>
    <x v="3"/>
    <n v="7.3"/>
    <n v="15422460"/>
    <n v="4055893"/>
    <n v="42"/>
    <x v="5"/>
    <x v="4"/>
  </r>
  <r>
    <x v="1476"/>
    <s v="Crimson Signal 852"/>
    <x v="0"/>
    <s v="Unknown"/>
    <x v="7"/>
    <d v="2023-10-29T00:00:00"/>
    <x v="20"/>
    <x v="3"/>
    <s v="102 Min"/>
    <x v="3"/>
    <n v="6.6"/>
    <n v="20906972"/>
    <n v="2943672"/>
    <n v="90"/>
    <x v="4"/>
    <x v="4"/>
  </r>
  <r>
    <x v="1477"/>
    <s v="Royal Chronicles 679"/>
    <x v="0"/>
    <s v="L. Brown"/>
    <x v="10"/>
    <d v="2023-11-01T00:00:00"/>
    <x v="3"/>
    <x v="4"/>
    <s v="161 Min"/>
    <x v="1"/>
    <n v="8.1999999999999993"/>
    <n v="12855298"/>
    <n v="4586817"/>
    <n v="47"/>
    <x v="9"/>
    <x v="3"/>
  </r>
  <r>
    <x v="1478"/>
    <s v="Dark World 969"/>
    <x v="0"/>
    <s v="M. Garcia"/>
    <x v="3"/>
    <d v="2023-11-04T00:00:00"/>
    <x v="16"/>
    <x v="4"/>
    <s v="90 Min"/>
    <x v="2"/>
    <n v="11.2"/>
    <n v="11049280"/>
    <n v="1265544"/>
    <n v="91"/>
    <x v="8"/>
    <x v="1"/>
  </r>
  <r>
    <x v="1479"/>
    <s v="Golden Files 1681"/>
    <x v="2"/>
    <s v="J. Lee"/>
    <x v="1"/>
    <d v="2023-11-04T00:00:00"/>
    <x v="19"/>
    <x v="0"/>
    <s v="1 Seasons"/>
    <x v="9"/>
    <n v="9.4"/>
    <n v="7390604"/>
    <n v="5007"/>
    <n v="69"/>
    <x v="3"/>
    <x v="2"/>
  </r>
  <r>
    <x v="1480"/>
    <s v="Lost Files 468"/>
    <x v="2"/>
    <s v="Unknown"/>
    <x v="9"/>
    <d v="2023-11-05T00:00:00"/>
    <x v="18"/>
    <x v="2"/>
    <s v="8 Seasons"/>
    <x v="9"/>
    <n v="8.1999999999999993"/>
    <n v="24218004"/>
    <n v="4186015"/>
    <n v="56"/>
    <x v="8"/>
    <x v="4"/>
  </r>
  <r>
    <x v="1481"/>
    <s v="Silent Line 162"/>
    <x v="0"/>
    <s v="S. Patel"/>
    <x v="4"/>
    <d v="2023-11-09T00:00:00"/>
    <x v="17"/>
    <x v="7"/>
    <s v="119 Min"/>
    <x v="7"/>
    <n v="6.5"/>
    <n v="18115894"/>
    <n v="2157583"/>
    <n v="48"/>
    <x v="6"/>
    <x v="1"/>
  </r>
  <r>
    <x v="1482"/>
    <s v="Dark Chronicles 363"/>
    <x v="0"/>
    <s v="Unknown"/>
    <x v="1"/>
    <d v="2023-11-16T00:00:00"/>
    <x v="22"/>
    <x v="7"/>
    <s v="176 Min"/>
    <x v="3"/>
    <n v="7.3"/>
    <n v="19066767"/>
    <n v="4874797"/>
    <n v="73"/>
    <x v="6"/>
    <x v="2"/>
  </r>
  <r>
    <x v="1483"/>
    <s v="Fire Journey 1115"/>
    <x v="0"/>
    <s v="N. Singh"/>
    <x v="9"/>
    <d v="2023-11-16T00:00:00"/>
    <x v="23"/>
    <x v="8"/>
    <s v="114 Min"/>
    <x v="10"/>
    <n v="6.3"/>
    <n v="17762290"/>
    <n v="2868106"/>
    <n v="95"/>
    <x v="6"/>
    <x v="0"/>
  </r>
  <r>
    <x v="1484"/>
    <s v="Future Signal 1634"/>
    <x v="1"/>
    <s v="Unknown"/>
    <x v="9"/>
    <d v="2023-11-16T00:00:00"/>
    <x v="19"/>
    <x v="1"/>
    <s v="7 Seasons"/>
    <x v="8"/>
    <n v="9.6999999999999993"/>
    <n v="18934870"/>
    <n v="2329452"/>
    <n v="64"/>
    <x v="4"/>
    <x v="2"/>
  </r>
  <r>
    <x v="1485"/>
    <s v="Secret Chronicles 705"/>
    <x v="0"/>
    <s v="Unknown"/>
    <x v="1"/>
    <d v="2023-11-17T00:00:00"/>
    <x v="11"/>
    <x v="5"/>
    <s v="84 Min"/>
    <x v="3"/>
    <n v="9.5"/>
    <n v="62163"/>
    <n v="1376501"/>
    <n v="76"/>
    <x v="9"/>
    <x v="2"/>
  </r>
  <r>
    <x v="1486"/>
    <s v="Royal Legacy 513"/>
    <x v="2"/>
    <s v="R. Kumar"/>
    <x v="2"/>
    <d v="2023-11-19T00:00:00"/>
    <x v="1"/>
    <x v="7"/>
    <s v="2 Seasons"/>
    <x v="2"/>
    <n v="7.6"/>
    <n v="15618814"/>
    <n v="4870095"/>
    <n v="83"/>
    <x v="0"/>
    <x v="2"/>
  </r>
  <r>
    <x v="1487"/>
    <s v="Secret Dream 576"/>
    <x v="0"/>
    <s v="M. Garcia"/>
    <x v="9"/>
    <d v="2023-11-22T00:00:00"/>
    <x v="12"/>
    <x v="5"/>
    <s v="71 Min"/>
    <x v="1"/>
    <n v="11.2"/>
    <n v="17823847"/>
    <n v="3312506"/>
    <n v="48"/>
    <x v="0"/>
    <x v="3"/>
  </r>
  <r>
    <x v="1488"/>
    <s v="Royal Mission 966"/>
    <x v="0"/>
    <s v="R. Kumar"/>
    <x v="8"/>
    <d v="2023-11-25T00:00:00"/>
    <x v="22"/>
    <x v="0"/>
    <s v="129 Min"/>
    <x v="4"/>
    <n v="9.6999999999999993"/>
    <n v="8024235"/>
    <n v="1293678"/>
    <n v="70"/>
    <x v="2"/>
    <x v="1"/>
  </r>
  <r>
    <x v="1489"/>
    <s v="Dark Quest 102"/>
    <x v="1"/>
    <s v="M. Garcia"/>
    <x v="6"/>
    <d v="2023-11-27T00:00:00"/>
    <x v="9"/>
    <x v="7"/>
    <s v="1 Seasons"/>
    <x v="3"/>
    <n v="7.9"/>
    <n v="22774632"/>
    <n v="2294723"/>
    <n v="91"/>
    <x v="6"/>
    <x v="3"/>
  </r>
  <r>
    <x v="1490"/>
    <s v="Ocean Valley 658"/>
    <x v="1"/>
    <s v="L. Brown"/>
    <x v="2"/>
    <d v="2023-11-27T00:00:00"/>
    <x v="13"/>
    <x v="3"/>
    <s v="6 Seasons"/>
    <x v="2"/>
    <n v="6"/>
    <n v="23401500"/>
    <n v="858807"/>
    <n v="59"/>
    <x v="9"/>
    <x v="0"/>
  </r>
  <r>
    <x v="1491"/>
    <s v="Broken Quest 1697"/>
    <x v="2"/>
    <s v="N. Singh"/>
    <x v="6"/>
    <d v="2023-11-30T00:00:00"/>
    <x v="3"/>
    <x v="9"/>
    <s v="6 Seasons"/>
    <x v="4"/>
    <n v="9.6"/>
    <n v="874097"/>
    <n v="1480851"/>
    <n v="90"/>
    <x v="9"/>
    <x v="2"/>
  </r>
  <r>
    <x v="1492"/>
    <s v="Wild Files 959"/>
    <x v="1"/>
    <s v="S. Patel"/>
    <x v="5"/>
    <d v="2023-12-01T00:00:00"/>
    <x v="20"/>
    <x v="0"/>
    <s v="7 Seasons"/>
    <x v="9"/>
    <n v="9.6999999999999993"/>
    <n v="16020166"/>
    <n v="4191868"/>
    <n v="63"/>
    <x v="5"/>
    <x v="2"/>
  </r>
  <r>
    <x v="1493"/>
    <s v="Silent Game 1965"/>
    <x v="0"/>
    <s v="A. Smith"/>
    <x v="3"/>
    <d v="2023-12-04T00:00:00"/>
    <x v="2"/>
    <x v="2"/>
    <s v="140 Min"/>
    <x v="2"/>
    <n v="7.9"/>
    <n v="18140768"/>
    <n v="1660469"/>
    <n v="91"/>
    <x v="0"/>
    <x v="1"/>
  </r>
  <r>
    <x v="1494"/>
    <s v="Silent Dream 1837"/>
    <x v="0"/>
    <s v="A. Smith"/>
    <x v="8"/>
    <d v="2023-12-06T00:00:00"/>
    <x v="1"/>
    <x v="4"/>
    <s v="179 Min"/>
    <x v="8"/>
    <n v="4.5999999999999996"/>
    <n v="6111775"/>
    <n v="1318324"/>
    <n v="100"/>
    <x v="7"/>
    <x v="4"/>
  </r>
  <r>
    <x v="1495"/>
    <s v="Broken Story 844"/>
    <x v="1"/>
    <s v="R. Kumar"/>
    <x v="8"/>
    <d v="2023-12-09T00:00:00"/>
    <x v="0"/>
    <x v="9"/>
    <s v="6 Seasons"/>
    <x v="2"/>
    <n v="8.6"/>
    <n v="7613715"/>
    <n v="1271820"/>
    <n v="51"/>
    <x v="2"/>
    <x v="3"/>
  </r>
  <r>
    <x v="1496"/>
    <s v="Last World 1390"/>
    <x v="0"/>
    <s v="L. Brown"/>
    <x v="7"/>
    <d v="2023-12-10T00:00:00"/>
    <x v="15"/>
    <x v="5"/>
    <s v="153 Min"/>
    <x v="0"/>
    <n v="5.7"/>
    <n v="16761086"/>
    <n v="4942984"/>
    <n v="74"/>
    <x v="9"/>
    <x v="0"/>
  </r>
  <r>
    <x v="1497"/>
    <s v="Ocean Mission 241"/>
    <x v="2"/>
    <s v="Unknown"/>
    <x v="6"/>
    <d v="2023-12-11T00:00:00"/>
    <x v="26"/>
    <x v="3"/>
    <s v="1 Seasons"/>
    <x v="10"/>
    <n v="5.3"/>
    <n v="21850399"/>
    <n v="1531187"/>
    <n v="48"/>
    <x v="6"/>
    <x v="3"/>
  </r>
  <r>
    <x v="1498"/>
    <s v="Echo Valley 866"/>
    <x v="0"/>
    <s v="Unknown"/>
    <x v="6"/>
    <d v="2023-12-12T00:00:00"/>
    <x v="15"/>
    <x v="0"/>
    <s v="124 Min"/>
    <x v="10"/>
    <n v="5.5"/>
    <n v="15521778"/>
    <n v="9948"/>
    <n v="75"/>
    <x v="6"/>
    <x v="3"/>
  </r>
  <r>
    <x v="1499"/>
    <s v="Blue Dream 1083"/>
    <x v="1"/>
    <s v="Unknown"/>
    <x v="6"/>
    <d v="2023-12-12T00:00:00"/>
    <x v="15"/>
    <x v="3"/>
    <s v="5 Seasons"/>
    <x v="0"/>
    <n v="8.5"/>
    <n v="16035831"/>
    <n v="1421540"/>
    <n v="76"/>
    <x v="2"/>
    <x v="3"/>
  </r>
  <r>
    <x v="1500"/>
    <s v="Secret World 978"/>
    <x v="1"/>
    <s v="Unknown"/>
    <x v="1"/>
    <d v="2023-12-25T00:00:00"/>
    <x v="0"/>
    <x v="4"/>
    <s v="8 Seasons"/>
    <x v="1"/>
    <n v="8.1"/>
    <n v="4675336"/>
    <n v="4798108"/>
    <n v="62"/>
    <x v="4"/>
    <x v="0"/>
  </r>
  <r>
    <x v="1501"/>
    <s v="Ocean Legacy 883"/>
    <x v="1"/>
    <s v="A. Smith"/>
    <x v="10"/>
    <d v="2023-12-26T00:00:00"/>
    <x v="26"/>
    <x v="1"/>
    <s v="5 Seasons"/>
    <x v="2"/>
    <n v="8.9"/>
    <n v="7841022"/>
    <n v="3867467"/>
    <n v="77"/>
    <x v="9"/>
    <x v="1"/>
  </r>
  <r>
    <x v="1502"/>
    <s v="Ocean Legacy 597"/>
    <x v="2"/>
    <s v="A. Smith"/>
    <x v="7"/>
    <d v="2023-12-30T00:00:00"/>
    <x v="16"/>
    <x v="4"/>
    <s v="2 Seasons"/>
    <x v="4"/>
    <n v="7"/>
    <n v="1646549"/>
    <n v="1785636"/>
    <n v="74"/>
    <x v="5"/>
    <x v="1"/>
  </r>
  <r>
    <x v="1503"/>
    <s v="Beyond Night 250"/>
    <x v="2"/>
    <s v="P. Johnson"/>
    <x v="4"/>
    <d v="2024-01-01T00:00:00"/>
    <x v="27"/>
    <x v="3"/>
    <s v="5 Seasons"/>
    <x v="3"/>
    <n v="5.3"/>
    <n v="1806071"/>
    <n v="4538794"/>
    <n v="100"/>
    <x v="3"/>
    <x v="4"/>
  </r>
  <r>
    <x v="1504"/>
    <s v="Beyond Night 1347"/>
    <x v="1"/>
    <s v="D. Kim"/>
    <x v="0"/>
    <d v="2024-01-08T00:00:00"/>
    <x v="19"/>
    <x v="0"/>
    <s v="2 Seasons"/>
    <x v="8"/>
    <n v="9.5"/>
    <n v="10256665"/>
    <n v="2854127"/>
    <n v="54"/>
    <x v="6"/>
    <x v="4"/>
  </r>
  <r>
    <x v="1505"/>
    <s v="Silent Code 1542"/>
    <x v="1"/>
    <s v="Unknown"/>
    <x v="9"/>
    <d v="2024-01-08T00:00:00"/>
    <x v="17"/>
    <x v="3"/>
    <s v="8 Seasons"/>
    <x v="5"/>
    <n v="8.3000000000000007"/>
    <n v="876288"/>
    <n v="459509"/>
    <n v="43"/>
    <x v="3"/>
    <x v="4"/>
  </r>
  <r>
    <x v="1506"/>
    <s v="Broken Game 88"/>
    <x v="2"/>
    <s v="L. Brown"/>
    <x v="8"/>
    <d v="2024-01-11T00:00:00"/>
    <x v="8"/>
    <x v="4"/>
    <s v="5 Seasons"/>
    <x v="5"/>
    <n v="5.0999999999999996"/>
    <n v="2752720"/>
    <n v="1310922"/>
    <n v="41"/>
    <x v="9"/>
    <x v="4"/>
  </r>
  <r>
    <x v="1507"/>
    <s v="Hidden Night 1248"/>
    <x v="0"/>
    <s v="P. Johnson"/>
    <x v="0"/>
    <d v="2024-01-17T00:00:00"/>
    <x v="3"/>
    <x v="2"/>
    <s v="91 Min"/>
    <x v="10"/>
    <n v="5.3"/>
    <n v="-855"/>
    <n v="1571839"/>
    <n v="43"/>
    <x v="1"/>
    <x v="2"/>
  </r>
  <r>
    <x v="1508"/>
    <s v="Broken Journey 119"/>
    <x v="0"/>
    <s v="Unknown"/>
    <x v="0"/>
    <d v="2024-01-18T00:00:00"/>
    <x v="9"/>
    <x v="7"/>
    <s v="86 Min"/>
    <x v="1"/>
    <n v="5.4"/>
    <n v="22277074"/>
    <n v="2949000"/>
    <n v="41"/>
    <x v="8"/>
    <x v="1"/>
  </r>
  <r>
    <x v="1509"/>
    <s v="Infinite Edge 1014"/>
    <x v="0"/>
    <s v="Unknown"/>
    <x v="8"/>
    <d v="2024-01-20T00:00:00"/>
    <x v="9"/>
    <x v="0"/>
    <s v="130 Min"/>
    <x v="2"/>
    <n v="6.1"/>
    <n v="761505"/>
    <n v="493039"/>
    <n v="46"/>
    <x v="0"/>
    <x v="4"/>
  </r>
  <r>
    <x v="1510"/>
    <s v="Dark Signal 1307"/>
    <x v="2"/>
    <s v="D. Kim"/>
    <x v="4"/>
    <d v="2024-01-26T00:00:00"/>
    <x v="21"/>
    <x v="4"/>
    <s v="5 Seasons"/>
    <x v="6"/>
    <n v="7"/>
    <n v="2015716"/>
    <n v="1260303"/>
    <n v="60"/>
    <x v="4"/>
    <x v="0"/>
  </r>
  <r>
    <x v="1511"/>
    <s v="Shadow Files 69"/>
    <x v="1"/>
    <s v="P. Johnson"/>
    <x v="10"/>
    <d v="2024-01-29T00:00:00"/>
    <x v="23"/>
    <x v="4"/>
    <s v="5 Seasons"/>
    <x v="8"/>
    <n v="7.6"/>
    <n v="7679355"/>
    <n v="4897945"/>
    <n v="83"/>
    <x v="3"/>
    <x v="2"/>
  </r>
  <r>
    <x v="1512"/>
    <s v="Golden Mission 1490"/>
    <x v="2"/>
    <s v="J. Lee"/>
    <x v="0"/>
    <d v="2024-02-04T00:00:00"/>
    <x v="12"/>
    <x v="3"/>
    <s v="2 Seasons"/>
    <x v="4"/>
    <n v="8"/>
    <n v="20600894"/>
    <n v="2103487"/>
    <n v="95"/>
    <x v="2"/>
    <x v="2"/>
  </r>
  <r>
    <x v="1513"/>
    <s v="Beyond Signal 1582"/>
    <x v="1"/>
    <s v="J. Lee"/>
    <x v="2"/>
    <d v="2024-02-04T00:00:00"/>
    <x v="19"/>
    <x v="1"/>
    <s v="4 Seasons"/>
    <x v="8"/>
    <n v="5.0999999999999996"/>
    <n v="23021480"/>
    <n v="586264"/>
    <n v="60"/>
    <x v="5"/>
    <x v="3"/>
  </r>
  <r>
    <x v="1514"/>
    <s v="Silent Files 1458"/>
    <x v="1"/>
    <s v="L. Brown"/>
    <x v="6"/>
    <d v="2024-02-05T00:00:00"/>
    <x v="16"/>
    <x v="8"/>
    <s v="Unknown"/>
    <x v="3"/>
    <n v="9.1999999999999993"/>
    <n v="-392"/>
    <n v="1978843"/>
    <n v="79"/>
    <x v="3"/>
    <x v="3"/>
  </r>
  <r>
    <x v="1515"/>
    <s v="Hidden Files 584"/>
    <x v="0"/>
    <s v="J. Lee"/>
    <x v="7"/>
    <d v="2024-02-06T00:00:00"/>
    <x v="3"/>
    <x v="3"/>
    <s v="148 Min"/>
    <x v="2"/>
    <n v="6.4"/>
    <n v="6242580"/>
    <n v="4058149"/>
    <n v="63"/>
    <x v="2"/>
    <x v="3"/>
  </r>
  <r>
    <x v="1516"/>
    <s v="Golden Game 1323"/>
    <x v="1"/>
    <s v="R. Kumar"/>
    <x v="1"/>
    <d v="2024-02-09T00:00:00"/>
    <x v="25"/>
    <x v="1"/>
    <s v="Unknown"/>
    <x v="3"/>
    <n v="7.2"/>
    <n v="11725036"/>
    <n v="1181298"/>
    <n v="62"/>
    <x v="5"/>
    <x v="1"/>
  </r>
  <r>
    <x v="1517"/>
    <s v="Infinite Story 218"/>
    <x v="1"/>
    <s v="R. Kumar"/>
    <x v="10"/>
    <d v="2024-02-10T00:00:00"/>
    <x v="19"/>
    <x v="6"/>
    <s v="5 Seasons"/>
    <x v="5"/>
    <n v="7.6"/>
    <n v="23646934"/>
    <n v="3668659"/>
    <n v="91"/>
    <x v="8"/>
    <x v="2"/>
  </r>
  <r>
    <x v="1518"/>
    <s v="Fire Line 1198"/>
    <x v="1"/>
    <s v="P. Johnson"/>
    <x v="3"/>
    <d v="2024-02-10T00:00:00"/>
    <x v="26"/>
    <x v="3"/>
    <s v="6 Seasons"/>
    <x v="1"/>
    <n v="9.6999999999999993"/>
    <n v="2575719"/>
    <n v="54718"/>
    <n v="52"/>
    <x v="3"/>
    <x v="2"/>
  </r>
  <r>
    <x v="1519"/>
    <s v="Fire Truth 967"/>
    <x v="2"/>
    <s v="A. Smith"/>
    <x v="0"/>
    <d v="2024-02-12T00:00:00"/>
    <x v="25"/>
    <x v="6"/>
    <s v="8 Seasons"/>
    <x v="4"/>
    <n v="8"/>
    <n v="9335380"/>
    <n v="4894702"/>
    <n v="66"/>
    <x v="5"/>
    <x v="2"/>
  </r>
  <r>
    <x v="1520"/>
    <s v="Fire Line 1776"/>
    <x v="0"/>
    <s v="R. Kumar"/>
    <x v="3"/>
    <d v="2024-02-14T00:00:00"/>
    <x v="21"/>
    <x v="0"/>
    <s v="140 Min"/>
    <x v="7"/>
    <n v="6.7"/>
    <n v="9567259"/>
    <n v="1769990"/>
    <n v="42"/>
    <x v="4"/>
    <x v="2"/>
  </r>
  <r>
    <x v="1521"/>
    <s v="Dark World 1779"/>
    <x v="2"/>
    <s v="S. Patel"/>
    <x v="5"/>
    <d v="2024-02-16T00:00:00"/>
    <x v="15"/>
    <x v="3"/>
    <s v="2 Seasons"/>
    <x v="2"/>
    <n v="4.5999999999999996"/>
    <n v="18034561"/>
    <n v="439938"/>
    <n v="77"/>
    <x v="1"/>
    <x v="1"/>
  </r>
  <r>
    <x v="1522"/>
    <s v="Echo Files 1911"/>
    <x v="1"/>
    <s v="J. Lee"/>
    <x v="12"/>
    <d v="2024-02-18T00:00:00"/>
    <x v="2"/>
    <x v="5"/>
    <s v="6 Seasons"/>
    <x v="8"/>
    <n v="6.3"/>
    <n v="17328588"/>
    <n v="1307241"/>
    <n v="89"/>
    <x v="4"/>
    <x v="1"/>
  </r>
  <r>
    <x v="1523"/>
    <s v="Fire Night 464"/>
    <x v="1"/>
    <s v="D. Kim"/>
    <x v="0"/>
    <d v="2024-02-19T00:00:00"/>
    <x v="1"/>
    <x v="5"/>
    <s v="1 Seasons"/>
    <x v="3"/>
    <n v="5.3"/>
    <n v="4433305"/>
    <n v="4029494"/>
    <n v="59"/>
    <x v="2"/>
    <x v="4"/>
  </r>
  <r>
    <x v="1524"/>
    <s v="Shadow Valley 893"/>
    <x v="1"/>
    <s v="Unknown"/>
    <x v="12"/>
    <d v="2024-02-19T00:00:00"/>
    <x v="16"/>
    <x v="3"/>
    <s v="4 Seasons"/>
    <x v="5"/>
    <n v="9.1999999999999993"/>
    <n v="386059"/>
    <n v="2182268"/>
    <n v="73"/>
    <x v="1"/>
    <x v="4"/>
  </r>
  <r>
    <x v="1525"/>
    <s v="Infinite Legacy 398"/>
    <x v="0"/>
    <s v="K. Tanaka"/>
    <x v="0"/>
    <d v="2024-02-24T00:00:00"/>
    <x v="8"/>
    <x v="1"/>
    <s v="172 Min"/>
    <x v="6"/>
    <n v="5.9"/>
    <n v="15546268"/>
    <n v="3651619"/>
    <n v="60"/>
    <x v="7"/>
    <x v="3"/>
  </r>
  <r>
    <x v="1526"/>
    <s v="Shadow Valley 1821"/>
    <x v="2"/>
    <s v="Unknown"/>
    <x v="6"/>
    <d v="2024-02-24T00:00:00"/>
    <x v="5"/>
    <x v="3"/>
    <s v="8 Seasons"/>
    <x v="5"/>
    <n v="9.6"/>
    <n v="14035378"/>
    <n v="2291332"/>
    <n v="88"/>
    <x v="9"/>
    <x v="2"/>
  </r>
  <r>
    <x v="1527"/>
    <s v="Broken Zone 1233"/>
    <x v="0"/>
    <s v="N. Singh"/>
    <x v="6"/>
    <d v="2024-02-26T00:00:00"/>
    <x v="26"/>
    <x v="6"/>
    <s v="84 Min"/>
    <x v="3"/>
    <n v="6.9"/>
    <n v="20660402"/>
    <n v="466064"/>
    <n v="98"/>
    <x v="9"/>
    <x v="4"/>
  </r>
  <r>
    <x v="1528"/>
    <s v="Hidden Mission 768"/>
    <x v="0"/>
    <s v="S. Patel"/>
    <x v="8"/>
    <d v="2024-02-27T00:00:00"/>
    <x v="15"/>
    <x v="7"/>
    <s v="121 Min"/>
    <x v="6"/>
    <n v="8.5"/>
    <n v="5474328"/>
    <n v="1003054"/>
    <n v="48"/>
    <x v="5"/>
    <x v="3"/>
  </r>
  <r>
    <x v="1529"/>
    <s v="Silent Legacy 343"/>
    <x v="2"/>
    <s v="D. Kim"/>
    <x v="4"/>
    <d v="2024-02-29T00:00:00"/>
    <x v="7"/>
    <x v="7"/>
    <s v="2 Seasons"/>
    <x v="1"/>
    <n v="5.4"/>
    <n v="4268092"/>
    <n v="2542884"/>
    <n v="75"/>
    <x v="9"/>
    <x v="3"/>
  </r>
  <r>
    <x v="1530"/>
    <s v="Lost Files 873"/>
    <x v="1"/>
    <s v="K. Tanaka"/>
    <x v="9"/>
    <d v="2024-03-03T00:00:00"/>
    <x v="6"/>
    <x v="7"/>
    <s v="5 Seasons"/>
    <x v="6"/>
    <n v="7.2"/>
    <n v="1898437"/>
    <n v="264449"/>
    <n v="44"/>
    <x v="9"/>
    <x v="2"/>
  </r>
  <r>
    <x v="1531"/>
    <s v="Golden Rise 1025"/>
    <x v="1"/>
    <s v="L. Brown"/>
    <x v="9"/>
    <d v="2024-03-04T00:00:00"/>
    <x v="22"/>
    <x v="2"/>
    <s v="3 Seasons"/>
    <x v="2"/>
    <n v="9.6999999999999993"/>
    <n v="10720088"/>
    <n v="1260536"/>
    <n v="88"/>
    <x v="9"/>
    <x v="3"/>
  </r>
  <r>
    <x v="1532"/>
    <s v="Secret Line 353"/>
    <x v="1"/>
    <s v="A. Smith"/>
    <x v="3"/>
    <d v="2024-03-05T00:00:00"/>
    <x v="6"/>
    <x v="2"/>
    <s v="2 Seasons"/>
    <x v="2"/>
    <n v="5.9"/>
    <n v="12109769"/>
    <n v="612424"/>
    <n v="99"/>
    <x v="7"/>
    <x v="3"/>
  </r>
  <r>
    <x v="1533"/>
    <s v="Silent Edge 1030"/>
    <x v="0"/>
    <s v="K. Tanaka"/>
    <x v="7"/>
    <d v="2024-03-08T00:00:00"/>
    <x v="16"/>
    <x v="8"/>
    <s v="99 Min"/>
    <x v="9"/>
    <n v="7.7"/>
    <n v="9644580"/>
    <n v="1138863"/>
    <n v="42"/>
    <x v="0"/>
    <x v="0"/>
  </r>
  <r>
    <x v="1534"/>
    <s v="Future Quest 1297"/>
    <x v="0"/>
    <s v="S. Patel"/>
    <x v="3"/>
    <d v="2024-03-08T00:00:00"/>
    <x v="22"/>
    <x v="9"/>
    <s v="94 Min"/>
    <x v="3"/>
    <n v="11.2"/>
    <n v="-641"/>
    <n v="3260832"/>
    <n v="73"/>
    <x v="0"/>
    <x v="4"/>
  </r>
  <r>
    <x v="1535"/>
    <s v="Golden Code 1358"/>
    <x v="1"/>
    <s v="N. Singh"/>
    <x v="10"/>
    <d v="2024-03-08T00:00:00"/>
    <x v="11"/>
    <x v="5"/>
    <s v="1 Seasons"/>
    <x v="0"/>
    <n v="8.9"/>
    <n v="19465747"/>
    <n v="701159"/>
    <n v="68"/>
    <x v="0"/>
    <x v="0"/>
  </r>
  <r>
    <x v="1536"/>
    <s v="Royal Quest 882"/>
    <x v="0"/>
    <s v="L. Brown"/>
    <x v="5"/>
    <d v="2024-03-09T00:00:00"/>
    <x v="24"/>
    <x v="9"/>
    <s v="173 Min"/>
    <x v="2"/>
    <n v="7.2"/>
    <n v="1810776"/>
    <n v="2846466"/>
    <n v="44"/>
    <x v="1"/>
    <x v="3"/>
  </r>
  <r>
    <x v="1537"/>
    <s v="Wild Night 807"/>
    <x v="2"/>
    <s v="A. Smith"/>
    <x v="2"/>
    <d v="2024-03-10T00:00:00"/>
    <x v="6"/>
    <x v="7"/>
    <s v="6 Seasons"/>
    <x v="0"/>
    <n v="9.6999999999999993"/>
    <n v="22976706"/>
    <n v="600665"/>
    <n v="86"/>
    <x v="8"/>
    <x v="4"/>
  </r>
  <r>
    <x v="1538"/>
    <s v="Shadow Files 834"/>
    <x v="0"/>
    <s v="P. Johnson"/>
    <x v="10"/>
    <d v="2024-03-10T00:00:00"/>
    <x v="16"/>
    <x v="2"/>
    <s v="162 Min"/>
    <x v="0"/>
    <n v="5.0999999999999996"/>
    <n v="20217115"/>
    <n v="1892471"/>
    <n v="48"/>
    <x v="2"/>
    <x v="1"/>
  </r>
  <r>
    <x v="1539"/>
    <s v="Wild Legacy 1327"/>
    <x v="1"/>
    <s v="Unknown"/>
    <x v="3"/>
    <d v="2024-03-18T00:00:00"/>
    <x v="5"/>
    <x v="4"/>
    <s v="2 Seasons"/>
    <x v="10"/>
    <n v="6.2"/>
    <n v="10849592"/>
    <n v="3246144"/>
    <n v="100"/>
    <x v="2"/>
    <x v="4"/>
  </r>
  <r>
    <x v="1540"/>
    <s v="Hidden Empire 1132"/>
    <x v="0"/>
    <s v="S. Patel"/>
    <x v="8"/>
    <d v="2024-03-19T00:00:00"/>
    <x v="14"/>
    <x v="9"/>
    <s v="140 Min"/>
    <x v="8"/>
    <n v="7.8"/>
    <n v="7851198"/>
    <n v="3736322"/>
    <n v="41"/>
    <x v="2"/>
    <x v="1"/>
  </r>
  <r>
    <x v="1541"/>
    <s v="Broken Code 1170"/>
    <x v="0"/>
    <s v="J. Lee"/>
    <x v="10"/>
    <d v="2024-03-23T00:00:00"/>
    <x v="25"/>
    <x v="1"/>
    <s v="112 Min"/>
    <x v="4"/>
    <n v="8.8000000000000007"/>
    <n v="12350615"/>
    <n v="726665"/>
    <n v="96"/>
    <x v="3"/>
    <x v="1"/>
  </r>
  <r>
    <x v="1542"/>
    <s v="Echo Rise 1660"/>
    <x v="1"/>
    <s v="J. Lee"/>
    <x v="9"/>
    <d v="2024-03-29T00:00:00"/>
    <x v="25"/>
    <x v="1"/>
    <s v="2 Seasons"/>
    <x v="6"/>
    <n v="7.1"/>
    <n v="1927002"/>
    <n v="4911121"/>
    <n v="53"/>
    <x v="1"/>
    <x v="3"/>
  </r>
  <r>
    <x v="1543"/>
    <s v="Future Chronicles 1242"/>
    <x v="1"/>
    <s v="M. Garcia"/>
    <x v="4"/>
    <d v="2024-04-01T00:00:00"/>
    <x v="25"/>
    <x v="0"/>
    <s v="1 Seasons"/>
    <x v="3"/>
    <n v="7.5"/>
    <n v="8931608"/>
    <n v="2418122"/>
    <n v="45"/>
    <x v="4"/>
    <x v="4"/>
  </r>
  <r>
    <x v="1544"/>
    <s v="Royal Story 750"/>
    <x v="0"/>
    <s v="A. Smith"/>
    <x v="8"/>
    <d v="2024-04-07T00:00:00"/>
    <x v="13"/>
    <x v="4"/>
    <s v="123 Min"/>
    <x v="10"/>
    <n v="8.3000000000000007"/>
    <n v="2989625"/>
    <n v="795619"/>
    <n v="92"/>
    <x v="0"/>
    <x v="3"/>
  </r>
  <r>
    <x v="1545"/>
    <s v="Infinite Line 73"/>
    <x v="1"/>
    <s v="Unknown"/>
    <x v="4"/>
    <d v="2024-04-08T00:00:00"/>
    <x v="0"/>
    <x v="9"/>
    <s v="6 Seasons"/>
    <x v="0"/>
    <n v="6.4"/>
    <n v="8983276"/>
    <n v="3156362"/>
    <n v="67"/>
    <x v="3"/>
    <x v="0"/>
  </r>
  <r>
    <x v="1546"/>
    <s v="Broken World 1328"/>
    <x v="0"/>
    <s v="S. Patel"/>
    <x v="2"/>
    <d v="2024-04-08T00:00:00"/>
    <x v="13"/>
    <x v="3"/>
    <s v="119 Min"/>
    <x v="0"/>
    <n v="7.5"/>
    <n v="7626176"/>
    <n v="3953273"/>
    <n v="93"/>
    <x v="1"/>
    <x v="4"/>
  </r>
  <r>
    <x v="1547"/>
    <s v="Last Chronicles 286"/>
    <x v="0"/>
    <s v="M. Garcia"/>
    <x v="3"/>
    <d v="2024-04-10T00:00:00"/>
    <x v="1"/>
    <x v="1"/>
    <s v="129 Min"/>
    <x v="2"/>
    <n v="8.1999999999999993"/>
    <n v="7575761"/>
    <n v="1754325"/>
    <n v="60"/>
    <x v="7"/>
    <x v="0"/>
  </r>
  <r>
    <x v="1548"/>
    <s v="Wild Signal 197"/>
    <x v="2"/>
    <s v="D. Kim"/>
    <x v="4"/>
    <d v="2024-04-12T00:00:00"/>
    <x v="8"/>
    <x v="3"/>
    <s v="Unknown"/>
    <x v="0"/>
    <n v="8.5"/>
    <n v="3250527"/>
    <n v="1569145"/>
    <n v="73"/>
    <x v="3"/>
    <x v="3"/>
  </r>
  <r>
    <x v="1549"/>
    <s v="Broken Line 651"/>
    <x v="0"/>
    <s v="L. Brown"/>
    <x v="4"/>
    <d v="2024-04-13T00:00:00"/>
    <x v="7"/>
    <x v="6"/>
    <s v="152 Min"/>
    <x v="0"/>
    <n v="11.2"/>
    <n v="11647087"/>
    <n v="4779282"/>
    <n v="58"/>
    <x v="6"/>
    <x v="2"/>
  </r>
  <r>
    <x v="1550"/>
    <s v="Dark Signal 1382"/>
    <x v="0"/>
    <s v="N. Singh"/>
    <x v="3"/>
    <d v="2024-04-13T00:00:00"/>
    <x v="2"/>
    <x v="6"/>
    <s v="170 Min"/>
    <x v="5"/>
    <n v="9.5"/>
    <n v="-566"/>
    <n v="3817436"/>
    <n v="71"/>
    <x v="6"/>
    <x v="3"/>
  </r>
  <r>
    <x v="1551"/>
    <s v="Shadow Line 1301"/>
    <x v="2"/>
    <s v="Unknown"/>
    <x v="7"/>
    <d v="2024-04-14T00:00:00"/>
    <x v="0"/>
    <x v="5"/>
    <s v="3 Seasons"/>
    <x v="0"/>
    <n v="8.1999999999999993"/>
    <n v="4738406"/>
    <n v="4677847"/>
    <n v="69"/>
    <x v="9"/>
    <x v="1"/>
  </r>
  <r>
    <x v="1552"/>
    <s v="Dark Night 515"/>
    <x v="0"/>
    <s v="Unknown"/>
    <x v="10"/>
    <d v="2024-04-17T00:00:00"/>
    <x v="1"/>
    <x v="9"/>
    <s v="Unknown"/>
    <x v="2"/>
    <n v="8.1"/>
    <n v="10989631"/>
    <n v="1140403"/>
    <n v="74"/>
    <x v="2"/>
    <x v="0"/>
  </r>
  <r>
    <x v="1553"/>
    <s v="Broken Line 1757"/>
    <x v="1"/>
    <s v="L. Brown"/>
    <x v="7"/>
    <d v="2024-04-18T00:00:00"/>
    <x v="17"/>
    <x v="3"/>
    <s v="8 Seasons"/>
    <x v="1"/>
    <n v="8.1"/>
    <n v="1236952"/>
    <n v="4387666"/>
    <n v="58"/>
    <x v="6"/>
    <x v="3"/>
  </r>
  <r>
    <x v="1554"/>
    <s v="Beyond Game 522"/>
    <x v="0"/>
    <s v="N. Singh"/>
    <x v="0"/>
    <d v="2024-04-27T00:00:00"/>
    <x v="19"/>
    <x v="8"/>
    <s v="138 Min"/>
    <x v="3"/>
    <n v="5.5"/>
    <n v="14178833"/>
    <n v="2950936"/>
    <n v="73"/>
    <x v="1"/>
    <x v="2"/>
  </r>
  <r>
    <x v="1555"/>
    <s v="Hidden Empire 985"/>
    <x v="0"/>
    <s v="R. Kumar"/>
    <x v="3"/>
    <d v="2024-04-28T00:00:00"/>
    <x v="19"/>
    <x v="4"/>
    <s v="178 Min"/>
    <x v="10"/>
    <n v="6.2"/>
    <n v="1466811"/>
    <n v="20433"/>
    <n v="73"/>
    <x v="9"/>
    <x v="4"/>
  </r>
  <r>
    <x v="1556"/>
    <s v="Dark Line 180"/>
    <x v="2"/>
    <s v="J. Lee"/>
    <x v="7"/>
    <d v="2024-05-01T00:00:00"/>
    <x v="2"/>
    <x v="8"/>
    <s v="7 Seasons"/>
    <x v="7"/>
    <n v="8"/>
    <n v="12621875"/>
    <n v="4381374"/>
    <n v="43"/>
    <x v="8"/>
    <x v="0"/>
  </r>
  <r>
    <x v="1557"/>
    <s v="Broken Line 1495"/>
    <x v="2"/>
    <s v="Unknown"/>
    <x v="5"/>
    <d v="2024-05-02T00:00:00"/>
    <x v="10"/>
    <x v="9"/>
    <s v="3 Seasons"/>
    <x v="2"/>
    <n v="5.8"/>
    <n v="14810116"/>
    <n v="3703843"/>
    <n v="120"/>
    <x v="6"/>
    <x v="1"/>
  </r>
  <r>
    <x v="1558"/>
    <s v="Silent Files 1551"/>
    <x v="0"/>
    <s v="N. Singh"/>
    <x v="5"/>
    <d v="2024-05-02T00:00:00"/>
    <x v="24"/>
    <x v="2"/>
    <s v="176 Min"/>
    <x v="6"/>
    <n v="7.1"/>
    <n v="937838"/>
    <n v="420605"/>
    <n v="67"/>
    <x v="3"/>
    <x v="1"/>
  </r>
  <r>
    <x v="1559"/>
    <s v="Broken Signal 131"/>
    <x v="0"/>
    <s v="Unknown"/>
    <x v="8"/>
    <d v="2024-05-03T00:00:00"/>
    <x v="1"/>
    <x v="3"/>
    <s v="88 Min"/>
    <x v="7"/>
    <n v="5.5"/>
    <n v="18401649"/>
    <n v="942804"/>
    <n v="93"/>
    <x v="4"/>
    <x v="2"/>
  </r>
  <r>
    <x v="1560"/>
    <s v="Last Story 1371"/>
    <x v="0"/>
    <s v="K. Tanaka"/>
    <x v="3"/>
    <d v="2024-05-05T00:00:00"/>
    <x v="1"/>
    <x v="9"/>
    <s v="103 Min"/>
    <x v="4"/>
    <n v="7.5"/>
    <n v="24409460"/>
    <n v="2620029"/>
    <n v="73"/>
    <x v="0"/>
    <x v="4"/>
  </r>
  <r>
    <x v="1561"/>
    <s v="Ocean Story 1596"/>
    <x v="0"/>
    <s v="D. Kim"/>
    <x v="10"/>
    <d v="2024-05-07T00:00:00"/>
    <x v="5"/>
    <x v="6"/>
    <s v="94 Min"/>
    <x v="6"/>
    <n v="8.6"/>
    <n v="6810333"/>
    <n v="742314"/>
    <n v="91"/>
    <x v="7"/>
    <x v="2"/>
  </r>
  <r>
    <x v="1562"/>
    <s v="Lost Truth 1977"/>
    <x v="0"/>
    <s v="N. Singh"/>
    <x v="12"/>
    <d v="2024-05-07T00:00:00"/>
    <x v="19"/>
    <x v="8"/>
    <s v="164 Min"/>
    <x v="4"/>
    <n v="5.2"/>
    <n v="24155870"/>
    <n v="4358575"/>
    <n v="93"/>
    <x v="5"/>
    <x v="0"/>
  </r>
  <r>
    <x v="1563"/>
    <s v="Ocean Legacy 1913"/>
    <x v="0"/>
    <s v="L. Brown"/>
    <x v="3"/>
    <d v="2024-05-12T00:00:00"/>
    <x v="6"/>
    <x v="8"/>
    <s v="73 Min"/>
    <x v="3"/>
    <n v="5.6"/>
    <n v="17917900"/>
    <n v="404280"/>
    <n v="81"/>
    <x v="0"/>
    <x v="4"/>
  </r>
  <r>
    <x v="1564"/>
    <s v="Fire World 56"/>
    <x v="1"/>
    <s v="S. Patel"/>
    <x v="8"/>
    <d v="2024-05-14T00:00:00"/>
    <x v="4"/>
    <x v="0"/>
    <s v="3 Seasons"/>
    <x v="9"/>
    <n v="4.5999999999999996"/>
    <n v="-364"/>
    <n v="2548945"/>
    <n v="62"/>
    <x v="5"/>
    <x v="1"/>
  </r>
  <r>
    <x v="1565"/>
    <s v="Beyond World 722"/>
    <x v="0"/>
    <s v="N. Singh"/>
    <x v="10"/>
    <d v="2024-05-14T00:00:00"/>
    <x v="2"/>
    <x v="4"/>
    <s v="107 Min"/>
    <x v="0"/>
    <n v="8.5"/>
    <n v="1767534"/>
    <n v="3766005"/>
    <n v="94"/>
    <x v="4"/>
    <x v="1"/>
  </r>
  <r>
    <x v="1566"/>
    <s v="Wild Rise 1745"/>
    <x v="0"/>
    <s v="P. Johnson"/>
    <x v="10"/>
    <d v="2024-05-14T00:00:00"/>
    <x v="12"/>
    <x v="3"/>
    <s v="92 Min"/>
    <x v="10"/>
    <n v="8.8000000000000007"/>
    <n v="21585753"/>
    <n v="826098"/>
    <n v="100"/>
    <x v="2"/>
    <x v="2"/>
  </r>
  <r>
    <x v="1567"/>
    <s v="Beyond World 921"/>
    <x v="1"/>
    <s v="S. Patel"/>
    <x v="7"/>
    <d v="2024-05-16T00:00:00"/>
    <x v="10"/>
    <x v="1"/>
    <s v="8 Seasons"/>
    <x v="3"/>
    <n v="6.7"/>
    <n v="10422599"/>
    <n v="811998"/>
    <n v="52"/>
    <x v="1"/>
    <x v="2"/>
  </r>
  <r>
    <x v="1568"/>
    <s v="Beyond Mission 1717"/>
    <x v="1"/>
    <s v="A. Smith"/>
    <x v="3"/>
    <d v="2024-05-18T00:00:00"/>
    <x v="22"/>
    <x v="7"/>
    <s v="3 Seasons"/>
    <x v="3"/>
    <n v="5"/>
    <n v="-297"/>
    <n v="2736562"/>
    <n v="81"/>
    <x v="2"/>
    <x v="1"/>
  </r>
  <r>
    <x v="1569"/>
    <s v="Last Signal 1731"/>
    <x v="0"/>
    <s v="R. Kumar"/>
    <x v="5"/>
    <d v="2024-05-26T00:00:00"/>
    <x v="1"/>
    <x v="5"/>
    <s v="139 Min"/>
    <x v="9"/>
    <n v="5.7"/>
    <n v="1732242"/>
    <n v="1916173"/>
    <n v="89"/>
    <x v="0"/>
    <x v="3"/>
  </r>
  <r>
    <x v="1570"/>
    <s v="Broken Night 1580"/>
    <x v="0"/>
    <s v="K. Tanaka"/>
    <x v="8"/>
    <d v="2024-05-29T00:00:00"/>
    <x v="6"/>
    <x v="3"/>
    <s v="101 Min"/>
    <x v="2"/>
    <n v="4.9000000000000004"/>
    <n v="7513190"/>
    <n v="2619662"/>
    <n v="44"/>
    <x v="2"/>
    <x v="4"/>
  </r>
  <r>
    <x v="1571"/>
    <s v="Secret Truth 296"/>
    <x v="2"/>
    <s v="J. Lee"/>
    <x v="9"/>
    <d v="2024-05-30T00:00:00"/>
    <x v="25"/>
    <x v="5"/>
    <s v="2 Seasons"/>
    <x v="8"/>
    <n v="8"/>
    <n v="21827583"/>
    <n v="2398229"/>
    <n v="76"/>
    <x v="7"/>
    <x v="3"/>
  </r>
  <r>
    <x v="1572"/>
    <s v="Golden Rise 330"/>
    <x v="0"/>
    <s v="J. Lee"/>
    <x v="1"/>
    <d v="2024-06-02T00:00:00"/>
    <x v="13"/>
    <x v="4"/>
    <s v="121 Min"/>
    <x v="3"/>
    <n v="5"/>
    <n v="17957175"/>
    <n v="4301123"/>
    <n v="73"/>
    <x v="2"/>
    <x v="1"/>
  </r>
  <r>
    <x v="1573"/>
    <s v="Blue Legacy 1405"/>
    <x v="0"/>
    <s v="S. Patel"/>
    <x v="0"/>
    <d v="2024-06-03T00:00:00"/>
    <x v="10"/>
    <x v="6"/>
    <s v="118 Min"/>
    <x v="8"/>
    <n v="6.2"/>
    <n v="18569547"/>
    <n v="2397054"/>
    <n v="76"/>
    <x v="5"/>
    <x v="2"/>
  </r>
  <r>
    <x v="1574"/>
    <s v="Beyond World 876"/>
    <x v="2"/>
    <s v="Unknown"/>
    <x v="0"/>
    <d v="2024-06-04T00:00:00"/>
    <x v="24"/>
    <x v="0"/>
    <s v="5 Seasons"/>
    <x v="6"/>
    <n v="7.7"/>
    <n v="13715409"/>
    <n v="1749031"/>
    <n v="77"/>
    <x v="2"/>
    <x v="0"/>
  </r>
  <r>
    <x v="1575"/>
    <s v="Royal Night 1912"/>
    <x v="0"/>
    <s v="Unknown"/>
    <x v="11"/>
    <d v="2024-06-04T00:00:00"/>
    <x v="6"/>
    <x v="1"/>
    <s v="141 Min"/>
    <x v="3"/>
    <n v="9.3000000000000007"/>
    <n v="5410431"/>
    <n v="4505425"/>
    <n v="82"/>
    <x v="2"/>
    <x v="4"/>
  </r>
  <r>
    <x v="1576"/>
    <s v="Hidden Valley 129"/>
    <x v="1"/>
    <s v="S. Patel"/>
    <x v="5"/>
    <d v="2024-06-12T00:00:00"/>
    <x v="13"/>
    <x v="3"/>
    <s v="Unknown"/>
    <x v="1"/>
    <n v="5.4"/>
    <n v="14879834"/>
    <n v="4726918"/>
    <n v="76"/>
    <x v="2"/>
    <x v="0"/>
  </r>
  <r>
    <x v="1577"/>
    <s v="Secret Quest 830"/>
    <x v="1"/>
    <s v="D. Kim"/>
    <x v="1"/>
    <d v="2024-06-14T00:00:00"/>
    <x v="24"/>
    <x v="0"/>
    <s v="4 Seasons"/>
    <x v="3"/>
    <n v="11.2"/>
    <n v="2525404"/>
    <n v="3762811"/>
    <n v="47"/>
    <x v="8"/>
    <x v="4"/>
  </r>
  <r>
    <x v="1578"/>
    <s v="Fire Valley 1254"/>
    <x v="2"/>
    <s v="Unknown"/>
    <x v="9"/>
    <d v="2024-06-15T00:00:00"/>
    <x v="12"/>
    <x v="6"/>
    <s v="2 Seasons"/>
    <x v="4"/>
    <n v="7.7"/>
    <n v="14757395"/>
    <n v="1320038"/>
    <n v="89"/>
    <x v="8"/>
    <x v="4"/>
  </r>
  <r>
    <x v="1579"/>
    <s v="Infinite Quest 1411"/>
    <x v="0"/>
    <s v="P. Johnson"/>
    <x v="1"/>
    <d v="2024-06-15T00:00:00"/>
    <x v="17"/>
    <x v="8"/>
    <s v="180 Min"/>
    <x v="8"/>
    <n v="8.3000000000000007"/>
    <n v="14721408"/>
    <n v="1317914"/>
    <n v="97"/>
    <x v="0"/>
    <x v="4"/>
  </r>
  <r>
    <x v="1580"/>
    <s v="Royal Valley 1517"/>
    <x v="0"/>
    <s v="R. Kumar"/>
    <x v="8"/>
    <d v="2024-06-16T00:00:00"/>
    <x v="12"/>
    <x v="4"/>
    <s v="159 Min"/>
    <x v="0"/>
    <n v="9.3000000000000007"/>
    <n v="6011024"/>
    <n v="4410717"/>
    <n v="120"/>
    <x v="2"/>
    <x v="4"/>
  </r>
  <r>
    <x v="1581"/>
    <s v="Dark Dream 1346"/>
    <x v="0"/>
    <s v="K. Tanaka"/>
    <x v="1"/>
    <d v="2024-06-30T00:00:00"/>
    <x v="5"/>
    <x v="3"/>
    <s v="87 Min"/>
    <x v="9"/>
    <n v="8.6999999999999993"/>
    <n v="12565231"/>
    <n v="513129"/>
    <n v="41"/>
    <x v="9"/>
    <x v="3"/>
  </r>
  <r>
    <x v="1582"/>
    <s v="Urban Legacy 1552"/>
    <x v="1"/>
    <s v="J. Lee"/>
    <x v="0"/>
    <d v="2024-07-09T00:00:00"/>
    <x v="19"/>
    <x v="2"/>
    <s v="5 Seasons"/>
    <x v="1"/>
    <n v="8.4"/>
    <n v="6019782"/>
    <n v="2945333"/>
    <n v="66"/>
    <x v="9"/>
    <x v="3"/>
  </r>
  <r>
    <x v="1583"/>
    <s v="Beyond Chronicles 612"/>
    <x v="1"/>
    <s v="R. Kumar"/>
    <x v="9"/>
    <d v="2024-07-12T00:00:00"/>
    <x v="26"/>
    <x v="1"/>
    <s v="6 Seasons"/>
    <x v="5"/>
    <n v="5.5"/>
    <n v="19638211"/>
    <n v="98107"/>
    <n v="57"/>
    <x v="1"/>
    <x v="4"/>
  </r>
  <r>
    <x v="1584"/>
    <s v="Royal Quest 572"/>
    <x v="0"/>
    <s v="K. Tanaka"/>
    <x v="8"/>
    <d v="2024-07-13T00:00:00"/>
    <x v="0"/>
    <x v="3"/>
    <s v="131 Min"/>
    <x v="7"/>
    <n v="7.7"/>
    <n v="24645271"/>
    <n v="2541604"/>
    <n v="89"/>
    <x v="3"/>
    <x v="2"/>
  </r>
  <r>
    <x v="1585"/>
    <s v="Beyond Truth 240"/>
    <x v="1"/>
    <s v="K. Tanaka"/>
    <x v="5"/>
    <d v="2024-07-14T00:00:00"/>
    <x v="27"/>
    <x v="5"/>
    <s v="2 Seasons"/>
    <x v="5"/>
    <n v="7.5"/>
    <n v="-870"/>
    <n v="4000701"/>
    <n v="80"/>
    <x v="7"/>
    <x v="0"/>
  </r>
  <r>
    <x v="1586"/>
    <s v="Dark Dream 496"/>
    <x v="0"/>
    <s v="P. Johnson"/>
    <x v="4"/>
    <d v="2024-07-17T00:00:00"/>
    <x v="13"/>
    <x v="9"/>
    <s v="76 Min"/>
    <x v="10"/>
    <n v="7"/>
    <n v="22581731"/>
    <n v="701346"/>
    <n v="81"/>
    <x v="6"/>
    <x v="2"/>
  </r>
  <r>
    <x v="1587"/>
    <s v="Ocean Edge 51"/>
    <x v="0"/>
    <s v="K. Tanaka"/>
    <x v="12"/>
    <d v="2024-07-19T00:00:00"/>
    <x v="20"/>
    <x v="3"/>
    <s v="153 Min"/>
    <x v="1"/>
    <n v="7.8"/>
    <n v="7903711"/>
    <n v="3749188"/>
    <n v="89"/>
    <x v="8"/>
    <x v="1"/>
  </r>
  <r>
    <x v="1588"/>
    <s v="Silent Edge 1182"/>
    <x v="0"/>
    <s v="S. Patel"/>
    <x v="2"/>
    <d v="2024-07-20T00:00:00"/>
    <x v="17"/>
    <x v="1"/>
    <s v="102 Min"/>
    <x v="7"/>
    <n v="5.7"/>
    <n v="2853762"/>
    <n v="864685"/>
    <n v="73"/>
    <x v="5"/>
    <x v="2"/>
  </r>
  <r>
    <x v="1589"/>
    <s v="Hidden World 1123"/>
    <x v="0"/>
    <s v="Unknown"/>
    <x v="4"/>
    <d v="2024-07-21T00:00:00"/>
    <x v="11"/>
    <x v="7"/>
    <s v="135 Min"/>
    <x v="1"/>
    <n v="4.8"/>
    <n v="4596049"/>
    <n v="1324545"/>
    <n v="99"/>
    <x v="1"/>
    <x v="3"/>
  </r>
  <r>
    <x v="1590"/>
    <s v="Silent Empire 1361"/>
    <x v="2"/>
    <s v="R. Kumar"/>
    <x v="7"/>
    <d v="2024-07-22T00:00:00"/>
    <x v="22"/>
    <x v="8"/>
    <s v="7 Seasons"/>
    <x v="0"/>
    <n v="6.9"/>
    <n v="9786742"/>
    <n v="1679958"/>
    <n v="43"/>
    <x v="7"/>
    <x v="3"/>
  </r>
  <r>
    <x v="1591"/>
    <s v="Urban Legacy 835"/>
    <x v="2"/>
    <s v="D. Kim"/>
    <x v="1"/>
    <d v="2024-07-23T00:00:00"/>
    <x v="4"/>
    <x v="5"/>
    <s v="1 Seasons"/>
    <x v="8"/>
    <n v="6.2"/>
    <n v="8460383"/>
    <n v="1034931"/>
    <n v="91"/>
    <x v="6"/>
    <x v="2"/>
  </r>
  <r>
    <x v="1592"/>
    <s v="Dark Rise 951"/>
    <x v="1"/>
    <s v="M. Garcia"/>
    <x v="12"/>
    <d v="2024-07-23T00:00:00"/>
    <x v="18"/>
    <x v="0"/>
    <s v="2 Seasons"/>
    <x v="2"/>
    <n v="7.6"/>
    <n v="10049702"/>
    <n v="53803"/>
    <n v="90"/>
    <x v="4"/>
    <x v="2"/>
  </r>
  <r>
    <x v="1593"/>
    <s v="Hidden Journey 919"/>
    <x v="1"/>
    <s v="R. Kumar"/>
    <x v="10"/>
    <d v="2024-07-25T00:00:00"/>
    <x v="16"/>
    <x v="7"/>
    <s v="5 Seasons"/>
    <x v="9"/>
    <n v="7.4"/>
    <n v="21626012"/>
    <n v="232716"/>
    <n v="120"/>
    <x v="4"/>
    <x v="1"/>
  </r>
  <r>
    <x v="1594"/>
    <s v="Golden Game 897"/>
    <x v="0"/>
    <s v="D. Kim"/>
    <x v="2"/>
    <d v="2024-07-26T00:00:00"/>
    <x v="0"/>
    <x v="2"/>
    <s v="106 Min"/>
    <x v="8"/>
    <n v="6.6"/>
    <n v="10142541"/>
    <n v="4119115"/>
    <n v="89"/>
    <x v="1"/>
    <x v="1"/>
  </r>
  <r>
    <x v="1595"/>
    <s v="Broken Legacy 1838"/>
    <x v="1"/>
    <s v="R. Kumar"/>
    <x v="9"/>
    <d v="2024-07-31T00:00:00"/>
    <x v="25"/>
    <x v="7"/>
    <s v="6 Seasons"/>
    <x v="6"/>
    <n v="6.6"/>
    <n v="18342175"/>
    <n v="106700"/>
    <n v="44"/>
    <x v="3"/>
    <x v="2"/>
  </r>
  <r>
    <x v="1596"/>
    <s v="Infinite Journey 489"/>
    <x v="0"/>
    <s v="Unknown"/>
    <x v="0"/>
    <d v="2024-08-03T00:00:00"/>
    <x v="13"/>
    <x v="8"/>
    <s v="137 Min"/>
    <x v="7"/>
    <n v="6.8"/>
    <n v="1040860"/>
    <n v="1903981"/>
    <n v="120"/>
    <x v="7"/>
    <x v="0"/>
  </r>
  <r>
    <x v="1597"/>
    <s v="Wild Rise 509"/>
    <x v="0"/>
    <s v="L. Brown"/>
    <x v="3"/>
    <d v="2024-08-04T00:00:00"/>
    <x v="7"/>
    <x v="4"/>
    <s v="180 Min"/>
    <x v="8"/>
    <n v="8.1999999999999993"/>
    <n v="13996877"/>
    <n v="1937156"/>
    <n v="54"/>
    <x v="3"/>
    <x v="0"/>
  </r>
  <r>
    <x v="1598"/>
    <s v="Golden Edge 156"/>
    <x v="2"/>
    <s v="L. Brown"/>
    <x v="0"/>
    <d v="2024-08-07T00:00:00"/>
    <x v="8"/>
    <x v="2"/>
    <s v="1 Seasons"/>
    <x v="10"/>
    <n v="8.8000000000000007"/>
    <n v="15203616"/>
    <n v="739199"/>
    <n v="58"/>
    <x v="8"/>
    <x v="2"/>
  </r>
  <r>
    <x v="1599"/>
    <s v="Broken Zone 141"/>
    <x v="0"/>
    <s v="L. Brown"/>
    <x v="9"/>
    <d v="2024-08-09T00:00:00"/>
    <x v="13"/>
    <x v="3"/>
    <s v="144 Min"/>
    <x v="1"/>
    <n v="5.9"/>
    <n v="5531889"/>
    <n v="2249575"/>
    <n v="41"/>
    <x v="2"/>
    <x v="2"/>
  </r>
  <r>
    <x v="1600"/>
    <s v="Crimson Line 475"/>
    <x v="1"/>
    <s v="M. Garcia"/>
    <x v="7"/>
    <d v="2024-08-09T00:00:00"/>
    <x v="17"/>
    <x v="3"/>
    <s v="7 Seasons"/>
    <x v="10"/>
    <n v="6.2"/>
    <n v="22313550"/>
    <n v="2516988"/>
    <n v="81"/>
    <x v="3"/>
    <x v="4"/>
  </r>
  <r>
    <x v="1601"/>
    <s v="Broken Night 1774"/>
    <x v="2"/>
    <s v="D. Kim"/>
    <x v="1"/>
    <d v="2024-08-11T00:00:00"/>
    <x v="3"/>
    <x v="3"/>
    <s v="4 Seasons"/>
    <x v="6"/>
    <n v="9.1999999999999993"/>
    <n v="12820366"/>
    <n v="3259193"/>
    <n v="85"/>
    <x v="1"/>
    <x v="4"/>
  </r>
  <r>
    <x v="1602"/>
    <s v="Blue Dream 1998"/>
    <x v="2"/>
    <s v="Unknown"/>
    <x v="6"/>
    <d v="2024-08-13T00:00:00"/>
    <x v="4"/>
    <x v="3"/>
    <s v="2 Seasons"/>
    <x v="6"/>
    <n v="4.8"/>
    <n v="21581419"/>
    <n v="3941895"/>
    <n v="69"/>
    <x v="2"/>
    <x v="2"/>
  </r>
  <r>
    <x v="1603"/>
    <s v="Future Story 1494"/>
    <x v="0"/>
    <s v="L. Brown"/>
    <x v="9"/>
    <d v="2024-08-14T00:00:00"/>
    <x v="25"/>
    <x v="8"/>
    <s v="111 Min"/>
    <x v="3"/>
    <n v="7"/>
    <n v="18483932"/>
    <n v="4854350"/>
    <n v="73"/>
    <x v="3"/>
    <x v="3"/>
  </r>
  <r>
    <x v="1604"/>
    <s v="Silent Edge 493"/>
    <x v="2"/>
    <s v="Unknown"/>
    <x v="4"/>
    <d v="2024-08-17T00:00:00"/>
    <x v="21"/>
    <x v="8"/>
    <s v="6 Seasons"/>
    <x v="1"/>
    <n v="6.3"/>
    <n v="23279895"/>
    <n v="1868863"/>
    <n v="76"/>
    <x v="7"/>
    <x v="3"/>
  </r>
  <r>
    <x v="1605"/>
    <s v="Fire Mission 1480"/>
    <x v="2"/>
    <s v="Unknown"/>
    <x v="6"/>
    <d v="2024-08-21T00:00:00"/>
    <x v="9"/>
    <x v="3"/>
    <s v="2 Seasons"/>
    <x v="1"/>
    <n v="7.8"/>
    <n v="2937679"/>
    <n v="3516345"/>
    <n v="88"/>
    <x v="4"/>
    <x v="3"/>
  </r>
  <r>
    <x v="1606"/>
    <s v="Infinite Mission 109"/>
    <x v="0"/>
    <s v="K. Tanaka"/>
    <x v="1"/>
    <d v="2024-08-24T00:00:00"/>
    <x v="20"/>
    <x v="1"/>
    <s v="149 Min"/>
    <x v="10"/>
    <n v="4.5999999999999996"/>
    <n v="7703083"/>
    <n v="831189"/>
    <n v="72"/>
    <x v="7"/>
    <x v="3"/>
  </r>
  <r>
    <x v="1607"/>
    <s v="Crimson Night 626"/>
    <x v="1"/>
    <s v="J. Lee"/>
    <x v="7"/>
    <d v="2024-08-24T00:00:00"/>
    <x v="12"/>
    <x v="3"/>
    <s v="7 Seasons"/>
    <x v="3"/>
    <n v="4.7"/>
    <n v="4413880"/>
    <n v="3987687"/>
    <n v="80"/>
    <x v="1"/>
    <x v="3"/>
  </r>
  <r>
    <x v="1608"/>
    <s v="Urban Empire 1160"/>
    <x v="0"/>
    <s v="K. Tanaka"/>
    <x v="0"/>
    <d v="2024-08-25T00:00:00"/>
    <x v="4"/>
    <x v="2"/>
    <s v="164 Min"/>
    <x v="8"/>
    <n v="6.8"/>
    <n v="10999525"/>
    <n v="4915831"/>
    <n v="82"/>
    <x v="2"/>
    <x v="4"/>
  </r>
  <r>
    <x v="1609"/>
    <s v="Ocean Quest 1975"/>
    <x v="1"/>
    <s v="L. Brown"/>
    <x v="5"/>
    <d v="2024-08-25T00:00:00"/>
    <x v="9"/>
    <x v="0"/>
    <s v="7 Seasons"/>
    <x v="5"/>
    <n v="5.9"/>
    <n v="14140176"/>
    <n v="4651395"/>
    <n v="80"/>
    <x v="8"/>
    <x v="2"/>
  </r>
  <r>
    <x v="1610"/>
    <s v="Infinite Night 1881"/>
    <x v="0"/>
    <s v="K. Tanaka"/>
    <x v="5"/>
    <d v="2024-08-28T00:00:00"/>
    <x v="12"/>
    <x v="2"/>
    <s v="99 Min"/>
    <x v="4"/>
    <n v="8.9"/>
    <n v="22308640"/>
    <n v="1830631"/>
    <n v="72"/>
    <x v="8"/>
    <x v="0"/>
  </r>
  <r>
    <x v="1611"/>
    <s v="Golden Mission 81"/>
    <x v="0"/>
    <s v="K. Tanaka"/>
    <x v="10"/>
    <d v="2024-08-29T00:00:00"/>
    <x v="26"/>
    <x v="1"/>
    <s v="93 Min"/>
    <x v="6"/>
    <n v="5.0999999999999996"/>
    <n v="19314580"/>
    <n v="3395437"/>
    <n v="40"/>
    <x v="7"/>
    <x v="3"/>
  </r>
  <r>
    <x v="1612"/>
    <s v="Royal Valley 1001"/>
    <x v="2"/>
    <s v="D. Kim"/>
    <x v="6"/>
    <d v="2024-08-31T00:00:00"/>
    <x v="17"/>
    <x v="5"/>
    <s v="8 Seasons"/>
    <x v="9"/>
    <n v="4.8"/>
    <n v="18765432"/>
    <n v="301175"/>
    <n v="49"/>
    <x v="9"/>
    <x v="3"/>
  </r>
  <r>
    <x v="1613"/>
    <s v="Lost Zone 1316"/>
    <x v="0"/>
    <s v="N. Singh"/>
    <x v="6"/>
    <d v="2024-08-31T00:00:00"/>
    <x v="11"/>
    <x v="8"/>
    <s v="96 Min"/>
    <x v="5"/>
    <n v="6.1"/>
    <n v="24735832"/>
    <n v="2230857"/>
    <n v="70"/>
    <x v="8"/>
    <x v="2"/>
  </r>
  <r>
    <x v="1614"/>
    <s v="Secret Chronicles 1824"/>
    <x v="0"/>
    <s v="R. Kumar"/>
    <x v="7"/>
    <d v="2024-09-07T00:00:00"/>
    <x v="2"/>
    <x v="3"/>
    <s v="125 Min"/>
    <x v="5"/>
    <n v="7.1"/>
    <n v="20447779"/>
    <n v="674899"/>
    <n v="72"/>
    <x v="8"/>
    <x v="1"/>
  </r>
  <r>
    <x v="1615"/>
    <s v="Broken Story 495"/>
    <x v="1"/>
    <s v="P. Johnson"/>
    <x v="0"/>
    <d v="2024-09-13T00:00:00"/>
    <x v="20"/>
    <x v="2"/>
    <s v="1 Seasons"/>
    <x v="8"/>
    <n v="5.0999999999999996"/>
    <n v="-856"/>
    <n v="4001447"/>
    <n v="68"/>
    <x v="4"/>
    <x v="2"/>
  </r>
  <r>
    <x v="1616"/>
    <s v="Fire Rise 1511"/>
    <x v="1"/>
    <s v="S. Patel"/>
    <x v="10"/>
    <d v="2024-09-16T00:00:00"/>
    <x v="23"/>
    <x v="9"/>
    <s v="7 Seasons"/>
    <x v="5"/>
    <n v="9.1"/>
    <n v="4248061"/>
    <n v="1244197"/>
    <n v="120"/>
    <x v="7"/>
    <x v="0"/>
  </r>
  <r>
    <x v="1617"/>
    <s v="Lost Truth 519"/>
    <x v="0"/>
    <s v="J. Lee"/>
    <x v="7"/>
    <d v="2024-09-18T00:00:00"/>
    <x v="5"/>
    <x v="9"/>
    <s v="103 Min"/>
    <x v="5"/>
    <n v="9.6"/>
    <n v="14783449"/>
    <n v="4370763"/>
    <n v="98"/>
    <x v="4"/>
    <x v="4"/>
  </r>
  <r>
    <x v="1618"/>
    <s v="Crimson Truth 673"/>
    <x v="0"/>
    <s v="Unknown"/>
    <x v="11"/>
    <d v="2024-09-19T00:00:00"/>
    <x v="7"/>
    <x v="5"/>
    <s v="100 Min"/>
    <x v="0"/>
    <n v="9.8000000000000007"/>
    <n v="23509534"/>
    <n v="3209453"/>
    <n v="91"/>
    <x v="1"/>
    <x v="4"/>
  </r>
  <r>
    <x v="1619"/>
    <s v="Dark World 1523"/>
    <x v="2"/>
    <s v="Unknown"/>
    <x v="1"/>
    <d v="2024-09-20T00:00:00"/>
    <x v="22"/>
    <x v="9"/>
    <s v="5 Seasons"/>
    <x v="7"/>
    <n v="7.4"/>
    <n v="293227"/>
    <n v="4630386"/>
    <n v="85"/>
    <x v="3"/>
    <x v="0"/>
  </r>
  <r>
    <x v="1620"/>
    <s v="Broken Chronicles 1414"/>
    <x v="1"/>
    <s v="P. Johnson"/>
    <x v="1"/>
    <d v="2024-09-23T00:00:00"/>
    <x v="27"/>
    <x v="3"/>
    <s v="3 Seasons"/>
    <x v="3"/>
    <n v="8.5"/>
    <n v="14546215"/>
    <n v="4230667"/>
    <n v="40"/>
    <x v="0"/>
    <x v="2"/>
  </r>
  <r>
    <x v="1621"/>
    <s v="Blue Edge 1758"/>
    <x v="0"/>
    <s v="R. Kumar"/>
    <x v="7"/>
    <d v="2024-09-23T00:00:00"/>
    <x v="4"/>
    <x v="1"/>
    <s v="159 Min"/>
    <x v="7"/>
    <n v="9.1"/>
    <n v="15646452"/>
    <n v="776227"/>
    <n v="71"/>
    <x v="2"/>
    <x v="0"/>
  </r>
  <r>
    <x v="1622"/>
    <s v="Infinite Story 1510"/>
    <x v="2"/>
    <s v="Unknown"/>
    <x v="0"/>
    <d v="2024-09-24T00:00:00"/>
    <x v="24"/>
    <x v="7"/>
    <s v="4 Seasons"/>
    <x v="1"/>
    <n v="4.9000000000000004"/>
    <n v="21030363"/>
    <n v="1748875"/>
    <n v="70"/>
    <x v="2"/>
    <x v="4"/>
  </r>
  <r>
    <x v="1623"/>
    <s v="Golden Code 1358"/>
    <x v="1"/>
    <s v="A. Smith"/>
    <x v="6"/>
    <d v="2024-09-26T00:00:00"/>
    <x v="17"/>
    <x v="3"/>
    <s v="3 Seasons"/>
    <x v="3"/>
    <n v="4.8"/>
    <n v="2210508"/>
    <n v="1647584"/>
    <n v="81"/>
    <x v="2"/>
    <x v="2"/>
  </r>
  <r>
    <x v="1624"/>
    <s v="Last Night 1079"/>
    <x v="0"/>
    <s v="S. Patel"/>
    <x v="3"/>
    <d v="2024-09-27T00:00:00"/>
    <x v="24"/>
    <x v="3"/>
    <s v="153 Min"/>
    <x v="4"/>
    <n v="5.7"/>
    <n v="20649081"/>
    <n v="2009632"/>
    <n v="88"/>
    <x v="2"/>
    <x v="3"/>
  </r>
  <r>
    <x v="1625"/>
    <s v="Wild Quest 1587"/>
    <x v="0"/>
    <s v="R. Kumar"/>
    <x v="7"/>
    <d v="2024-09-29T00:00:00"/>
    <x v="3"/>
    <x v="2"/>
    <s v="155 Min"/>
    <x v="4"/>
    <n v="5.4"/>
    <n v="9705062"/>
    <n v="2531199"/>
    <n v="45"/>
    <x v="6"/>
    <x v="3"/>
  </r>
  <r>
    <x v="1626"/>
    <s v="Crimson Empire 1383"/>
    <x v="1"/>
    <s v="S. Patel"/>
    <x v="9"/>
    <d v="2024-10-03T00:00:00"/>
    <x v="11"/>
    <x v="3"/>
    <s v="5 Seasons"/>
    <x v="5"/>
    <n v="7.6"/>
    <n v="20719524"/>
    <n v="1794420"/>
    <n v="93"/>
    <x v="4"/>
    <x v="0"/>
  </r>
  <r>
    <x v="1627"/>
    <s v="Secret Quest 1579"/>
    <x v="0"/>
    <s v="S. Patel"/>
    <x v="0"/>
    <d v="2024-10-07T00:00:00"/>
    <x v="12"/>
    <x v="2"/>
    <s v="90 Min"/>
    <x v="5"/>
    <n v="7.6"/>
    <n v="12103759"/>
    <n v="177238"/>
    <n v="61"/>
    <x v="5"/>
    <x v="3"/>
  </r>
  <r>
    <x v="1628"/>
    <s v="Hidden Files 101"/>
    <x v="0"/>
    <s v="K. Tanaka"/>
    <x v="11"/>
    <d v="2024-10-08T00:00:00"/>
    <x v="26"/>
    <x v="8"/>
    <s v="113 Min"/>
    <x v="6"/>
    <n v="7.2"/>
    <n v="11868802"/>
    <n v="2092149"/>
    <n v="82"/>
    <x v="6"/>
    <x v="4"/>
  </r>
  <r>
    <x v="1629"/>
    <s v="Royal Chronicles 215"/>
    <x v="1"/>
    <s v="Unknown"/>
    <x v="0"/>
    <d v="2024-10-08T00:00:00"/>
    <x v="22"/>
    <x v="1"/>
    <s v="5 Seasons"/>
    <x v="2"/>
    <n v="9.6"/>
    <n v="14105772"/>
    <n v="616239"/>
    <n v="94"/>
    <x v="4"/>
    <x v="3"/>
  </r>
  <r>
    <x v="1630"/>
    <s v="Echo Quest 936"/>
    <x v="2"/>
    <s v="Unknown"/>
    <x v="9"/>
    <d v="2024-10-09T00:00:00"/>
    <x v="15"/>
    <x v="7"/>
    <s v="6 Seasons"/>
    <x v="10"/>
    <n v="6.7"/>
    <n v="13189313"/>
    <n v="2492422"/>
    <n v="100"/>
    <x v="3"/>
    <x v="4"/>
  </r>
  <r>
    <x v="1631"/>
    <s v="Dark World 60"/>
    <x v="0"/>
    <s v="A. Smith"/>
    <x v="12"/>
    <d v="2024-10-12T00:00:00"/>
    <x v="24"/>
    <x v="2"/>
    <s v="161 Min"/>
    <x v="4"/>
    <n v="7.2"/>
    <n v="7932513"/>
    <n v="1702011"/>
    <n v="87"/>
    <x v="9"/>
    <x v="1"/>
  </r>
  <r>
    <x v="1632"/>
    <s v="Last Story 1611"/>
    <x v="0"/>
    <s v="D. Kim"/>
    <x v="4"/>
    <d v="2024-10-12T00:00:00"/>
    <x v="6"/>
    <x v="3"/>
    <s v="180 Min"/>
    <x v="1"/>
    <n v="6.4"/>
    <n v="23582747"/>
    <n v="2639423"/>
    <n v="98"/>
    <x v="0"/>
    <x v="1"/>
  </r>
  <r>
    <x v="1633"/>
    <s v="Echo Empire 1869"/>
    <x v="1"/>
    <s v="L. Brown"/>
    <x v="2"/>
    <d v="2024-10-15T00:00:00"/>
    <x v="10"/>
    <x v="1"/>
    <s v="6 Seasons"/>
    <x v="3"/>
    <n v="5.0999999999999996"/>
    <n v="18210025"/>
    <n v="702858"/>
    <n v="93"/>
    <x v="6"/>
    <x v="2"/>
  </r>
  <r>
    <x v="1634"/>
    <s v="Echo Files 287"/>
    <x v="0"/>
    <s v="D. Kim"/>
    <x v="2"/>
    <d v="2024-10-20T00:00:00"/>
    <x v="24"/>
    <x v="3"/>
    <s v="173 Min"/>
    <x v="8"/>
    <n v="8.9"/>
    <n v="1657617"/>
    <n v="4696175"/>
    <n v="100"/>
    <x v="0"/>
    <x v="1"/>
  </r>
  <r>
    <x v="1635"/>
    <s v="Silent Quest 1124"/>
    <x v="2"/>
    <s v="K. Tanaka"/>
    <x v="2"/>
    <d v="2024-10-22T00:00:00"/>
    <x v="18"/>
    <x v="2"/>
    <s v="6 Seasons"/>
    <x v="7"/>
    <n v="9"/>
    <n v="17326589"/>
    <n v="2523795"/>
    <n v="91"/>
    <x v="1"/>
    <x v="1"/>
  </r>
  <r>
    <x v="1636"/>
    <s v="Golden Signal 35"/>
    <x v="2"/>
    <s v="J. Lee"/>
    <x v="4"/>
    <d v="2024-10-23T00:00:00"/>
    <x v="22"/>
    <x v="6"/>
    <s v="5 Seasons"/>
    <x v="6"/>
    <n v="5.5"/>
    <n v="20178257"/>
    <n v="10663"/>
    <n v="120"/>
    <x v="4"/>
    <x v="0"/>
  </r>
  <r>
    <x v="1637"/>
    <s v="Beyond Zone 1162"/>
    <x v="0"/>
    <s v="D. Kim"/>
    <x v="1"/>
    <d v="2024-10-23T00:00:00"/>
    <x v="3"/>
    <x v="3"/>
    <s v="73 Min"/>
    <x v="0"/>
    <n v="7.9"/>
    <n v="14703822"/>
    <n v="1384901"/>
    <n v="80"/>
    <x v="8"/>
    <x v="1"/>
  </r>
  <r>
    <x v="1638"/>
    <s v="Ocean Chronicles 1664"/>
    <x v="1"/>
    <s v="S. Patel"/>
    <x v="12"/>
    <d v="2024-10-24T00:00:00"/>
    <x v="15"/>
    <x v="1"/>
    <s v="7 Seasons"/>
    <x v="4"/>
    <n v="8.5"/>
    <n v="8623189"/>
    <n v="1136940"/>
    <n v="96"/>
    <x v="1"/>
    <x v="4"/>
  </r>
  <r>
    <x v="1639"/>
    <s v="Ocean Edge 1880"/>
    <x v="0"/>
    <s v="Unknown"/>
    <x v="11"/>
    <d v="2024-10-24T00:00:00"/>
    <x v="13"/>
    <x v="2"/>
    <s v="129 Min"/>
    <x v="3"/>
    <n v="4.8"/>
    <n v="19319830"/>
    <n v="2269984"/>
    <n v="51"/>
    <x v="6"/>
    <x v="3"/>
  </r>
  <r>
    <x v="1640"/>
    <s v="Last Truth 1051"/>
    <x v="2"/>
    <s v="Unknown"/>
    <x v="12"/>
    <d v="2024-11-02T00:00:00"/>
    <x v="25"/>
    <x v="0"/>
    <s v="5 Seasons"/>
    <x v="3"/>
    <n v="9.8000000000000007"/>
    <n v="23044339"/>
    <n v="738255"/>
    <n v="96"/>
    <x v="5"/>
    <x v="4"/>
  </r>
  <r>
    <x v="1641"/>
    <s v="Secret Rise 1488"/>
    <x v="0"/>
    <s v="M. Garcia"/>
    <x v="3"/>
    <d v="2024-11-04T00:00:00"/>
    <x v="0"/>
    <x v="4"/>
    <s v="88 Min"/>
    <x v="10"/>
    <n v="6.7"/>
    <n v="18868746"/>
    <n v="2503610"/>
    <n v="51"/>
    <x v="1"/>
    <x v="3"/>
  </r>
  <r>
    <x v="1642"/>
    <s v="Secret Game 149"/>
    <x v="1"/>
    <s v="A. Smith"/>
    <x v="7"/>
    <d v="2024-11-05T00:00:00"/>
    <x v="8"/>
    <x v="2"/>
    <s v="6 Seasons"/>
    <x v="0"/>
    <n v="9.6999999999999993"/>
    <n v="-934"/>
    <n v="2540303"/>
    <n v="87"/>
    <x v="9"/>
    <x v="2"/>
  </r>
  <r>
    <x v="1643"/>
    <s v="Shadow Edge 1117"/>
    <x v="0"/>
    <s v="K. Tanaka"/>
    <x v="11"/>
    <d v="2024-11-13T00:00:00"/>
    <x v="11"/>
    <x v="8"/>
    <s v="157 Min"/>
    <x v="5"/>
    <n v="5.7"/>
    <n v="14396528"/>
    <n v="622735"/>
    <n v="96"/>
    <x v="5"/>
    <x v="1"/>
  </r>
  <r>
    <x v="1644"/>
    <s v="Golden World 1209"/>
    <x v="0"/>
    <s v="J. Lee"/>
    <x v="3"/>
    <d v="2024-11-13T00:00:00"/>
    <x v="19"/>
    <x v="0"/>
    <s v="151 Min"/>
    <x v="3"/>
    <n v="6.4"/>
    <n v="5093202"/>
    <n v="2189471"/>
    <n v="83"/>
    <x v="7"/>
    <x v="3"/>
  </r>
  <r>
    <x v="1645"/>
    <s v="Future Truth 1625"/>
    <x v="1"/>
    <s v="A. Smith"/>
    <x v="4"/>
    <d v="2024-11-14T00:00:00"/>
    <x v="11"/>
    <x v="3"/>
    <s v="4 Seasons"/>
    <x v="4"/>
    <n v="7.8"/>
    <n v="7691461"/>
    <n v="4303561"/>
    <n v="73"/>
    <x v="2"/>
    <x v="4"/>
  </r>
  <r>
    <x v="1646"/>
    <s v="Hidden World 1676"/>
    <x v="0"/>
    <s v="M. Garcia"/>
    <x v="7"/>
    <d v="2024-11-16T00:00:00"/>
    <x v="14"/>
    <x v="3"/>
    <s v="164 Min"/>
    <x v="9"/>
    <n v="7.8"/>
    <n v="18560504"/>
    <n v="1190126"/>
    <n v="84"/>
    <x v="8"/>
    <x v="0"/>
  </r>
  <r>
    <x v="1647"/>
    <s v="Wild Files 7"/>
    <x v="1"/>
    <s v="M. Garcia"/>
    <x v="5"/>
    <d v="2024-11-18T00:00:00"/>
    <x v="6"/>
    <x v="3"/>
    <s v="1 Seasons"/>
    <x v="3"/>
    <n v="7.3"/>
    <n v="20603605"/>
    <n v="214916"/>
    <n v="53"/>
    <x v="0"/>
    <x v="0"/>
  </r>
  <r>
    <x v="1648"/>
    <s v="Secret Dream 729"/>
    <x v="2"/>
    <s v="L. Brown"/>
    <x v="2"/>
    <d v="2024-11-20T00:00:00"/>
    <x v="17"/>
    <x v="4"/>
    <s v="7 Seasons"/>
    <x v="1"/>
    <n v="6.6"/>
    <n v="10431447"/>
    <n v="2075487"/>
    <n v="74"/>
    <x v="2"/>
    <x v="0"/>
  </r>
  <r>
    <x v="1649"/>
    <s v="Hidden Code 1521"/>
    <x v="2"/>
    <s v="Unknown"/>
    <x v="10"/>
    <d v="2024-11-20T00:00:00"/>
    <x v="10"/>
    <x v="1"/>
    <s v="6 Seasons"/>
    <x v="3"/>
    <n v="5.7"/>
    <n v="17026551"/>
    <n v="4612987"/>
    <n v="98"/>
    <x v="5"/>
    <x v="3"/>
  </r>
  <r>
    <x v="1650"/>
    <s v="Ocean Quest 764"/>
    <x v="0"/>
    <s v="K. Tanaka"/>
    <x v="10"/>
    <d v="2024-11-21T00:00:00"/>
    <x v="7"/>
    <x v="3"/>
    <s v="129 Min"/>
    <x v="6"/>
    <n v="7.1"/>
    <n v="11903536"/>
    <n v="2333038"/>
    <n v="67"/>
    <x v="8"/>
    <x v="3"/>
  </r>
  <r>
    <x v="1651"/>
    <s v="Hidden Dream 201"/>
    <x v="1"/>
    <s v="J. Lee"/>
    <x v="8"/>
    <d v="2024-11-27T00:00:00"/>
    <x v="8"/>
    <x v="2"/>
    <s v="1 Seasons"/>
    <x v="10"/>
    <n v="6.5"/>
    <n v="5477188"/>
    <n v="3971443"/>
    <n v="93"/>
    <x v="9"/>
    <x v="4"/>
  </r>
  <r>
    <x v="1652"/>
    <s v="Infinite Zone 1565"/>
    <x v="0"/>
    <s v="L. Brown"/>
    <x v="7"/>
    <d v="2024-11-28T00:00:00"/>
    <x v="15"/>
    <x v="3"/>
    <s v="117 Min"/>
    <x v="2"/>
    <n v="8.1999999999999993"/>
    <n v="20122719"/>
    <n v="1493228"/>
    <n v="75"/>
    <x v="2"/>
    <x v="0"/>
  </r>
  <r>
    <x v="1653"/>
    <s v="Hidden Valley 1545"/>
    <x v="0"/>
    <s v="K. Tanaka"/>
    <x v="5"/>
    <d v="2024-11-29T00:00:00"/>
    <x v="20"/>
    <x v="3"/>
    <s v="Unknown"/>
    <x v="7"/>
    <n v="5.0999999999999996"/>
    <n v="15557954"/>
    <n v="2124061"/>
    <n v="98"/>
    <x v="9"/>
    <x v="0"/>
  </r>
  <r>
    <x v="1654"/>
    <s v="Urban Files 178"/>
    <x v="0"/>
    <s v="R. Kumar"/>
    <x v="12"/>
    <d v="2024-11-30T00:00:00"/>
    <x v="7"/>
    <x v="4"/>
    <s v="112 Min"/>
    <x v="3"/>
    <n v="6.5"/>
    <n v="13085149"/>
    <n v="2278344"/>
    <n v="49"/>
    <x v="9"/>
    <x v="1"/>
  </r>
  <r>
    <x v="1655"/>
    <s v="Dark Valley 1532"/>
    <x v="0"/>
    <s v="R. Kumar"/>
    <x v="8"/>
    <d v="2024-12-04T00:00:00"/>
    <x v="2"/>
    <x v="0"/>
    <s v="166 Min"/>
    <x v="2"/>
    <n v="6"/>
    <n v="1967109"/>
    <n v="4334443"/>
    <n v="89"/>
    <x v="3"/>
    <x v="4"/>
  </r>
  <r>
    <x v="1656"/>
    <s v="Broken Edge 559"/>
    <x v="0"/>
    <s v="R. Kumar"/>
    <x v="11"/>
    <d v="2024-12-05T00:00:00"/>
    <x v="21"/>
    <x v="6"/>
    <s v="86 Min"/>
    <x v="4"/>
    <n v="6.8"/>
    <n v="19869096"/>
    <n v="195165"/>
    <n v="47"/>
    <x v="7"/>
    <x v="0"/>
  </r>
  <r>
    <x v="1657"/>
    <s v="Blue Code 1749"/>
    <x v="0"/>
    <s v="P. Johnson"/>
    <x v="11"/>
    <d v="2024-12-06T00:00:00"/>
    <x v="25"/>
    <x v="9"/>
    <s v="178 Min"/>
    <x v="1"/>
    <n v="9"/>
    <n v="8309086"/>
    <n v="3368512"/>
    <n v="60"/>
    <x v="7"/>
    <x v="3"/>
  </r>
  <r>
    <x v="1658"/>
    <s v="Dark World 1241"/>
    <x v="2"/>
    <s v="N. Singh"/>
    <x v="9"/>
    <d v="2024-12-07T00:00:00"/>
    <x v="9"/>
    <x v="1"/>
    <s v="1 Seasons"/>
    <x v="2"/>
    <n v="9.4"/>
    <n v="8905275"/>
    <n v="3450149"/>
    <n v="61"/>
    <x v="5"/>
    <x v="0"/>
  </r>
  <r>
    <x v="1659"/>
    <s v="Dark Valley 1260"/>
    <x v="0"/>
    <s v="K. Tanaka"/>
    <x v="5"/>
    <d v="2024-12-10T00:00:00"/>
    <x v="3"/>
    <x v="3"/>
    <s v="160 Min"/>
    <x v="2"/>
    <n v="6"/>
    <n v="9063948"/>
    <n v="2737168"/>
    <n v="47"/>
    <x v="3"/>
    <x v="0"/>
  </r>
  <r>
    <x v="1660"/>
    <s v="Future World 664"/>
    <x v="0"/>
    <s v="N. Singh"/>
    <x v="2"/>
    <d v="2024-12-12T00:00:00"/>
    <x v="8"/>
    <x v="8"/>
    <s v="171 Min"/>
    <x v="3"/>
    <n v="6.4"/>
    <n v="19983208"/>
    <n v="2329520"/>
    <n v="45"/>
    <x v="2"/>
    <x v="0"/>
  </r>
  <r>
    <x v="1661"/>
    <s v="Ocean Signal 1384"/>
    <x v="0"/>
    <s v="K. Tanaka"/>
    <x v="7"/>
    <d v="2024-12-12T00:00:00"/>
    <x v="16"/>
    <x v="5"/>
    <s v="78 Min"/>
    <x v="2"/>
    <n v="5.8"/>
    <n v="11151115"/>
    <n v="4380251"/>
    <n v="70"/>
    <x v="5"/>
    <x v="2"/>
  </r>
  <r>
    <x v="1662"/>
    <s v="Ocean Chronicles 1840"/>
    <x v="0"/>
    <s v="R. Kumar"/>
    <x v="6"/>
    <d v="2024-12-13T00:00:00"/>
    <x v="12"/>
    <x v="3"/>
    <s v="167 Min"/>
    <x v="2"/>
    <n v="9.8000000000000007"/>
    <n v="23328296"/>
    <n v="4554145"/>
    <n v="82"/>
    <x v="3"/>
    <x v="4"/>
  </r>
  <r>
    <x v="1663"/>
    <s v="Beyond Edge 1280"/>
    <x v="0"/>
    <s v="D. Kim"/>
    <x v="11"/>
    <d v="2024-12-14T00:00:00"/>
    <x v="13"/>
    <x v="6"/>
    <s v="145 Min"/>
    <x v="6"/>
    <n v="5.8"/>
    <n v="6991087"/>
    <n v="72597"/>
    <n v="75"/>
    <x v="8"/>
    <x v="2"/>
  </r>
  <r>
    <x v="1664"/>
    <s v="Beyond Valley 1792"/>
    <x v="0"/>
    <s v="R. Kumar"/>
    <x v="6"/>
    <d v="2024-12-14T00:00:00"/>
    <x v="7"/>
    <x v="7"/>
    <s v="71 Min"/>
    <x v="6"/>
    <n v="5.2"/>
    <n v="277774"/>
    <n v="4745580"/>
    <n v="45"/>
    <x v="1"/>
    <x v="1"/>
  </r>
  <r>
    <x v="1665"/>
    <s v="Last Dream 759"/>
    <x v="0"/>
    <s v="P. Johnson"/>
    <x v="9"/>
    <d v="2024-12-21T00:00:00"/>
    <x v="0"/>
    <x v="4"/>
    <s v="90 Min"/>
    <x v="1"/>
    <n v="7.1"/>
    <n v="14465104"/>
    <n v="842233"/>
    <n v="59"/>
    <x v="7"/>
    <x v="2"/>
  </r>
  <r>
    <x v="1666"/>
    <s v="Wild Rise 1751"/>
    <x v="0"/>
    <s v="J. Lee"/>
    <x v="11"/>
    <d v="2024-12-21T00:00:00"/>
    <x v="4"/>
    <x v="7"/>
    <s v="162 Min"/>
    <x v="3"/>
    <n v="6.4"/>
    <n v="13030000"/>
    <n v="2634778"/>
    <n v="94"/>
    <x v="1"/>
    <x v="0"/>
  </r>
  <r>
    <x v="1667"/>
    <s v="Golden Empire 1008"/>
    <x v="1"/>
    <s v="L. Brown"/>
    <x v="4"/>
    <d v="2024-12-26T00:00:00"/>
    <x v="19"/>
    <x v="6"/>
    <s v="6 Seasons"/>
    <x v="9"/>
    <n v="5.7"/>
    <n v="287387"/>
    <n v="1867400"/>
    <n v="89"/>
    <x v="5"/>
    <x v="0"/>
  </r>
  <r>
    <x v="1668"/>
    <s v="Golden Rise 877"/>
    <x v="1"/>
    <s v="R. Kumar"/>
    <x v="2"/>
    <d v="2024-12-27T00:00:00"/>
    <x v="21"/>
    <x v="5"/>
    <s v="6 Seasons"/>
    <x v="6"/>
    <n v="9.1999999999999993"/>
    <n v="20037546"/>
    <n v="582480"/>
    <n v="83"/>
    <x v="9"/>
    <x v="4"/>
  </r>
  <r>
    <x v="1669"/>
    <s v="Dark Edge 1255"/>
    <x v="0"/>
    <s v="P. Johnson"/>
    <x v="10"/>
    <d v="2025-01-02T00:00:00"/>
    <x v="14"/>
    <x v="0"/>
    <s v="124 Min"/>
    <x v="3"/>
    <n v="8.6"/>
    <n v="8259701"/>
    <n v="4405442"/>
    <n v="43"/>
    <x v="8"/>
    <x v="4"/>
  </r>
  <r>
    <x v="1670"/>
    <s v="Urban Line 135"/>
    <x v="0"/>
    <s v="M. Garcia"/>
    <x v="12"/>
    <d v="2025-01-07T00:00:00"/>
    <x v="26"/>
    <x v="3"/>
    <s v="156 Min"/>
    <x v="3"/>
    <n v="4.9000000000000004"/>
    <n v="5051379"/>
    <n v="4650354"/>
    <n v="95"/>
    <x v="7"/>
    <x v="1"/>
  </r>
  <r>
    <x v="1671"/>
    <s v="Hidden Valley 994"/>
    <x v="0"/>
    <s v="S. Patel"/>
    <x v="8"/>
    <d v="2025-01-10T00:00:00"/>
    <x v="24"/>
    <x v="6"/>
    <s v="169 Min"/>
    <x v="1"/>
    <n v="9.6999999999999993"/>
    <n v="21664533"/>
    <n v="3347590"/>
    <n v="60"/>
    <x v="5"/>
    <x v="1"/>
  </r>
  <r>
    <x v="1672"/>
    <s v="Golden Chronicles 1370"/>
    <x v="0"/>
    <s v="A. Smith"/>
    <x v="5"/>
    <d v="2025-01-12T00:00:00"/>
    <x v="8"/>
    <x v="7"/>
    <s v="116 Min"/>
    <x v="3"/>
    <n v="5.0999999999999996"/>
    <n v="11733790"/>
    <n v="2651005"/>
    <n v="91"/>
    <x v="0"/>
    <x v="2"/>
  </r>
  <r>
    <x v="1673"/>
    <s v="Broken Rise 1062"/>
    <x v="2"/>
    <s v="R. Kumar"/>
    <x v="5"/>
    <d v="2025-01-17T00:00:00"/>
    <x v="19"/>
    <x v="2"/>
    <s v="8 Seasons"/>
    <x v="1"/>
    <n v="6.5"/>
    <n v="9355876"/>
    <n v="2421162"/>
    <n v="56"/>
    <x v="0"/>
    <x v="0"/>
  </r>
  <r>
    <x v="1674"/>
    <s v="Infinite Line 1550"/>
    <x v="0"/>
    <s v="S. Patel"/>
    <x v="1"/>
    <d v="2025-01-18T00:00:00"/>
    <x v="13"/>
    <x v="3"/>
    <s v="72 Min"/>
    <x v="2"/>
    <n v="9.4"/>
    <n v="7519269"/>
    <n v="4741772"/>
    <n v="93"/>
    <x v="3"/>
    <x v="4"/>
  </r>
  <r>
    <x v="1675"/>
    <s v="Lost Truth 440"/>
    <x v="0"/>
    <s v="N. Singh"/>
    <x v="2"/>
    <d v="2025-01-21T00:00:00"/>
    <x v="5"/>
    <x v="3"/>
    <s v="131 Min"/>
    <x v="4"/>
    <n v="4.7"/>
    <n v="11386666"/>
    <n v="2197668"/>
    <n v="74"/>
    <x v="3"/>
    <x v="3"/>
  </r>
  <r>
    <x v="1676"/>
    <s v="Urban Night 1329"/>
    <x v="1"/>
    <s v="M. Garcia"/>
    <x v="1"/>
    <d v="2025-01-21T00:00:00"/>
    <x v="9"/>
    <x v="8"/>
    <s v="5 Seasons"/>
    <x v="6"/>
    <n v="6.2"/>
    <n v="7949201"/>
    <n v="2833673"/>
    <n v="72"/>
    <x v="7"/>
    <x v="1"/>
  </r>
  <r>
    <x v="1677"/>
    <s v="Broken Legacy 1082"/>
    <x v="0"/>
    <s v="D. Kim"/>
    <x v="4"/>
    <d v="2025-01-22T00:00:00"/>
    <x v="6"/>
    <x v="9"/>
    <s v="179 Min"/>
    <x v="2"/>
    <n v="7"/>
    <n v="13735907"/>
    <n v="1552107"/>
    <n v="46"/>
    <x v="5"/>
    <x v="1"/>
  </r>
  <r>
    <x v="1678"/>
    <s v="Ocean Files 1800"/>
    <x v="0"/>
    <s v="D. Kim"/>
    <x v="7"/>
    <d v="2025-01-23T00:00:00"/>
    <x v="11"/>
    <x v="3"/>
    <s v="Unknown"/>
    <x v="7"/>
    <n v="8.9"/>
    <n v="20306270"/>
    <n v="3225581"/>
    <n v="40"/>
    <x v="0"/>
    <x v="3"/>
  </r>
  <r>
    <x v="1679"/>
    <s v="Blue Code 346"/>
    <x v="1"/>
    <s v="D. Kim"/>
    <x v="1"/>
    <d v="2025-01-29T00:00:00"/>
    <x v="13"/>
    <x v="2"/>
    <s v="6 Seasons"/>
    <x v="2"/>
    <n v="9.6"/>
    <n v="17757801"/>
    <n v="2374221"/>
    <n v="74"/>
    <x v="3"/>
    <x v="0"/>
  </r>
  <r>
    <x v="1680"/>
    <s v="Royal Truth 556"/>
    <x v="1"/>
    <s v="M. Garcia"/>
    <x v="4"/>
    <d v="2025-01-29T00:00:00"/>
    <x v="13"/>
    <x v="8"/>
    <s v="3 Seasons"/>
    <x v="10"/>
    <n v="4.9000000000000004"/>
    <n v="4731789"/>
    <n v="4035909"/>
    <n v="87"/>
    <x v="8"/>
    <x v="3"/>
  </r>
  <r>
    <x v="1681"/>
    <s v="Wild Files 1308"/>
    <x v="1"/>
    <s v="Unknown"/>
    <x v="8"/>
    <d v="2025-01-29T00:00:00"/>
    <x v="11"/>
    <x v="1"/>
    <s v="1 Seasons"/>
    <x v="6"/>
    <n v="5.0999999999999996"/>
    <n v="7495746"/>
    <n v="2704054"/>
    <n v="57"/>
    <x v="9"/>
    <x v="2"/>
  </r>
  <r>
    <x v="1682"/>
    <s v="Royal Code 1321"/>
    <x v="0"/>
    <s v="M. Garcia"/>
    <x v="5"/>
    <d v="2025-02-02T00:00:00"/>
    <x v="27"/>
    <x v="1"/>
    <s v="116 Min"/>
    <x v="5"/>
    <n v="6.7"/>
    <n v="5285366"/>
    <n v="4903397"/>
    <n v="57"/>
    <x v="1"/>
    <x v="0"/>
  </r>
  <r>
    <x v="1683"/>
    <s v="Shadow Mission 545"/>
    <x v="1"/>
    <s v="S. Patel"/>
    <x v="9"/>
    <d v="2025-02-03T00:00:00"/>
    <x v="10"/>
    <x v="9"/>
    <s v="Unknown"/>
    <x v="2"/>
    <n v="8.4"/>
    <n v="1449031"/>
    <n v="4199311"/>
    <n v="51"/>
    <x v="4"/>
    <x v="2"/>
  </r>
  <r>
    <x v="1684"/>
    <s v="Beyond Night 1439"/>
    <x v="1"/>
    <s v="M. Garcia"/>
    <x v="11"/>
    <d v="2025-02-03T00:00:00"/>
    <x v="23"/>
    <x v="7"/>
    <s v="1 Seasons"/>
    <x v="7"/>
    <n v="5.5"/>
    <n v="14533072"/>
    <n v="4705676"/>
    <n v="53"/>
    <x v="1"/>
    <x v="0"/>
  </r>
  <r>
    <x v="1685"/>
    <s v="Echo Truth 1849"/>
    <x v="1"/>
    <s v="A. Smith"/>
    <x v="2"/>
    <d v="2025-02-04T00:00:00"/>
    <x v="10"/>
    <x v="2"/>
    <s v="2 Seasons"/>
    <x v="4"/>
    <n v="7.9"/>
    <n v="14387668"/>
    <n v="4228927"/>
    <n v="81"/>
    <x v="2"/>
    <x v="0"/>
  </r>
  <r>
    <x v="1686"/>
    <s v="Blue Rise 1754"/>
    <x v="1"/>
    <s v="N. Singh"/>
    <x v="1"/>
    <d v="2025-02-07T00:00:00"/>
    <x v="1"/>
    <x v="4"/>
    <s v="3 Seasons"/>
    <x v="4"/>
    <n v="8.1"/>
    <n v="24017495"/>
    <n v="61954"/>
    <n v="68"/>
    <x v="7"/>
    <x v="1"/>
  </r>
  <r>
    <x v="1687"/>
    <s v="Ocean Legacy 1150"/>
    <x v="0"/>
    <s v="N. Singh"/>
    <x v="6"/>
    <d v="2025-02-08T00:00:00"/>
    <x v="1"/>
    <x v="5"/>
    <s v="176 Min"/>
    <x v="2"/>
    <n v="8.8000000000000007"/>
    <n v="17219885"/>
    <n v="2574908"/>
    <n v="46"/>
    <x v="5"/>
    <x v="0"/>
  </r>
  <r>
    <x v="1688"/>
    <s v="Crimson Signal 1138"/>
    <x v="1"/>
    <s v="D. Kim"/>
    <x v="3"/>
    <d v="2025-02-18T00:00:00"/>
    <x v="4"/>
    <x v="4"/>
    <s v="8 Seasons"/>
    <x v="1"/>
    <n v="8.3000000000000007"/>
    <n v="22828888"/>
    <n v="3159533"/>
    <n v="94"/>
    <x v="2"/>
    <x v="4"/>
  </r>
  <r>
    <x v="1689"/>
    <s v="Urban Rise 1696"/>
    <x v="0"/>
    <s v="N. Singh"/>
    <x v="10"/>
    <d v="2025-02-20T00:00:00"/>
    <x v="5"/>
    <x v="2"/>
    <s v="136 Min"/>
    <x v="2"/>
    <n v="9.8000000000000007"/>
    <n v="16678846"/>
    <n v="2909544"/>
    <n v="74"/>
    <x v="3"/>
    <x v="4"/>
  </r>
  <r>
    <x v="1690"/>
    <s v="Secret Signal 903"/>
    <x v="0"/>
    <s v="P. Johnson"/>
    <x v="8"/>
    <d v="2025-02-21T00:00:00"/>
    <x v="19"/>
    <x v="3"/>
    <s v="130 Min"/>
    <x v="2"/>
    <n v="6.4"/>
    <n v="10010117"/>
    <n v="2365529"/>
    <n v="59"/>
    <x v="0"/>
    <x v="1"/>
  </r>
  <r>
    <x v="1691"/>
    <s v="Infinite World 1312"/>
    <x v="0"/>
    <s v="Unknown"/>
    <x v="12"/>
    <d v="2025-02-23T00:00:00"/>
    <x v="14"/>
    <x v="3"/>
    <s v="173 Min"/>
    <x v="4"/>
    <n v="9"/>
    <n v="24124170"/>
    <n v="1916770"/>
    <n v="120"/>
    <x v="7"/>
    <x v="4"/>
  </r>
  <r>
    <x v="1692"/>
    <s v="Hidden Valley 958"/>
    <x v="0"/>
    <s v="R. Kumar"/>
    <x v="7"/>
    <d v="2025-02-24T00:00:00"/>
    <x v="9"/>
    <x v="3"/>
    <s v="101 Min"/>
    <x v="2"/>
    <n v="9.6999999999999993"/>
    <n v="18406214"/>
    <n v="3567425"/>
    <n v="46"/>
    <x v="5"/>
    <x v="1"/>
  </r>
  <r>
    <x v="1693"/>
    <s v="Future Chronicles 122"/>
    <x v="1"/>
    <s v="L. Brown"/>
    <x v="2"/>
    <d v="2025-02-26T00:00:00"/>
    <x v="10"/>
    <x v="4"/>
    <s v="8 Seasons"/>
    <x v="6"/>
    <n v="8.6"/>
    <n v="6361722"/>
    <n v="367508"/>
    <n v="92"/>
    <x v="5"/>
    <x v="4"/>
  </r>
  <r>
    <x v="1694"/>
    <s v="Urban Signal 140"/>
    <x v="1"/>
    <s v="M. Garcia"/>
    <x v="10"/>
    <d v="2025-03-01T00:00:00"/>
    <x v="12"/>
    <x v="3"/>
    <s v="3 Seasons"/>
    <x v="1"/>
    <n v="5.3"/>
    <n v="8469664"/>
    <n v="4798432"/>
    <n v="99"/>
    <x v="9"/>
    <x v="2"/>
  </r>
  <r>
    <x v="1695"/>
    <s v="Future Valley 145"/>
    <x v="0"/>
    <s v="Unknown"/>
    <x v="12"/>
    <d v="2025-03-01T00:00:00"/>
    <x v="20"/>
    <x v="9"/>
    <s v="169 Min"/>
    <x v="7"/>
    <n v="4.5"/>
    <n v="22000268"/>
    <n v="3041860"/>
    <n v="80"/>
    <x v="2"/>
    <x v="0"/>
  </r>
  <r>
    <x v="1696"/>
    <s v="Infinite Game 1900"/>
    <x v="0"/>
    <s v="J. Lee"/>
    <x v="0"/>
    <d v="2025-03-01T00:00:00"/>
    <x v="16"/>
    <x v="5"/>
    <s v="175 Min"/>
    <x v="2"/>
    <n v="9.4"/>
    <n v="17648597"/>
    <n v="1140139"/>
    <n v="95"/>
    <x v="8"/>
    <x v="2"/>
  </r>
  <r>
    <x v="1697"/>
    <s v="Royal Signal 1703"/>
    <x v="0"/>
    <s v="S. Patel"/>
    <x v="4"/>
    <d v="2025-03-03T00:00:00"/>
    <x v="16"/>
    <x v="2"/>
    <s v="173 Min"/>
    <x v="3"/>
    <n v="7.9"/>
    <n v="7430572"/>
    <n v="2204468"/>
    <n v="68"/>
    <x v="5"/>
    <x v="0"/>
  </r>
  <r>
    <x v="1698"/>
    <s v="Royal Files 1639"/>
    <x v="0"/>
    <s v="P. Johnson"/>
    <x v="7"/>
    <d v="2025-03-05T00:00:00"/>
    <x v="18"/>
    <x v="9"/>
    <s v="124 Min"/>
    <x v="3"/>
    <n v="8.1"/>
    <n v="299893"/>
    <n v="1179707"/>
    <n v="98"/>
    <x v="7"/>
    <x v="2"/>
  </r>
  <r>
    <x v="1699"/>
    <s v="Shadow Zone 839"/>
    <x v="0"/>
    <s v="S. Patel"/>
    <x v="7"/>
    <d v="2025-03-06T00:00:00"/>
    <x v="20"/>
    <x v="0"/>
    <s v="163 Min"/>
    <x v="4"/>
    <n v="7"/>
    <n v="11614044"/>
    <n v="175564"/>
    <n v="44"/>
    <x v="5"/>
    <x v="0"/>
  </r>
  <r>
    <x v="1700"/>
    <s v="Ocean Chronicles 738"/>
    <x v="1"/>
    <s v="R. Kumar"/>
    <x v="0"/>
    <d v="2025-03-08T00:00:00"/>
    <x v="8"/>
    <x v="2"/>
    <s v="2 Seasons"/>
    <x v="0"/>
    <n v="8.4"/>
    <n v="8792607"/>
    <n v="3015184"/>
    <n v="95"/>
    <x v="0"/>
    <x v="0"/>
  </r>
  <r>
    <x v="1701"/>
    <s v="Urban Night 1093"/>
    <x v="0"/>
    <s v="P. Johnson"/>
    <x v="9"/>
    <d v="2025-03-08T00:00:00"/>
    <x v="24"/>
    <x v="1"/>
    <s v="155 Min"/>
    <x v="8"/>
    <n v="8.8000000000000007"/>
    <n v="21616158"/>
    <n v="3797597"/>
    <n v="73"/>
    <x v="9"/>
    <x v="1"/>
  </r>
  <r>
    <x v="1702"/>
    <s v="Broken Journey 315"/>
    <x v="1"/>
    <s v="K. Tanaka"/>
    <x v="11"/>
    <d v="2025-03-11T00:00:00"/>
    <x v="20"/>
    <x v="5"/>
    <s v="5 Seasons"/>
    <x v="2"/>
    <n v="5.0999999999999996"/>
    <n v="13888886"/>
    <n v="2945456"/>
    <n v="80"/>
    <x v="3"/>
    <x v="1"/>
  </r>
  <r>
    <x v="1703"/>
    <s v="Lost Truth 1472"/>
    <x v="0"/>
    <s v="S. Patel"/>
    <x v="8"/>
    <d v="2025-03-18T00:00:00"/>
    <x v="14"/>
    <x v="6"/>
    <s v="107 Min"/>
    <x v="2"/>
    <n v="6.1"/>
    <n v="1177635"/>
    <n v="3778766"/>
    <n v="71"/>
    <x v="7"/>
    <x v="3"/>
  </r>
  <r>
    <x v="1704"/>
    <s v="Blue Mission 1448"/>
    <x v="0"/>
    <s v="Unknown"/>
    <x v="7"/>
    <d v="2025-03-20T00:00:00"/>
    <x v="22"/>
    <x v="7"/>
    <s v="93 Min"/>
    <x v="5"/>
    <n v="6.3"/>
    <n v="8686979"/>
    <n v="3913129"/>
    <n v="87"/>
    <x v="1"/>
    <x v="4"/>
  </r>
  <r>
    <x v="1705"/>
    <s v="Urban Files 1224"/>
    <x v="0"/>
    <s v="P. Johnson"/>
    <x v="2"/>
    <d v="2025-03-24T00:00:00"/>
    <x v="25"/>
    <x v="9"/>
    <s v="110 Min"/>
    <x v="1"/>
    <n v="5.2"/>
    <n v="20823445"/>
    <n v="2237383"/>
    <n v="56"/>
    <x v="7"/>
    <x v="2"/>
  </r>
  <r>
    <x v="1706"/>
    <s v="Echo Story 163"/>
    <x v="2"/>
    <s v="L. Brown"/>
    <x v="7"/>
    <d v="2025-03-28T00:00:00"/>
    <x v="7"/>
    <x v="7"/>
    <s v="3 Seasons"/>
    <x v="10"/>
    <n v="11.2"/>
    <n v="18965932"/>
    <n v="2715167"/>
    <n v="54"/>
    <x v="8"/>
    <x v="4"/>
  </r>
  <r>
    <x v="1707"/>
    <s v="Beyond Truth 864"/>
    <x v="1"/>
    <s v="S. Patel"/>
    <x v="9"/>
    <d v="2025-04-01T00:00:00"/>
    <x v="1"/>
    <x v="8"/>
    <s v="7 Seasons"/>
    <x v="2"/>
    <n v="4.7"/>
    <n v="18049243"/>
    <n v="3200554"/>
    <n v="90"/>
    <x v="7"/>
    <x v="2"/>
  </r>
  <r>
    <x v="1708"/>
    <s v="Ocean Zone 366"/>
    <x v="0"/>
    <s v="Unknown"/>
    <x v="7"/>
    <d v="2025-04-03T00:00:00"/>
    <x v="3"/>
    <x v="3"/>
    <s v="89 Min"/>
    <x v="6"/>
    <n v="9"/>
    <n v="7641207"/>
    <n v="4042507"/>
    <n v="97"/>
    <x v="0"/>
    <x v="3"/>
  </r>
  <r>
    <x v="1709"/>
    <s v="Broken Night 1722"/>
    <x v="0"/>
    <s v="M. Garcia"/>
    <x v="7"/>
    <d v="2025-04-03T00:00:00"/>
    <x v="0"/>
    <x v="3"/>
    <s v="139 Min"/>
    <x v="2"/>
    <n v="5.5"/>
    <n v="3477941"/>
    <n v="180127"/>
    <n v="79"/>
    <x v="3"/>
    <x v="0"/>
  </r>
  <r>
    <x v="1710"/>
    <s v="Secret Dream 432"/>
    <x v="0"/>
    <s v="D. Kim"/>
    <x v="6"/>
    <d v="2025-04-07T00:00:00"/>
    <x v="15"/>
    <x v="1"/>
    <s v="116 Min"/>
    <x v="5"/>
    <n v="6.3"/>
    <n v="7431376"/>
    <n v="2617423"/>
    <n v="53"/>
    <x v="8"/>
    <x v="1"/>
  </r>
  <r>
    <x v="1711"/>
    <s v="Future Truth 228"/>
    <x v="2"/>
    <s v="L. Brown"/>
    <x v="5"/>
    <d v="2025-04-10T00:00:00"/>
    <x v="22"/>
    <x v="6"/>
    <s v="6 Seasons"/>
    <x v="2"/>
    <n v="8.3000000000000007"/>
    <n v="7609159"/>
    <n v="1552526"/>
    <n v="58"/>
    <x v="8"/>
    <x v="0"/>
  </r>
  <r>
    <x v="1712"/>
    <s v="Crimson Zone 1101"/>
    <x v="0"/>
    <s v="K. Tanaka"/>
    <x v="8"/>
    <d v="2025-04-12T00:00:00"/>
    <x v="19"/>
    <x v="6"/>
    <s v="Unknown"/>
    <x v="3"/>
    <n v="4.7"/>
    <n v="24091819"/>
    <n v="4364444"/>
    <n v="58"/>
    <x v="7"/>
    <x v="2"/>
  </r>
  <r>
    <x v="1713"/>
    <s v="Dark Valley 1734"/>
    <x v="2"/>
    <s v="J. Lee"/>
    <x v="4"/>
    <d v="2025-04-12T00:00:00"/>
    <x v="21"/>
    <x v="3"/>
    <s v="2 Seasons"/>
    <x v="9"/>
    <n v="8.1999999999999993"/>
    <n v="11563045"/>
    <n v="289392"/>
    <n v="54"/>
    <x v="7"/>
    <x v="2"/>
  </r>
  <r>
    <x v="1714"/>
    <s v="Infinite Rise 1313"/>
    <x v="1"/>
    <s v="A. Smith"/>
    <x v="11"/>
    <d v="2025-04-13T00:00:00"/>
    <x v="15"/>
    <x v="8"/>
    <s v="5 Seasons"/>
    <x v="10"/>
    <n v="6.4"/>
    <n v="21699329"/>
    <n v="4556559"/>
    <n v="87"/>
    <x v="6"/>
    <x v="0"/>
  </r>
  <r>
    <x v="1715"/>
    <s v="Hidden Valley 1545"/>
    <x v="0"/>
    <s v="K. Tanaka"/>
    <x v="7"/>
    <d v="2025-04-15T00:00:00"/>
    <x v="19"/>
    <x v="1"/>
    <s v="93 Min"/>
    <x v="0"/>
    <n v="7.4"/>
    <n v="18310751"/>
    <n v="2874098"/>
    <n v="44"/>
    <x v="4"/>
    <x v="1"/>
  </r>
  <r>
    <x v="1716"/>
    <s v="Fire Chronicles 1680"/>
    <x v="0"/>
    <s v="S. Patel"/>
    <x v="11"/>
    <d v="2025-04-17T00:00:00"/>
    <x v="7"/>
    <x v="4"/>
    <s v="175 Min"/>
    <x v="3"/>
    <n v="8.8000000000000007"/>
    <n v="13802111"/>
    <n v="1265654"/>
    <n v="43"/>
    <x v="2"/>
    <x v="4"/>
  </r>
  <r>
    <x v="1717"/>
    <s v="Dark Valley 1333"/>
    <x v="0"/>
    <s v="R. Kumar"/>
    <x v="7"/>
    <d v="2025-04-18T00:00:00"/>
    <x v="11"/>
    <x v="8"/>
    <s v="83 Min"/>
    <x v="8"/>
    <n v="5.8"/>
    <n v="19433327"/>
    <n v="4804160"/>
    <n v="56"/>
    <x v="3"/>
    <x v="0"/>
  </r>
  <r>
    <x v="1718"/>
    <s v="Secret Empire 912"/>
    <x v="1"/>
    <s v="Unknown"/>
    <x v="7"/>
    <d v="2025-04-23T00:00:00"/>
    <x v="7"/>
    <x v="9"/>
    <s v="7 Seasons"/>
    <x v="3"/>
    <n v="8.5"/>
    <n v="21941605"/>
    <n v="4639406"/>
    <n v="43"/>
    <x v="9"/>
    <x v="3"/>
  </r>
  <r>
    <x v="1719"/>
    <s v="Royal Zone 1927"/>
    <x v="2"/>
    <s v="J. Lee"/>
    <x v="2"/>
    <d v="2025-04-24T00:00:00"/>
    <x v="20"/>
    <x v="8"/>
    <s v="7 Seasons"/>
    <x v="9"/>
    <n v="5.6"/>
    <n v="22289608"/>
    <n v="4446113"/>
    <n v="69"/>
    <x v="1"/>
    <x v="1"/>
  </r>
  <r>
    <x v="1720"/>
    <s v="Future Quest 210"/>
    <x v="1"/>
    <s v="R. Kumar"/>
    <x v="9"/>
    <d v="2025-05-03T00:00:00"/>
    <x v="8"/>
    <x v="6"/>
    <s v="2 Seasons"/>
    <x v="3"/>
    <n v="5.6"/>
    <n v="12131050"/>
    <n v="572648"/>
    <n v="70"/>
    <x v="8"/>
    <x v="4"/>
  </r>
  <r>
    <x v="1721"/>
    <s v="Fire Legacy 1120"/>
    <x v="0"/>
    <s v="S. Patel"/>
    <x v="3"/>
    <d v="2025-05-03T00:00:00"/>
    <x v="25"/>
    <x v="8"/>
    <s v="79 Min"/>
    <x v="6"/>
    <n v="9.3000000000000007"/>
    <n v="19162933"/>
    <n v="1569336"/>
    <n v="99"/>
    <x v="9"/>
    <x v="1"/>
  </r>
  <r>
    <x v="1722"/>
    <s v="Secret Story 540"/>
    <x v="0"/>
    <s v="Unknown"/>
    <x v="3"/>
    <d v="2025-05-09T00:00:00"/>
    <x v="17"/>
    <x v="5"/>
    <s v="112 Min"/>
    <x v="2"/>
    <n v="11.2"/>
    <n v="19024405"/>
    <n v="1403941"/>
    <n v="82"/>
    <x v="5"/>
    <x v="3"/>
  </r>
  <r>
    <x v="1723"/>
    <s v="Hidden Line 841"/>
    <x v="0"/>
    <s v="Unknown"/>
    <x v="5"/>
    <d v="2025-05-10T00:00:00"/>
    <x v="21"/>
    <x v="9"/>
    <s v="121 Min"/>
    <x v="4"/>
    <n v="5.5"/>
    <n v="16910924"/>
    <n v="3846388"/>
    <n v="62"/>
    <x v="7"/>
    <x v="2"/>
  </r>
  <r>
    <x v="1724"/>
    <s v="Blue Legacy 933"/>
    <x v="0"/>
    <s v="M. Garcia"/>
    <x v="10"/>
    <d v="2025-05-14T00:00:00"/>
    <x v="21"/>
    <x v="6"/>
    <s v="136 Min"/>
    <x v="3"/>
    <n v="5.8"/>
    <n v="13110876"/>
    <n v="209709"/>
    <n v="66"/>
    <x v="4"/>
    <x v="0"/>
  </r>
  <r>
    <x v="1725"/>
    <s v="Future Legacy 755"/>
    <x v="0"/>
    <s v="P. Johnson"/>
    <x v="10"/>
    <d v="2025-05-15T00:00:00"/>
    <x v="21"/>
    <x v="8"/>
    <s v="90 Min"/>
    <x v="10"/>
    <n v="5.2"/>
    <n v="21896319"/>
    <n v="4574482"/>
    <n v="48"/>
    <x v="9"/>
    <x v="0"/>
  </r>
  <r>
    <x v="1726"/>
    <s v="Shadow Zone 300"/>
    <x v="0"/>
    <s v="K. Tanaka"/>
    <x v="6"/>
    <d v="2025-05-19T00:00:00"/>
    <x v="12"/>
    <x v="0"/>
    <s v="88 Min"/>
    <x v="2"/>
    <n v="8.6999999999999993"/>
    <n v="11279404"/>
    <n v="3639249"/>
    <n v="91"/>
    <x v="4"/>
    <x v="3"/>
  </r>
  <r>
    <x v="1727"/>
    <s v="Last Rise 1940"/>
    <x v="1"/>
    <s v="A. Smith"/>
    <x v="3"/>
    <d v="2025-05-19T00:00:00"/>
    <x v="25"/>
    <x v="1"/>
    <s v="4 Seasons"/>
    <x v="7"/>
    <n v="5.7"/>
    <n v="183701"/>
    <n v="2999989"/>
    <n v="40"/>
    <x v="3"/>
    <x v="2"/>
  </r>
  <r>
    <x v="1728"/>
    <s v="Broken Truth 224"/>
    <x v="2"/>
    <s v="J. Lee"/>
    <x v="6"/>
    <d v="2025-05-20T00:00:00"/>
    <x v="16"/>
    <x v="7"/>
    <s v="5 Seasons"/>
    <x v="0"/>
    <n v="6.6"/>
    <n v="10290482"/>
    <n v="467880"/>
    <n v="60"/>
    <x v="1"/>
    <x v="4"/>
  </r>
  <r>
    <x v="1729"/>
    <s v="Blue Empire 880"/>
    <x v="2"/>
    <s v="R. Kumar"/>
    <x v="0"/>
    <d v="2025-05-21T00:00:00"/>
    <x v="14"/>
    <x v="6"/>
    <s v="5 Seasons"/>
    <x v="3"/>
    <n v="8.1999999999999993"/>
    <n v="17793982"/>
    <n v="568947"/>
    <n v="90"/>
    <x v="7"/>
    <x v="2"/>
  </r>
  <r>
    <x v="1730"/>
    <s v="Secret Quest 1974"/>
    <x v="1"/>
    <s v="Unknown"/>
    <x v="2"/>
    <d v="2025-05-26T00:00:00"/>
    <x v="2"/>
    <x v="3"/>
    <s v="5 Seasons"/>
    <x v="6"/>
    <n v="5.0999999999999996"/>
    <n v="23184745"/>
    <n v="299006"/>
    <n v="52"/>
    <x v="6"/>
    <x v="2"/>
  </r>
  <r>
    <x v="1731"/>
    <s v="Hidden Game 406"/>
    <x v="1"/>
    <s v="K. Tanaka"/>
    <x v="7"/>
    <d v="2025-05-27T00:00:00"/>
    <x v="27"/>
    <x v="3"/>
    <s v="2 Seasons"/>
    <x v="2"/>
    <n v="4.9000000000000004"/>
    <n v="19304511"/>
    <n v="2478659"/>
    <n v="42"/>
    <x v="7"/>
    <x v="4"/>
  </r>
  <r>
    <x v="1732"/>
    <s v="Lost Night 1215"/>
    <x v="0"/>
    <s v="S. Patel"/>
    <x v="11"/>
    <d v="2025-05-27T00:00:00"/>
    <x v="8"/>
    <x v="0"/>
    <s v="109 Min"/>
    <x v="2"/>
    <n v="9.6"/>
    <n v="2757451"/>
    <n v="179013"/>
    <n v="97"/>
    <x v="4"/>
    <x v="0"/>
  </r>
  <r>
    <x v="1733"/>
    <s v="Future Edge 989"/>
    <x v="1"/>
    <s v="Unknown"/>
    <x v="7"/>
    <d v="2025-05-30T00:00:00"/>
    <x v="4"/>
    <x v="9"/>
    <s v="6 Seasons"/>
    <x v="4"/>
    <n v="9.6999999999999993"/>
    <n v="4580085"/>
    <n v="3256604"/>
    <n v="87"/>
    <x v="6"/>
    <x v="4"/>
  </r>
  <r>
    <x v="1734"/>
    <s v="Blue Mission 1368"/>
    <x v="2"/>
    <s v="D. Kim"/>
    <x v="2"/>
    <d v="2025-05-30T00:00:00"/>
    <x v="25"/>
    <x v="3"/>
    <s v="5 Seasons"/>
    <x v="8"/>
    <n v="5.7"/>
    <n v="22152832"/>
    <n v="74221"/>
    <n v="69"/>
    <x v="9"/>
    <x v="0"/>
  </r>
  <r>
    <x v="1735"/>
    <s v="Golden Rise 781"/>
    <x v="1"/>
    <s v="R. Kumar"/>
    <x v="8"/>
    <d v="2025-06-01T00:00:00"/>
    <x v="15"/>
    <x v="4"/>
    <s v="4 Seasons"/>
    <x v="9"/>
    <n v="8.5"/>
    <n v="3456354"/>
    <n v="1760669"/>
    <n v="71"/>
    <x v="4"/>
    <x v="2"/>
  </r>
  <r>
    <x v="1736"/>
    <s v="Ocean Files 1910"/>
    <x v="1"/>
    <s v="A. Smith"/>
    <x v="2"/>
    <d v="2025-06-04T00:00:00"/>
    <x v="15"/>
    <x v="8"/>
    <s v="3 Seasons"/>
    <x v="3"/>
    <n v="6.6"/>
    <n v="15414664"/>
    <n v="4622960"/>
    <n v="83"/>
    <x v="6"/>
    <x v="1"/>
  </r>
  <r>
    <x v="1737"/>
    <s v="Hidden Empire 715"/>
    <x v="0"/>
    <s v="S. Patel"/>
    <x v="0"/>
    <d v="2025-06-05T00:00:00"/>
    <x v="11"/>
    <x v="5"/>
    <s v="113 Min"/>
    <x v="6"/>
    <n v="8.5"/>
    <n v="17235958"/>
    <n v="1930870"/>
    <n v="62"/>
    <x v="1"/>
    <x v="4"/>
  </r>
  <r>
    <x v="1738"/>
    <s v="Silent Line 1343"/>
    <x v="1"/>
    <s v="A. Smith"/>
    <x v="4"/>
    <d v="2025-06-05T00:00:00"/>
    <x v="24"/>
    <x v="0"/>
    <s v="5 Seasons"/>
    <x v="3"/>
    <n v="7"/>
    <n v="11727511"/>
    <n v="3932703"/>
    <n v="44"/>
    <x v="2"/>
    <x v="1"/>
  </r>
  <r>
    <x v="1739"/>
    <s v="Golden Files 748"/>
    <x v="1"/>
    <s v="D. Kim"/>
    <x v="11"/>
    <d v="2025-06-06T00:00:00"/>
    <x v="14"/>
    <x v="4"/>
    <s v="7 Seasons"/>
    <x v="5"/>
    <n v="4.5"/>
    <n v="9442264"/>
    <n v="1796434"/>
    <n v="96"/>
    <x v="1"/>
    <x v="4"/>
  </r>
  <r>
    <x v="1740"/>
    <s v="Future Night 1557"/>
    <x v="0"/>
    <s v="K. Tanaka"/>
    <x v="8"/>
    <d v="2025-06-09T00:00:00"/>
    <x v="0"/>
    <x v="4"/>
    <s v="111 Min"/>
    <x v="0"/>
    <n v="8.6999999999999993"/>
    <n v="15464636"/>
    <n v="1393157"/>
    <n v="85"/>
    <x v="1"/>
    <x v="1"/>
  </r>
  <r>
    <x v="1741"/>
    <s v="Future Mission 165"/>
    <x v="1"/>
    <s v="Unknown"/>
    <x v="11"/>
    <d v="2025-06-11T00:00:00"/>
    <x v="11"/>
    <x v="6"/>
    <s v="3 Seasons"/>
    <x v="8"/>
    <n v="8.9"/>
    <n v="14854696"/>
    <n v="3562608"/>
    <n v="43"/>
    <x v="3"/>
    <x v="2"/>
  </r>
  <r>
    <x v="1742"/>
    <s v="Golden Chronicles 8"/>
    <x v="1"/>
    <s v="R. Kumar"/>
    <x v="7"/>
    <d v="2025-06-14T00:00:00"/>
    <x v="0"/>
    <x v="6"/>
    <s v="2 Seasons"/>
    <x v="2"/>
    <n v="5.9"/>
    <n v="5426980"/>
    <n v="4332327"/>
    <n v="120"/>
    <x v="5"/>
    <x v="4"/>
  </r>
  <r>
    <x v="1743"/>
    <s v="Lost Game 1306"/>
    <x v="0"/>
    <s v="R. Kumar"/>
    <x v="6"/>
    <d v="2025-06-14T00:00:00"/>
    <x v="7"/>
    <x v="8"/>
    <s v="154 Min"/>
    <x v="2"/>
    <n v="9.1999999999999993"/>
    <n v="23337089"/>
    <n v="358307"/>
    <n v="53"/>
    <x v="5"/>
    <x v="2"/>
  </r>
  <r>
    <x v="1744"/>
    <s v="Crimson Game 1906"/>
    <x v="1"/>
    <s v="S. Patel"/>
    <x v="12"/>
    <d v="2025-06-14T00:00:00"/>
    <x v="25"/>
    <x v="6"/>
    <s v="4 Seasons"/>
    <x v="6"/>
    <n v="9.6999999999999993"/>
    <n v="9996621"/>
    <n v="2411821"/>
    <n v="80"/>
    <x v="8"/>
    <x v="1"/>
  </r>
  <r>
    <x v="1745"/>
    <s v="Fire Chronicles 1157"/>
    <x v="2"/>
    <s v="L. Brown"/>
    <x v="1"/>
    <d v="2025-06-17T00:00:00"/>
    <x v="24"/>
    <x v="8"/>
    <s v="4 Seasons"/>
    <x v="4"/>
    <n v="6.4"/>
    <n v="2193827"/>
    <n v="4534331"/>
    <n v="51"/>
    <x v="3"/>
    <x v="3"/>
  </r>
  <r>
    <x v="1746"/>
    <s v="Royal Files 1298"/>
    <x v="1"/>
    <s v="L. Brown"/>
    <x v="2"/>
    <d v="2025-06-20T00:00:00"/>
    <x v="26"/>
    <x v="6"/>
    <s v="5 Seasons"/>
    <x v="6"/>
    <n v="6.2"/>
    <n v="9723751"/>
    <n v="1399550"/>
    <n v="72"/>
    <x v="6"/>
    <x v="1"/>
  </r>
  <r>
    <x v="1747"/>
    <s v="Ocean Empire 1983"/>
    <x v="1"/>
    <s v="P. Johnson"/>
    <x v="10"/>
    <d v="2025-06-20T00:00:00"/>
    <x v="10"/>
    <x v="9"/>
    <s v="3 Seasons"/>
    <x v="8"/>
    <n v="6.9"/>
    <n v="11776538"/>
    <n v="4762021"/>
    <n v="87"/>
    <x v="8"/>
    <x v="0"/>
  </r>
  <r>
    <x v="1748"/>
    <s v="Wild Chronicles 754"/>
    <x v="1"/>
    <s v="D. Kim"/>
    <x v="8"/>
    <d v="2025-06-22T00:00:00"/>
    <x v="12"/>
    <x v="4"/>
    <s v="4 Seasons"/>
    <x v="0"/>
    <n v="7.4"/>
    <n v="13999246"/>
    <n v="4692039"/>
    <n v="74"/>
    <x v="3"/>
    <x v="2"/>
  </r>
  <r>
    <x v="1749"/>
    <s v="Last Rise 1020"/>
    <x v="1"/>
    <s v="Unknown"/>
    <x v="5"/>
    <d v="2025-06-24T00:00:00"/>
    <x v="17"/>
    <x v="1"/>
    <s v="8 Seasons"/>
    <x v="3"/>
    <n v="4.5"/>
    <n v="21057071"/>
    <n v="4241790"/>
    <n v="85"/>
    <x v="7"/>
    <x v="1"/>
  </r>
  <r>
    <x v="1750"/>
    <s v="Broken Signal 1481"/>
    <x v="0"/>
    <s v="S. Patel"/>
    <x v="5"/>
    <d v="2025-06-26T00:00:00"/>
    <x v="23"/>
    <x v="0"/>
    <s v="125 Min"/>
    <x v="1"/>
    <n v="6.5"/>
    <n v="7248354"/>
    <n v="4348173"/>
    <n v="44"/>
    <x v="5"/>
    <x v="3"/>
  </r>
  <r>
    <x v="1751"/>
    <s v="Silent Game 1635"/>
    <x v="1"/>
    <s v="L. Brown"/>
    <x v="9"/>
    <d v="2025-06-30T00:00:00"/>
    <x v="19"/>
    <x v="5"/>
    <s v="3 Seasons"/>
    <x v="10"/>
    <n v="7.7"/>
    <n v="22276241"/>
    <n v="2617514"/>
    <n v="46"/>
    <x v="9"/>
    <x v="2"/>
  </r>
  <r>
    <x v="1752"/>
    <s v="Shadow Line 1534"/>
    <x v="0"/>
    <s v="K. Tanaka"/>
    <x v="9"/>
    <d v="2025-07-01T00:00:00"/>
    <x v="24"/>
    <x v="7"/>
    <s v="82 Min"/>
    <x v="1"/>
    <n v="9.6999999999999993"/>
    <n v="1747471"/>
    <n v="4674331"/>
    <n v="86"/>
    <x v="7"/>
    <x v="1"/>
  </r>
  <r>
    <x v="1753"/>
    <s v="Crimson Dream 34"/>
    <x v="1"/>
    <s v="A. Smith"/>
    <x v="5"/>
    <d v="2025-07-02T00:00:00"/>
    <x v="1"/>
    <x v="6"/>
    <s v="8 Seasons"/>
    <x v="1"/>
    <n v="8.1"/>
    <n v="24227417"/>
    <n v="3837320"/>
    <n v="89"/>
    <x v="6"/>
    <x v="2"/>
  </r>
  <r>
    <x v="1754"/>
    <s v="Secret Legacy 362"/>
    <x v="2"/>
    <s v="L. Brown"/>
    <x v="8"/>
    <d v="2025-07-02T00:00:00"/>
    <x v="23"/>
    <x v="8"/>
    <s v="8 Seasons"/>
    <x v="3"/>
    <n v="9.6999999999999993"/>
    <n v="152250"/>
    <n v="4398846"/>
    <n v="47"/>
    <x v="8"/>
    <x v="2"/>
  </r>
  <r>
    <x v="1755"/>
    <s v="Lost Empire 537"/>
    <x v="2"/>
    <s v="N. Singh"/>
    <x v="6"/>
    <d v="2025-07-03T00:00:00"/>
    <x v="22"/>
    <x v="3"/>
    <s v="7 Seasons"/>
    <x v="2"/>
    <n v="5.3"/>
    <n v="15556621"/>
    <n v="1802353"/>
    <n v="95"/>
    <x v="2"/>
    <x v="0"/>
  </r>
  <r>
    <x v="1756"/>
    <s v="Wild Rise 1727"/>
    <x v="0"/>
    <s v="L. Brown"/>
    <x v="10"/>
    <d v="2025-07-03T00:00:00"/>
    <x v="22"/>
    <x v="8"/>
    <s v="177 Min"/>
    <x v="1"/>
    <n v="9.8000000000000007"/>
    <n v="16836688"/>
    <n v="3801716"/>
    <n v="70"/>
    <x v="0"/>
    <x v="3"/>
  </r>
  <r>
    <x v="1757"/>
    <s v="Crimson Code 1438"/>
    <x v="1"/>
    <s v="M. Garcia"/>
    <x v="6"/>
    <d v="2025-07-06T00:00:00"/>
    <x v="16"/>
    <x v="0"/>
    <s v="2 Seasons"/>
    <x v="4"/>
    <n v="11.2"/>
    <n v="11710529"/>
    <n v="440786"/>
    <n v="89"/>
    <x v="2"/>
    <x v="2"/>
  </r>
  <r>
    <x v="1758"/>
    <s v="Shadow Edge 1989"/>
    <x v="0"/>
    <s v="K. Tanaka"/>
    <x v="7"/>
    <d v="2025-07-09T00:00:00"/>
    <x v="5"/>
    <x v="1"/>
    <s v="145 Min"/>
    <x v="7"/>
    <n v="5.6"/>
    <n v="9205629"/>
    <n v="2628888"/>
    <n v="76"/>
    <x v="5"/>
    <x v="1"/>
  </r>
  <r>
    <x v="1759"/>
    <s v="Shadow Mission 865"/>
    <x v="0"/>
    <s v="P. Johnson"/>
    <x v="9"/>
    <d v="2025-07-12T00:00:00"/>
    <x v="20"/>
    <x v="5"/>
    <s v="144 Min"/>
    <x v="6"/>
    <n v="6.1"/>
    <n v="8074069"/>
    <n v="3775688"/>
    <n v="82"/>
    <x v="6"/>
    <x v="0"/>
  </r>
  <r>
    <x v="1760"/>
    <s v="Wild Empire 805"/>
    <x v="2"/>
    <s v="D. Kim"/>
    <x v="2"/>
    <d v="2025-07-14T00:00:00"/>
    <x v="11"/>
    <x v="3"/>
    <s v="5 Seasons"/>
    <x v="8"/>
    <n v="8.4"/>
    <n v="13785772"/>
    <n v="2244505"/>
    <n v="94"/>
    <x v="5"/>
    <x v="3"/>
  </r>
  <r>
    <x v="1761"/>
    <s v="Blue Game 1315"/>
    <x v="2"/>
    <s v="J. Lee"/>
    <x v="12"/>
    <d v="2025-07-14T00:00:00"/>
    <x v="8"/>
    <x v="8"/>
    <s v="1 Seasons"/>
    <x v="7"/>
    <n v="6.6"/>
    <n v="2021979"/>
    <n v="2710985"/>
    <n v="40"/>
    <x v="3"/>
    <x v="3"/>
  </r>
  <r>
    <x v="1762"/>
    <s v="Dark Game 1578"/>
    <x v="1"/>
    <s v="P. Johnson"/>
    <x v="6"/>
    <d v="2025-07-19T00:00:00"/>
    <x v="17"/>
    <x v="2"/>
    <s v="4 Seasons"/>
    <x v="10"/>
    <n v="7.2"/>
    <n v="15805212"/>
    <n v="3804784"/>
    <n v="99"/>
    <x v="1"/>
    <x v="4"/>
  </r>
  <r>
    <x v="1763"/>
    <s v="Blue Edge 154"/>
    <x v="0"/>
    <s v="P. Johnson"/>
    <x v="2"/>
    <d v="2025-07-22T00:00:00"/>
    <x v="26"/>
    <x v="9"/>
    <s v="70 Min"/>
    <x v="4"/>
    <n v="8.6999999999999993"/>
    <n v="11928637"/>
    <n v="538860"/>
    <n v="73"/>
    <x v="4"/>
    <x v="3"/>
  </r>
  <r>
    <x v="1764"/>
    <s v="Secret Chronicles 775"/>
    <x v="1"/>
    <s v="N. Singh"/>
    <x v="3"/>
    <d v="2025-07-23T00:00:00"/>
    <x v="25"/>
    <x v="1"/>
    <s v="3 Seasons"/>
    <x v="6"/>
    <n v="9.6999999999999993"/>
    <n v="4488567"/>
    <n v="1625651"/>
    <n v="55"/>
    <x v="6"/>
    <x v="3"/>
  </r>
  <r>
    <x v="1765"/>
    <s v="Fire Chronicles 881"/>
    <x v="0"/>
    <s v="M. Garcia"/>
    <x v="6"/>
    <d v="2025-07-23T00:00:00"/>
    <x v="4"/>
    <x v="3"/>
    <s v="170 Min"/>
    <x v="3"/>
    <n v="8.6"/>
    <n v="5271244"/>
    <n v="815426"/>
    <n v="46"/>
    <x v="8"/>
    <x v="3"/>
  </r>
  <r>
    <x v="1766"/>
    <s v="Dark Zone 1353"/>
    <x v="1"/>
    <s v="D. Kim"/>
    <x v="0"/>
    <d v="2025-07-23T00:00:00"/>
    <x v="6"/>
    <x v="5"/>
    <s v="8 Seasons"/>
    <x v="3"/>
    <n v="8.6"/>
    <n v="-915"/>
    <n v="4590458"/>
    <n v="86"/>
    <x v="1"/>
    <x v="4"/>
  </r>
  <r>
    <x v="1767"/>
    <s v="Infinite Journey 1286"/>
    <x v="1"/>
    <s v="P. Johnson"/>
    <x v="5"/>
    <d v="2025-07-26T00:00:00"/>
    <x v="1"/>
    <x v="8"/>
    <s v="5 Seasons"/>
    <x v="8"/>
    <n v="6.3"/>
    <n v="19759313"/>
    <n v="4403447"/>
    <n v="120"/>
    <x v="9"/>
    <x v="4"/>
  </r>
  <r>
    <x v="1768"/>
    <s v="Ocean Quest 684"/>
    <x v="1"/>
    <s v="D. Kim"/>
    <x v="8"/>
    <d v="2025-07-31T00:00:00"/>
    <x v="7"/>
    <x v="4"/>
    <s v="8 Seasons"/>
    <x v="1"/>
    <n v="7"/>
    <n v="14342832"/>
    <n v="1599421"/>
    <n v="86"/>
    <x v="0"/>
    <x v="0"/>
  </r>
  <r>
    <x v="1769"/>
    <s v="Lost Night 1337"/>
    <x v="1"/>
    <s v="Unknown"/>
    <x v="9"/>
    <d v="2025-08-03T00:00:00"/>
    <x v="6"/>
    <x v="4"/>
    <s v="1 Seasons"/>
    <x v="0"/>
    <n v="4.8"/>
    <n v="15804852"/>
    <n v="3566015"/>
    <n v="40"/>
    <x v="4"/>
    <x v="3"/>
  </r>
  <r>
    <x v="1770"/>
    <s v="Blue Edge 184"/>
    <x v="0"/>
    <s v="L. Brown"/>
    <x v="0"/>
    <d v="2025-08-07T00:00:00"/>
    <x v="25"/>
    <x v="3"/>
    <s v="120 Min"/>
    <x v="8"/>
    <n v="8.6"/>
    <n v="5112631"/>
    <n v="2340616"/>
    <n v="70"/>
    <x v="5"/>
    <x v="0"/>
  </r>
  <r>
    <x v="1771"/>
    <s v="Fire Files 384"/>
    <x v="1"/>
    <s v="N. Singh"/>
    <x v="7"/>
    <d v="2025-08-13T00:00:00"/>
    <x v="23"/>
    <x v="0"/>
    <s v="Unknown"/>
    <x v="6"/>
    <n v="7.3"/>
    <n v="15688748"/>
    <n v="778561"/>
    <n v="56"/>
    <x v="3"/>
    <x v="3"/>
  </r>
  <r>
    <x v="1772"/>
    <s v="Ocean Night 981"/>
    <x v="1"/>
    <s v="S. Patel"/>
    <x v="0"/>
    <d v="2025-08-13T00:00:00"/>
    <x v="11"/>
    <x v="7"/>
    <s v="7 Seasons"/>
    <x v="4"/>
    <n v="8.6999999999999993"/>
    <n v="4586963"/>
    <n v="2466251"/>
    <n v="72"/>
    <x v="5"/>
    <x v="3"/>
  </r>
  <r>
    <x v="1773"/>
    <s v="Dark Night 1479"/>
    <x v="0"/>
    <s v="D. Kim"/>
    <x v="12"/>
    <d v="2025-08-15T00:00:00"/>
    <x v="7"/>
    <x v="9"/>
    <s v="175 Min"/>
    <x v="2"/>
    <n v="8.1"/>
    <n v="4303519"/>
    <n v="4226212"/>
    <n v="60"/>
    <x v="2"/>
    <x v="2"/>
  </r>
  <r>
    <x v="1774"/>
    <s v="Fire Truth 1870"/>
    <x v="1"/>
    <s v="J. Lee"/>
    <x v="6"/>
    <d v="2025-08-17T00:00:00"/>
    <x v="27"/>
    <x v="4"/>
    <s v="2 Seasons"/>
    <x v="0"/>
    <n v="8.4"/>
    <n v="21136385"/>
    <n v="632904"/>
    <n v="74"/>
    <x v="1"/>
    <x v="2"/>
  </r>
  <r>
    <x v="1775"/>
    <s v="Hidden Game 1925"/>
    <x v="1"/>
    <s v="P. Johnson"/>
    <x v="9"/>
    <d v="2025-08-17T00:00:00"/>
    <x v="5"/>
    <x v="0"/>
    <s v="1 Seasons"/>
    <x v="3"/>
    <n v="7.5"/>
    <n v="13600739"/>
    <n v="2681474"/>
    <n v="44"/>
    <x v="2"/>
    <x v="3"/>
  </r>
  <r>
    <x v="1776"/>
    <s v="Infinite Line 604"/>
    <x v="0"/>
    <s v="L. Brown"/>
    <x v="5"/>
    <d v="2025-08-20T00:00:00"/>
    <x v="20"/>
    <x v="3"/>
    <s v="158 Min"/>
    <x v="3"/>
    <n v="7.9"/>
    <n v="14993651"/>
    <n v="2762697"/>
    <n v="54"/>
    <x v="5"/>
    <x v="4"/>
  </r>
  <r>
    <x v="1777"/>
    <s v="Golden Dream 12"/>
    <x v="2"/>
    <s v="N. Singh"/>
    <x v="7"/>
    <d v="2025-08-21T00:00:00"/>
    <x v="20"/>
    <x v="0"/>
    <s v="3 Seasons"/>
    <x v="1"/>
    <n v="8.6999999999999993"/>
    <n v="3458457"/>
    <n v="4418281"/>
    <n v="48"/>
    <x v="7"/>
    <x v="1"/>
  </r>
  <r>
    <x v="1778"/>
    <s v="Infinite Line 800"/>
    <x v="1"/>
    <s v="R. Kumar"/>
    <x v="1"/>
    <d v="2025-08-21T00:00:00"/>
    <x v="0"/>
    <x v="4"/>
    <s v="4 Seasons"/>
    <x v="3"/>
    <n v="4.9000000000000004"/>
    <n v="398506"/>
    <n v="556960"/>
    <n v="68"/>
    <x v="0"/>
    <x v="2"/>
  </r>
  <r>
    <x v="1779"/>
    <s v="Fire Files 1544"/>
    <x v="0"/>
    <s v="K. Tanaka"/>
    <x v="11"/>
    <d v="2025-08-27T00:00:00"/>
    <x v="25"/>
    <x v="4"/>
    <s v="136 Min"/>
    <x v="0"/>
    <n v="7.6"/>
    <n v="14851868"/>
    <n v="4342242"/>
    <n v="59"/>
    <x v="4"/>
    <x v="3"/>
  </r>
  <r>
    <x v="1780"/>
    <s v="Future Journey 534"/>
    <x v="0"/>
    <s v="D. Kim"/>
    <x v="7"/>
    <d v="2025-08-30T00:00:00"/>
    <x v="11"/>
    <x v="4"/>
    <s v="125 Min"/>
    <x v="3"/>
    <n v="8.8000000000000007"/>
    <n v="19199649"/>
    <n v="827338"/>
    <n v="98"/>
    <x v="1"/>
    <x v="4"/>
  </r>
  <r>
    <x v="1781"/>
    <s v="Dark Night 1787"/>
    <x v="2"/>
    <s v="N. Singh"/>
    <x v="9"/>
    <d v="2025-08-30T00:00:00"/>
    <x v="26"/>
    <x v="0"/>
    <s v="1 Seasons"/>
    <x v="5"/>
    <n v="5.8"/>
    <n v="6268571"/>
    <n v="3799700"/>
    <n v="81"/>
    <x v="6"/>
    <x v="1"/>
  </r>
  <r>
    <x v="1782"/>
    <s v="Blue Empire 193"/>
    <x v="1"/>
    <s v="R. Kumar"/>
    <x v="3"/>
    <d v="2025-09-06T00:00:00"/>
    <x v="8"/>
    <x v="6"/>
    <s v="8 Seasons"/>
    <x v="7"/>
    <n v="5.6"/>
    <n v="721973"/>
    <n v="1620716"/>
    <n v="100"/>
    <x v="5"/>
    <x v="0"/>
  </r>
  <r>
    <x v="1783"/>
    <s v="Hidden Empire 909"/>
    <x v="0"/>
    <s v="Unknown"/>
    <x v="3"/>
    <d v="2025-09-06T00:00:00"/>
    <x v="4"/>
    <x v="6"/>
    <s v="85 Min"/>
    <x v="3"/>
    <n v="5.8"/>
    <n v="919372"/>
    <n v="4624384"/>
    <n v="91"/>
    <x v="7"/>
    <x v="4"/>
  </r>
  <r>
    <x v="1784"/>
    <s v="Crimson Truth 342"/>
    <x v="0"/>
    <s v="A. Smith"/>
    <x v="11"/>
    <d v="2025-09-07T00:00:00"/>
    <x v="14"/>
    <x v="5"/>
    <s v="92 Min"/>
    <x v="5"/>
    <n v="6.5"/>
    <n v="21828435"/>
    <n v="2668479"/>
    <n v="41"/>
    <x v="0"/>
    <x v="2"/>
  </r>
  <r>
    <x v="1785"/>
    <s v="Dark Night 425"/>
    <x v="2"/>
    <s v="Unknown"/>
    <x v="9"/>
    <d v="2025-09-09T00:00:00"/>
    <x v="12"/>
    <x v="7"/>
    <s v="5 Seasons"/>
    <x v="9"/>
    <n v="6.3"/>
    <n v="17289605"/>
    <n v="1744400"/>
    <n v="71"/>
    <x v="5"/>
    <x v="3"/>
  </r>
  <r>
    <x v="1786"/>
    <s v="Dark Journey 845"/>
    <x v="0"/>
    <s v="L. Brown"/>
    <x v="1"/>
    <d v="2025-09-15T00:00:00"/>
    <x v="2"/>
    <x v="6"/>
    <s v="126 Min"/>
    <x v="2"/>
    <n v="8.1999999999999993"/>
    <n v="9194870"/>
    <n v="626586"/>
    <n v="73"/>
    <x v="5"/>
    <x v="0"/>
  </r>
  <r>
    <x v="1787"/>
    <s v="Shadow Code 259"/>
    <x v="0"/>
    <s v="L. Brown"/>
    <x v="11"/>
    <d v="2025-09-16T00:00:00"/>
    <x v="17"/>
    <x v="8"/>
    <s v="100 Min"/>
    <x v="3"/>
    <n v="8.1"/>
    <n v="15197602"/>
    <n v="4221236"/>
    <n v="42"/>
    <x v="0"/>
    <x v="1"/>
  </r>
  <r>
    <x v="1788"/>
    <s v="Urban World 467"/>
    <x v="1"/>
    <s v="L. Brown"/>
    <x v="7"/>
    <d v="2025-09-16T00:00:00"/>
    <x v="22"/>
    <x v="3"/>
    <s v="2 Seasons"/>
    <x v="4"/>
    <n v="7.1"/>
    <n v="21701269"/>
    <n v="1856734"/>
    <n v="75"/>
    <x v="4"/>
    <x v="4"/>
  </r>
  <r>
    <x v="1789"/>
    <s v="Last Valley 413"/>
    <x v="0"/>
    <s v="Unknown"/>
    <x v="4"/>
    <d v="2025-09-17T00:00:00"/>
    <x v="3"/>
    <x v="1"/>
    <s v="137 Min"/>
    <x v="2"/>
    <n v="6.4"/>
    <n v="1266115"/>
    <n v="1082652"/>
    <n v="42"/>
    <x v="6"/>
    <x v="1"/>
  </r>
  <r>
    <x v="1790"/>
    <s v="Beyond Night 59"/>
    <x v="0"/>
    <s v="S. Patel"/>
    <x v="4"/>
    <d v="2025-09-20T00:00:00"/>
    <x v="5"/>
    <x v="5"/>
    <s v="78 Min"/>
    <x v="2"/>
    <n v="4.9000000000000004"/>
    <n v="5895169"/>
    <n v="1896392"/>
    <n v="56"/>
    <x v="2"/>
    <x v="2"/>
  </r>
  <r>
    <x v="1791"/>
    <s v="Golden Quest 1675"/>
    <x v="0"/>
    <s v="Unknown"/>
    <x v="7"/>
    <d v="2025-09-20T00:00:00"/>
    <x v="9"/>
    <x v="9"/>
    <s v="143 Min"/>
    <x v="3"/>
    <n v="6.3"/>
    <n v="1004138"/>
    <n v="2135512"/>
    <n v="81"/>
    <x v="9"/>
    <x v="2"/>
  </r>
  <r>
    <x v="1792"/>
    <s v="Silent Code 1380"/>
    <x v="1"/>
    <s v="R. Kumar"/>
    <x v="5"/>
    <d v="2025-09-26T00:00:00"/>
    <x v="3"/>
    <x v="1"/>
    <s v="7 Seasons"/>
    <x v="5"/>
    <n v="9.8000000000000007"/>
    <n v="14918719"/>
    <n v="292860"/>
    <n v="88"/>
    <x v="8"/>
    <x v="4"/>
  </r>
  <r>
    <x v="1793"/>
    <s v="Broken Empire 1135"/>
    <x v="0"/>
    <s v="M. Garcia"/>
    <x v="9"/>
    <d v="2025-09-29T00:00:00"/>
    <x v="18"/>
    <x v="9"/>
    <s v="166 Min"/>
    <x v="7"/>
    <n v="8.1999999999999993"/>
    <n v="22383505"/>
    <n v="1969922"/>
    <n v="47"/>
    <x v="5"/>
    <x v="1"/>
  </r>
  <r>
    <x v="1794"/>
    <s v="Wild Files 1740"/>
    <x v="2"/>
    <s v="D. Kim"/>
    <x v="0"/>
    <d v="2025-10-02T00:00:00"/>
    <x v="12"/>
    <x v="0"/>
    <s v="5 Seasons"/>
    <x v="9"/>
    <n v="7.8"/>
    <n v="16342619"/>
    <n v="1788355"/>
    <n v="44"/>
    <x v="8"/>
    <x v="3"/>
  </r>
  <r>
    <x v="1795"/>
    <s v="Shadow Story 247"/>
    <x v="0"/>
    <s v="Unknown"/>
    <x v="4"/>
    <d v="2025-10-03T00:00:00"/>
    <x v="2"/>
    <x v="0"/>
    <s v="118 Min"/>
    <x v="8"/>
    <n v="9.8000000000000007"/>
    <n v="22295702"/>
    <n v="36921"/>
    <n v="84"/>
    <x v="9"/>
    <x v="4"/>
  </r>
  <r>
    <x v="1796"/>
    <s v="Silent Dream 1746"/>
    <x v="0"/>
    <s v="L. Brown"/>
    <x v="11"/>
    <d v="2025-10-04T00:00:00"/>
    <x v="12"/>
    <x v="3"/>
    <s v="127 Min"/>
    <x v="8"/>
    <n v="9.6"/>
    <n v="18808111"/>
    <n v="3148120"/>
    <n v="66"/>
    <x v="7"/>
    <x v="1"/>
  </r>
  <r>
    <x v="1797"/>
    <s v="Last Rise 1257"/>
    <x v="1"/>
    <s v="Unknown"/>
    <x v="5"/>
    <d v="2025-10-05T00:00:00"/>
    <x v="14"/>
    <x v="9"/>
    <s v="7 Seasons"/>
    <x v="5"/>
    <n v="5.5"/>
    <n v="2526566"/>
    <n v="3647517"/>
    <n v="52"/>
    <x v="5"/>
    <x v="4"/>
  </r>
  <r>
    <x v="1798"/>
    <s v="Urban Mission 856"/>
    <x v="2"/>
    <s v="Unknown"/>
    <x v="12"/>
    <d v="2025-10-06T00:00:00"/>
    <x v="21"/>
    <x v="2"/>
    <s v="6 Seasons"/>
    <x v="1"/>
    <n v="6.4"/>
    <n v="21040355"/>
    <n v="922742"/>
    <n v="90"/>
    <x v="9"/>
    <x v="2"/>
  </r>
  <r>
    <x v="1799"/>
    <s v="Broken Code 1069"/>
    <x v="0"/>
    <s v="D. Kim"/>
    <x v="12"/>
    <d v="2025-10-06T00:00:00"/>
    <x v="17"/>
    <x v="6"/>
    <s v="81 Min"/>
    <x v="7"/>
    <n v="5.4"/>
    <n v="21027522"/>
    <n v="4435130"/>
    <n v="63"/>
    <x v="8"/>
    <x v="2"/>
  </r>
  <r>
    <x v="1800"/>
    <s v="Wild Game 504"/>
    <x v="0"/>
    <s v="A. Smith"/>
    <x v="9"/>
    <d v="2025-10-08T00:00:00"/>
    <x v="5"/>
    <x v="6"/>
    <s v="160 Min"/>
    <x v="9"/>
    <n v="4.7"/>
    <n v="17057603"/>
    <n v="3598382"/>
    <n v="94"/>
    <x v="2"/>
    <x v="0"/>
  </r>
  <r>
    <x v="1801"/>
    <s v="Echo Dream 1028"/>
    <x v="0"/>
    <s v="S. Patel"/>
    <x v="7"/>
    <d v="2025-10-11T00:00:00"/>
    <x v="20"/>
    <x v="5"/>
    <s v="97 Min"/>
    <x v="3"/>
    <n v="8.1999999999999993"/>
    <n v="24612544"/>
    <n v="4361020"/>
    <n v="50"/>
    <x v="1"/>
    <x v="1"/>
  </r>
  <r>
    <x v="1802"/>
    <s v="Fire Night 667"/>
    <x v="1"/>
    <s v="L. Brown"/>
    <x v="8"/>
    <d v="2025-10-19T00:00:00"/>
    <x v="25"/>
    <x v="1"/>
    <s v="5 Seasons"/>
    <x v="0"/>
    <n v="5.4"/>
    <n v="12334992"/>
    <n v="1724681"/>
    <n v="92"/>
    <x v="4"/>
    <x v="3"/>
  </r>
  <r>
    <x v="1803"/>
    <s v="Crimson Signal 400"/>
    <x v="2"/>
    <s v="K. Tanaka"/>
    <x v="5"/>
    <d v="2025-10-21T00:00:00"/>
    <x v="3"/>
    <x v="3"/>
    <s v="7 Seasons"/>
    <x v="3"/>
    <n v="5.7"/>
    <n v="8255932"/>
    <n v="1535512"/>
    <n v="84"/>
    <x v="0"/>
    <x v="4"/>
  </r>
  <r>
    <x v="1804"/>
    <s v="Secret Night 1903"/>
    <x v="1"/>
    <s v="P. Johnson"/>
    <x v="10"/>
    <d v="2025-10-23T00:00:00"/>
    <x v="21"/>
    <x v="9"/>
    <s v="2 Seasons"/>
    <x v="6"/>
    <n v="5.8"/>
    <n v="13989023"/>
    <n v="2700650"/>
    <n v="94"/>
    <x v="0"/>
    <x v="2"/>
  </r>
  <r>
    <x v="1805"/>
    <s v="Fire Rise 1750"/>
    <x v="0"/>
    <s v="L. Brown"/>
    <x v="6"/>
    <d v="2025-10-25T00:00:00"/>
    <x v="13"/>
    <x v="3"/>
    <s v="135 Min"/>
    <x v="3"/>
    <n v="7.8"/>
    <n v="22246005"/>
    <n v="4095203"/>
    <n v="63"/>
    <x v="9"/>
    <x v="3"/>
  </r>
  <r>
    <x v="1806"/>
    <s v="Secret Dream 729"/>
    <x v="1"/>
    <s v="Unknown"/>
    <x v="0"/>
    <d v="2025-10-31T00:00:00"/>
    <x v="5"/>
    <x v="4"/>
    <s v="1 Seasons"/>
    <x v="4"/>
    <n v="4.7"/>
    <n v="24459712"/>
    <n v="2002455"/>
    <n v="53"/>
    <x v="5"/>
    <x v="3"/>
  </r>
  <r>
    <x v="1807"/>
    <s v="Beyond Legacy 277"/>
    <x v="2"/>
    <s v="S. Patel"/>
    <x v="1"/>
    <d v="2025-11-03T00:00:00"/>
    <x v="22"/>
    <x v="0"/>
    <s v="6 Seasons"/>
    <x v="7"/>
    <n v="7.4"/>
    <n v="19185429"/>
    <n v="1864853"/>
    <n v="87"/>
    <x v="9"/>
    <x v="3"/>
  </r>
  <r>
    <x v="1808"/>
    <s v="Shadow Empire 1507"/>
    <x v="1"/>
    <s v="P. Johnson"/>
    <x v="7"/>
    <d v="2025-11-04T00:00:00"/>
    <x v="20"/>
    <x v="1"/>
    <s v="2 Seasons"/>
    <x v="10"/>
    <n v="9.8000000000000007"/>
    <n v="12930963"/>
    <n v="4535444"/>
    <n v="44"/>
    <x v="1"/>
    <x v="2"/>
  </r>
  <r>
    <x v="1809"/>
    <s v="Fire World 453"/>
    <x v="0"/>
    <s v="Unknown"/>
    <x v="5"/>
    <d v="2025-11-07T00:00:00"/>
    <x v="0"/>
    <x v="5"/>
    <s v="149 Min"/>
    <x v="3"/>
    <n v="7.9"/>
    <n v="-845"/>
    <n v="1381177"/>
    <n v="69"/>
    <x v="8"/>
    <x v="4"/>
  </r>
  <r>
    <x v="1810"/>
    <s v="Lost World 892"/>
    <x v="1"/>
    <s v="R. Kumar"/>
    <x v="1"/>
    <d v="2025-11-07T00:00:00"/>
    <x v="24"/>
    <x v="3"/>
    <s v="7 Seasons"/>
    <x v="2"/>
    <n v="9.1"/>
    <n v="6231167"/>
    <n v="3632255"/>
    <n v="83"/>
    <x v="7"/>
    <x v="1"/>
  </r>
  <r>
    <x v="1811"/>
    <s v="Shadow Chronicles 867"/>
    <x v="1"/>
    <s v="S. Patel"/>
    <x v="8"/>
    <d v="2025-11-08T00:00:00"/>
    <x v="22"/>
    <x v="7"/>
    <s v="1 Seasons"/>
    <x v="9"/>
    <n v="8.9"/>
    <n v="21380588"/>
    <n v="4903592"/>
    <n v="60"/>
    <x v="0"/>
    <x v="2"/>
  </r>
  <r>
    <x v="1812"/>
    <s v="Urban Rise 634"/>
    <x v="0"/>
    <s v="J. Lee"/>
    <x v="1"/>
    <d v="2025-11-09T00:00:00"/>
    <x v="16"/>
    <x v="6"/>
    <s v="145 Min"/>
    <x v="9"/>
    <n v="5.0999999999999996"/>
    <n v="9177554"/>
    <n v="3594947"/>
    <n v="75"/>
    <x v="6"/>
    <x v="2"/>
  </r>
  <r>
    <x v="1813"/>
    <s v="Silent Rise 1605"/>
    <x v="1"/>
    <s v="M. Garcia"/>
    <x v="3"/>
    <d v="2025-11-09T00:00:00"/>
    <x v="1"/>
    <x v="2"/>
    <s v="1 Seasons"/>
    <x v="4"/>
    <n v="5"/>
    <n v="7812420"/>
    <n v="1920092"/>
    <n v="94"/>
    <x v="6"/>
    <x v="0"/>
  </r>
  <r>
    <x v="1814"/>
    <s v="Ocean Dream 1929"/>
    <x v="1"/>
    <s v="S. Patel"/>
    <x v="0"/>
    <d v="2025-11-14T00:00:00"/>
    <x v="9"/>
    <x v="3"/>
    <s v="5 Seasons"/>
    <x v="3"/>
    <n v="11.2"/>
    <n v="12884971"/>
    <n v="3946448"/>
    <n v="67"/>
    <x v="1"/>
    <x v="4"/>
  </r>
  <r>
    <x v="1815"/>
    <s v="Lost Edge 1645"/>
    <x v="1"/>
    <s v="J. Lee"/>
    <x v="11"/>
    <d v="2025-11-19T00:00:00"/>
    <x v="1"/>
    <x v="0"/>
    <s v="2 Seasons"/>
    <x v="1"/>
    <n v="7.2"/>
    <n v="8050593"/>
    <n v="4855902"/>
    <n v="43"/>
    <x v="2"/>
    <x v="1"/>
  </r>
  <r>
    <x v="1816"/>
    <s v="Urban Night 441"/>
    <x v="0"/>
    <s v="N. Singh"/>
    <x v="3"/>
    <d v="2025-11-20T00:00:00"/>
    <x v="18"/>
    <x v="5"/>
    <s v="177 Min"/>
    <x v="2"/>
    <n v="5.6"/>
    <n v="22330293"/>
    <n v="524877"/>
    <n v="99"/>
    <x v="7"/>
    <x v="1"/>
  </r>
  <r>
    <x v="1817"/>
    <s v="Royal Edge 1658"/>
    <x v="0"/>
    <s v="Unknown"/>
    <x v="8"/>
    <d v="2025-11-20T00:00:00"/>
    <x v="3"/>
    <x v="9"/>
    <s v="80 Min"/>
    <x v="7"/>
    <n v="4.5999999999999996"/>
    <n v="24493951"/>
    <n v="1269670"/>
    <n v="66"/>
    <x v="7"/>
    <x v="3"/>
  </r>
  <r>
    <x v="1818"/>
    <s v="Lost Code 1715"/>
    <x v="1"/>
    <s v="R. Kumar"/>
    <x v="4"/>
    <d v="2025-11-23T00:00:00"/>
    <x v="9"/>
    <x v="3"/>
    <s v="7 Seasons"/>
    <x v="10"/>
    <n v="5.8"/>
    <n v="10980196"/>
    <n v="1485283"/>
    <n v="75"/>
    <x v="5"/>
    <x v="1"/>
  </r>
  <r>
    <x v="1819"/>
    <s v="Infinite Chronicles 348"/>
    <x v="1"/>
    <s v="S. Patel"/>
    <x v="1"/>
    <d v="2025-12-01T00:00:00"/>
    <x v="4"/>
    <x v="8"/>
    <s v="6 Seasons"/>
    <x v="1"/>
    <n v="6.9"/>
    <n v="22192844"/>
    <n v="4439730"/>
    <n v="81"/>
    <x v="6"/>
    <x v="0"/>
  </r>
  <r>
    <x v="1820"/>
    <s v="Broken Mission 1054"/>
    <x v="2"/>
    <s v="R. Kumar"/>
    <x v="2"/>
    <d v="2025-12-03T00:00:00"/>
    <x v="4"/>
    <x v="6"/>
    <s v="4 Seasons"/>
    <x v="4"/>
    <n v="5.2"/>
    <n v="24146328"/>
    <n v="224353"/>
    <n v="49"/>
    <x v="3"/>
    <x v="2"/>
  </r>
  <r>
    <x v="1821"/>
    <s v="Silent Valley 290"/>
    <x v="1"/>
    <s v="R. Kumar"/>
    <x v="1"/>
    <d v="2025-12-04T00:00:00"/>
    <x v="12"/>
    <x v="6"/>
    <s v="2 Seasons"/>
    <x v="4"/>
    <n v="5.6"/>
    <n v="23901443"/>
    <n v="3177861"/>
    <n v="88"/>
    <x v="5"/>
    <x v="4"/>
  </r>
  <r>
    <x v="1822"/>
    <s v="Broken Journey 590"/>
    <x v="0"/>
    <s v="M. Garcia"/>
    <x v="7"/>
    <d v="2025-12-10T00:00:00"/>
    <x v="3"/>
    <x v="8"/>
    <s v="113 Min"/>
    <x v="2"/>
    <n v="9.5"/>
    <n v="18674939"/>
    <n v="821406"/>
    <n v="52"/>
    <x v="3"/>
    <x v="1"/>
  </r>
  <r>
    <x v="1823"/>
    <s v="Last Story 1317"/>
    <x v="1"/>
    <s v="A. Smith"/>
    <x v="12"/>
    <d v="2025-12-12T00:00:00"/>
    <x v="14"/>
    <x v="5"/>
    <s v="4 Seasons"/>
    <x v="2"/>
    <n v="9.1999999999999993"/>
    <n v="23559074"/>
    <n v="4138787"/>
    <n v="120"/>
    <x v="2"/>
    <x v="3"/>
  </r>
  <r>
    <x v="1824"/>
    <s v="Echo Quest 288"/>
    <x v="0"/>
    <s v="A. Smith"/>
    <x v="10"/>
    <d v="2025-12-13T00:00:00"/>
    <x v="16"/>
    <x v="4"/>
    <s v="125 Min"/>
    <x v="1"/>
    <n v="6.8"/>
    <n v="6874511"/>
    <n v="1198215"/>
    <n v="82"/>
    <x v="6"/>
    <x v="4"/>
  </r>
  <r>
    <x v="1825"/>
    <s v="Infinite Journey 326"/>
    <x v="1"/>
    <s v="L. Brown"/>
    <x v="10"/>
    <d v="2025-12-14T00:00:00"/>
    <x v="7"/>
    <x v="9"/>
    <s v="4 Seasons"/>
    <x v="2"/>
    <n v="6.9"/>
    <n v="7533101"/>
    <n v="839657"/>
    <n v="49"/>
    <x v="1"/>
    <x v="1"/>
  </r>
  <r>
    <x v="1826"/>
    <s v="Last Code 1662"/>
    <x v="1"/>
    <s v="K. Tanaka"/>
    <x v="10"/>
    <d v="2025-12-14T00:00:00"/>
    <x v="3"/>
    <x v="2"/>
    <s v="3 Seasons"/>
    <x v="2"/>
    <n v="9.6999999999999993"/>
    <n v="24245426"/>
    <n v="4260828"/>
    <n v="43"/>
    <x v="0"/>
    <x v="2"/>
  </r>
  <r>
    <x v="1827"/>
    <s v="Broken World 1986"/>
    <x v="0"/>
    <s v="K. Tanaka"/>
    <x v="4"/>
    <d v="2025-12-15T00:00:00"/>
    <x v="19"/>
    <x v="3"/>
    <s v="131 Min"/>
    <x v="9"/>
    <n v="9.3000000000000007"/>
    <n v="4418065"/>
    <n v="3142357"/>
    <n v="78"/>
    <x v="0"/>
    <x v="4"/>
  </r>
  <r>
    <x v="1828"/>
    <s v="Secret Mission 1874"/>
    <x v="1"/>
    <s v="M. Garcia"/>
    <x v="12"/>
    <d v="2025-12-17T00:00:00"/>
    <x v="18"/>
    <x v="2"/>
    <s v="2 Seasons"/>
    <x v="2"/>
    <n v="6"/>
    <n v="8583036"/>
    <n v="1712859"/>
    <n v="98"/>
    <x v="8"/>
    <x v="2"/>
  </r>
  <r>
    <x v="1829"/>
    <s v="Secret Rise 157"/>
    <x v="0"/>
    <s v="A. Smith"/>
    <x v="4"/>
    <d v="2025-12-18T00:00:00"/>
    <x v="1"/>
    <x v="3"/>
    <s v="89 Min"/>
    <x v="10"/>
    <n v="5.8"/>
    <n v="37108"/>
    <n v="4787120"/>
    <n v="77"/>
    <x v="3"/>
    <x v="4"/>
  </r>
  <r>
    <x v="1830"/>
    <s v="Urban Night 1243"/>
    <x v="0"/>
    <s v="D. Kim"/>
    <x v="5"/>
    <d v="2025-12-21T00:00:00"/>
    <x v="21"/>
    <x v="6"/>
    <s v="108 Min"/>
    <x v="5"/>
    <n v="7.3"/>
    <n v="18010476"/>
    <n v="253698"/>
    <n v="73"/>
    <x v="2"/>
    <x v="1"/>
  </r>
  <r>
    <x v="1831"/>
    <s v="Dark Files 25"/>
    <x v="2"/>
    <s v="Unknown"/>
    <x v="1"/>
    <d v="2025-12-22T00:00:00"/>
    <x v="9"/>
    <x v="6"/>
    <s v="1 Seasons"/>
    <x v="6"/>
    <n v="5"/>
    <n v="24732513"/>
    <n v="3976012"/>
    <n v="44"/>
    <x v="4"/>
    <x v="1"/>
  </r>
  <r>
    <x v="1832"/>
    <s v="Future Quest 1554"/>
    <x v="0"/>
    <s v="R. Kumar"/>
    <x v="5"/>
    <d v="2025-12-31T00:00:00"/>
    <x v="20"/>
    <x v="9"/>
    <s v="109 Min"/>
    <x v="8"/>
    <n v="4.5999999999999996"/>
    <n v="20426341"/>
    <n v="3148474"/>
    <n v="86"/>
    <x v="5"/>
    <x v="4"/>
  </r>
  <r>
    <x v="1833"/>
    <s v="Hidden Truth 942"/>
    <x v="0"/>
    <s v="N. Singh"/>
    <x v="1"/>
    <d v="2026-01-03T00:00:00"/>
    <x v="24"/>
    <x v="1"/>
    <s v="84 Min"/>
    <x v="7"/>
    <n v="8.6999999999999993"/>
    <n v="8611997"/>
    <n v="1866628"/>
    <n v="66"/>
    <x v="5"/>
    <x v="4"/>
  </r>
  <r>
    <x v="1834"/>
    <s v="Dark Legacy 1060"/>
    <x v="2"/>
    <s v="J. Lee"/>
    <x v="5"/>
    <d v="2026-01-07T00:00:00"/>
    <x v="17"/>
    <x v="6"/>
    <s v="2 Seasons"/>
    <x v="2"/>
    <n v="6.4"/>
    <n v="20098627"/>
    <n v="4958622"/>
    <n v="55"/>
    <x v="6"/>
    <x v="0"/>
  </r>
  <r>
    <x v="1835"/>
    <s v="Echo Files 105"/>
    <x v="0"/>
    <s v="M. Garcia"/>
    <x v="3"/>
    <d v="2026-01-08T00:00:00"/>
    <x v="25"/>
    <x v="2"/>
    <s v="90 Min"/>
    <x v="3"/>
    <n v="4.9000000000000004"/>
    <n v="14773484"/>
    <n v="521235"/>
    <n v="93"/>
    <x v="8"/>
    <x v="4"/>
  </r>
  <r>
    <x v="1836"/>
    <s v="Infinite World 1387"/>
    <x v="0"/>
    <s v="Unknown"/>
    <x v="8"/>
    <d v="2026-01-08T00:00:00"/>
    <x v="27"/>
    <x v="7"/>
    <s v="129 Min"/>
    <x v="10"/>
    <n v="5.3"/>
    <n v="5588828"/>
    <n v="1149889"/>
    <n v="55"/>
    <x v="1"/>
    <x v="3"/>
  </r>
  <r>
    <x v="1837"/>
    <s v="Infinite Edge 1181"/>
    <x v="0"/>
    <s v="D. Kim"/>
    <x v="5"/>
    <d v="2026-01-12T00:00:00"/>
    <x v="3"/>
    <x v="6"/>
    <s v="148 Min"/>
    <x v="1"/>
    <n v="7.4"/>
    <n v="21484345"/>
    <n v="3140153"/>
    <n v="88"/>
    <x v="2"/>
    <x v="2"/>
  </r>
  <r>
    <x v="1838"/>
    <s v="Royal Line 1451"/>
    <x v="1"/>
    <s v="J. Lee"/>
    <x v="6"/>
    <d v="2026-01-13T00:00:00"/>
    <x v="0"/>
    <x v="8"/>
    <s v="4 Seasons"/>
    <x v="10"/>
    <n v="6"/>
    <n v="6599448"/>
    <n v="1391073"/>
    <n v="56"/>
    <x v="7"/>
    <x v="3"/>
  </r>
  <r>
    <x v="1839"/>
    <s v="Echo Journey 1845"/>
    <x v="1"/>
    <s v="J. Lee"/>
    <x v="2"/>
    <d v="2026-01-13T00:00:00"/>
    <x v="19"/>
    <x v="7"/>
    <s v="2 Seasons"/>
    <x v="8"/>
    <n v="9.6"/>
    <n v="13240428"/>
    <n v="1411646"/>
    <n v="78"/>
    <x v="1"/>
    <x v="4"/>
  </r>
  <r>
    <x v="1840"/>
    <s v="Future Quest 1279"/>
    <x v="1"/>
    <s v="Unknown"/>
    <x v="2"/>
    <d v="2026-01-19T00:00:00"/>
    <x v="22"/>
    <x v="9"/>
    <s v="5 Seasons"/>
    <x v="7"/>
    <n v="9.4"/>
    <n v="6862831"/>
    <n v="3799246"/>
    <n v="73"/>
    <x v="1"/>
    <x v="3"/>
  </r>
  <r>
    <x v="1841"/>
    <s v="Secret Night 1653"/>
    <x v="2"/>
    <s v="Unknown"/>
    <x v="7"/>
    <d v="2026-01-19T00:00:00"/>
    <x v="14"/>
    <x v="8"/>
    <s v="8 Seasons"/>
    <x v="2"/>
    <n v="7"/>
    <n v="18891037"/>
    <n v="1203438"/>
    <n v="77"/>
    <x v="6"/>
    <x v="4"/>
  </r>
  <r>
    <x v="1842"/>
    <s v="Blue Legacy 368"/>
    <x v="0"/>
    <s v="A. Smith"/>
    <x v="1"/>
    <d v="2026-01-20T00:00:00"/>
    <x v="19"/>
    <x v="4"/>
    <s v="88 Min"/>
    <x v="5"/>
    <n v="5.6"/>
    <n v="4565295"/>
    <n v="1025987"/>
    <n v="69"/>
    <x v="5"/>
    <x v="2"/>
  </r>
  <r>
    <x v="1843"/>
    <s v="Secret Game 798"/>
    <x v="1"/>
    <s v="L. Brown"/>
    <x v="9"/>
    <d v="2026-01-22T00:00:00"/>
    <x v="24"/>
    <x v="2"/>
    <s v="6 Seasons"/>
    <x v="10"/>
    <n v="8"/>
    <n v="1141020"/>
    <n v="1419617"/>
    <n v="76"/>
    <x v="4"/>
    <x v="1"/>
  </r>
  <r>
    <x v="1844"/>
    <s v="Echo Chronicles 158"/>
    <x v="0"/>
    <s v="P. Johnson"/>
    <x v="5"/>
    <d v="2026-01-24T00:00:00"/>
    <x v="25"/>
    <x v="0"/>
    <s v="176 Min"/>
    <x v="0"/>
    <n v="8.6"/>
    <n v="24082088"/>
    <n v="3713210"/>
    <n v="42"/>
    <x v="4"/>
    <x v="0"/>
  </r>
  <r>
    <x v="1845"/>
    <s v="Echo Line 349"/>
    <x v="2"/>
    <s v="L. Brown"/>
    <x v="8"/>
    <d v="2026-01-25T00:00:00"/>
    <x v="22"/>
    <x v="3"/>
    <s v="7 Seasons"/>
    <x v="9"/>
    <n v="5.7"/>
    <n v="21738803"/>
    <n v="656717"/>
    <n v="74"/>
    <x v="5"/>
    <x v="0"/>
  </r>
  <r>
    <x v="1846"/>
    <s v="Crimson Line 639"/>
    <x v="2"/>
    <s v="A. Smith"/>
    <x v="0"/>
    <d v="2026-01-27T00:00:00"/>
    <x v="13"/>
    <x v="3"/>
    <s v="4 Seasons"/>
    <x v="1"/>
    <n v="8.1999999999999993"/>
    <n v="1996771"/>
    <n v="1173898"/>
    <n v="44"/>
    <x v="4"/>
    <x v="3"/>
  </r>
  <r>
    <x v="1847"/>
    <s v="Secret Quest 804"/>
    <x v="0"/>
    <s v="L. Brown"/>
    <x v="9"/>
    <d v="2026-01-30T00:00:00"/>
    <x v="21"/>
    <x v="2"/>
    <s v="73 Min"/>
    <x v="5"/>
    <n v="8.1999999999999993"/>
    <n v="19696711"/>
    <n v="2311360"/>
    <n v="84"/>
    <x v="4"/>
    <x v="2"/>
  </r>
  <r>
    <x v="1848"/>
    <s v="Silent Valley 1604"/>
    <x v="2"/>
    <s v="L. Brown"/>
    <x v="11"/>
    <d v="2026-01-31T00:00:00"/>
    <x v="17"/>
    <x v="5"/>
    <s v="4 Seasons"/>
    <x v="2"/>
    <n v="6.4"/>
    <n v="18212524"/>
    <n v="2214141"/>
    <n v="75"/>
    <x v="7"/>
    <x v="3"/>
  </r>
  <r>
    <x v="1849"/>
    <s v="Hidden Quest 815"/>
    <x v="0"/>
    <s v="M. Garcia"/>
    <x v="5"/>
    <d v="2026-02-05T00:00:00"/>
    <x v="22"/>
    <x v="9"/>
    <s v="164 Min"/>
    <x v="3"/>
    <n v="9.6999999999999993"/>
    <n v="15077291"/>
    <n v="4864890"/>
    <n v="53"/>
    <x v="2"/>
    <x v="4"/>
  </r>
  <r>
    <x v="1850"/>
    <s v="Hidden Mission 1633"/>
    <x v="0"/>
    <s v="M. Garcia"/>
    <x v="8"/>
    <d v="2026-02-08T00:00:00"/>
    <x v="26"/>
    <x v="6"/>
    <s v="149 Min"/>
    <x v="2"/>
    <n v="9"/>
    <n v="24953744"/>
    <n v="3175383"/>
    <n v="61"/>
    <x v="1"/>
    <x v="4"/>
  </r>
  <r>
    <x v="1851"/>
    <s v="Secret Journey 1654"/>
    <x v="2"/>
    <s v="J. Lee"/>
    <x v="11"/>
    <d v="2026-02-08T00:00:00"/>
    <x v="27"/>
    <x v="0"/>
    <s v="1 Seasons"/>
    <x v="2"/>
    <n v="7"/>
    <n v="6104905"/>
    <n v="4301217"/>
    <n v="43"/>
    <x v="7"/>
    <x v="2"/>
  </r>
  <r>
    <x v="1852"/>
    <s v="Broken Chronicles 263"/>
    <x v="0"/>
    <s v="P. Johnson"/>
    <x v="12"/>
    <d v="2026-02-12T00:00:00"/>
    <x v="9"/>
    <x v="2"/>
    <s v="157 Min"/>
    <x v="9"/>
    <n v="7"/>
    <n v="16239476"/>
    <n v="3669589"/>
    <n v="83"/>
    <x v="6"/>
    <x v="1"/>
  </r>
  <r>
    <x v="1853"/>
    <s v="Crimson Signal 1145"/>
    <x v="1"/>
    <s v="D. Kim"/>
    <x v="2"/>
    <d v="2026-02-13T00:00:00"/>
    <x v="13"/>
    <x v="9"/>
    <s v="6 Seasons"/>
    <x v="0"/>
    <n v="11.2"/>
    <n v="15855992"/>
    <n v="4676864"/>
    <n v="94"/>
    <x v="8"/>
    <x v="2"/>
  </r>
  <r>
    <x v="1854"/>
    <s v="Royal Truth 1238"/>
    <x v="0"/>
    <s v="J. Lee"/>
    <x v="5"/>
    <d v="2026-02-13T00:00:00"/>
    <x v="10"/>
    <x v="9"/>
    <s v="79 Min"/>
    <x v="9"/>
    <n v="5.3"/>
    <n v="1928460"/>
    <n v="3980999"/>
    <n v="80"/>
    <x v="4"/>
    <x v="0"/>
  </r>
  <r>
    <x v="1855"/>
    <s v="Wild Game 1894"/>
    <x v="0"/>
    <s v="P. Johnson"/>
    <x v="10"/>
    <d v="2026-02-14T00:00:00"/>
    <x v="2"/>
    <x v="2"/>
    <s v="120 Min"/>
    <x v="3"/>
    <n v="7.2"/>
    <n v="22481534"/>
    <n v="4957998"/>
    <n v="47"/>
    <x v="2"/>
    <x v="3"/>
  </r>
  <r>
    <x v="1856"/>
    <s v="Royal Journey 175"/>
    <x v="0"/>
    <s v="P. Johnson"/>
    <x v="4"/>
    <d v="2026-02-17T00:00:00"/>
    <x v="16"/>
    <x v="2"/>
    <s v="90 Min"/>
    <x v="2"/>
    <n v="8.6999999999999993"/>
    <n v="5537235"/>
    <n v="3652736"/>
    <n v="80"/>
    <x v="5"/>
    <x v="4"/>
  </r>
  <r>
    <x v="1857"/>
    <s v="Golden Truth 706"/>
    <x v="2"/>
    <s v="N. Singh"/>
    <x v="0"/>
    <d v="2026-02-17T00:00:00"/>
    <x v="16"/>
    <x v="1"/>
    <s v="1 Seasons"/>
    <x v="2"/>
    <n v="8.6999999999999993"/>
    <n v="16442981"/>
    <n v="3808320"/>
    <n v="67"/>
    <x v="8"/>
    <x v="0"/>
  </r>
  <r>
    <x v="1858"/>
    <s v="Infinite Night 4"/>
    <x v="0"/>
    <s v="L. Brown"/>
    <x v="3"/>
    <d v="2026-02-20T00:00:00"/>
    <x v="9"/>
    <x v="6"/>
    <s v="143 Min"/>
    <x v="7"/>
    <n v="8"/>
    <n v="23548166"/>
    <n v="2598174"/>
    <n v="83"/>
    <x v="8"/>
    <x v="4"/>
  </r>
  <r>
    <x v="1859"/>
    <s v="Royal Zone 1175"/>
    <x v="1"/>
    <s v="R. Kumar"/>
    <x v="6"/>
    <d v="2026-02-24T00:00:00"/>
    <x v="25"/>
    <x v="8"/>
    <s v="8 Seasons"/>
    <x v="7"/>
    <n v="9.6999999999999993"/>
    <n v="11859239"/>
    <n v="2106189"/>
    <n v="93"/>
    <x v="6"/>
    <x v="3"/>
  </r>
  <r>
    <x v="1860"/>
    <s v="Beyond Legacy 433"/>
    <x v="0"/>
    <s v="K. Tanaka"/>
    <x v="9"/>
    <d v="2026-02-28T00:00:00"/>
    <x v="20"/>
    <x v="6"/>
    <s v="169 Min"/>
    <x v="1"/>
    <n v="9.1999999999999993"/>
    <n v="18545336"/>
    <n v="4780143"/>
    <n v="78"/>
    <x v="3"/>
    <x v="1"/>
  </r>
  <r>
    <x v="1861"/>
    <s v="Last Quest 1203"/>
    <x v="0"/>
    <s v="L. Brown"/>
    <x v="3"/>
    <d v="2026-02-28T00:00:00"/>
    <x v="17"/>
    <x v="6"/>
    <s v="177 Min"/>
    <x v="2"/>
    <n v="6.4"/>
    <n v="15858960"/>
    <n v="1589515"/>
    <n v="94"/>
    <x v="1"/>
    <x v="4"/>
  </r>
  <r>
    <x v="1862"/>
    <s v="Golden Files 1457"/>
    <x v="0"/>
    <s v="R. Kumar"/>
    <x v="8"/>
    <d v="2026-02-28T00:00:00"/>
    <x v="5"/>
    <x v="7"/>
    <s v="128 Min"/>
    <x v="10"/>
    <n v="6.3"/>
    <n v="3219139"/>
    <n v="2908871"/>
    <n v="120"/>
    <x v="6"/>
    <x v="1"/>
  </r>
  <r>
    <x v="1863"/>
    <s v="Beyond Rise 417"/>
    <x v="0"/>
    <s v="N. Singh"/>
    <x v="9"/>
    <d v="2026-03-01T00:00:00"/>
    <x v="0"/>
    <x v="2"/>
    <s v="141 Min"/>
    <x v="8"/>
    <n v="4.9000000000000004"/>
    <n v="8341906"/>
    <n v="263349"/>
    <n v="83"/>
    <x v="2"/>
    <x v="0"/>
  </r>
  <r>
    <x v="1864"/>
    <s v="Echo World 1692"/>
    <x v="1"/>
    <s v="Unknown"/>
    <x v="1"/>
    <d v="2026-03-02T00:00:00"/>
    <x v="8"/>
    <x v="3"/>
    <s v="6 Seasons"/>
    <x v="2"/>
    <n v="9.1"/>
    <n v="18280104"/>
    <n v="465123"/>
    <n v="44"/>
    <x v="6"/>
    <x v="0"/>
  </r>
  <r>
    <x v="1865"/>
    <s v="Future Story 743"/>
    <x v="1"/>
    <s v="N. Singh"/>
    <x v="7"/>
    <d v="2026-03-03T00:00:00"/>
    <x v="24"/>
    <x v="3"/>
    <s v="4 Seasons"/>
    <x v="6"/>
    <n v="6.3"/>
    <n v="11158980"/>
    <n v="4267516"/>
    <n v="87"/>
    <x v="5"/>
    <x v="3"/>
  </r>
  <r>
    <x v="1866"/>
    <s v="Shadow Files 1287"/>
    <x v="1"/>
    <s v="Unknown"/>
    <x v="10"/>
    <d v="2026-03-03T00:00:00"/>
    <x v="11"/>
    <x v="9"/>
    <s v="5 Seasons"/>
    <x v="3"/>
    <n v="4.9000000000000004"/>
    <n v="6736664"/>
    <n v="3887311"/>
    <n v="55"/>
    <x v="2"/>
    <x v="0"/>
  </r>
  <r>
    <x v="1867"/>
    <s v="Shadow Night 33"/>
    <x v="1"/>
    <s v="S. Patel"/>
    <x v="3"/>
    <d v="2026-03-04T00:00:00"/>
    <x v="20"/>
    <x v="0"/>
    <s v="7 Seasons"/>
    <x v="6"/>
    <n v="9.1"/>
    <n v="9103951"/>
    <n v="2085180"/>
    <n v="81"/>
    <x v="8"/>
    <x v="0"/>
  </r>
  <r>
    <x v="1868"/>
    <s v="Secret Truth 83"/>
    <x v="2"/>
    <s v="Unknown"/>
    <x v="7"/>
    <d v="2026-03-04T00:00:00"/>
    <x v="21"/>
    <x v="1"/>
    <s v="3 Seasons"/>
    <x v="3"/>
    <n v="9.1999999999999993"/>
    <n v="20754146"/>
    <n v="669409"/>
    <n v="59"/>
    <x v="0"/>
    <x v="1"/>
  </r>
  <r>
    <x v="1869"/>
    <s v="Golden Files 1341"/>
    <x v="2"/>
    <s v="S. Patel"/>
    <x v="7"/>
    <d v="2026-03-06T00:00:00"/>
    <x v="19"/>
    <x v="3"/>
    <s v="7 Seasons"/>
    <x v="3"/>
    <n v="8.6"/>
    <n v="771385"/>
    <n v="4223118"/>
    <n v="58"/>
    <x v="1"/>
    <x v="3"/>
  </r>
  <r>
    <x v="1870"/>
    <s v="Golden Rise 1593"/>
    <x v="2"/>
    <s v="D. Kim"/>
    <x v="2"/>
    <d v="2026-03-08T00:00:00"/>
    <x v="19"/>
    <x v="2"/>
    <s v="5 Seasons"/>
    <x v="4"/>
    <n v="9.4"/>
    <n v="7260353"/>
    <n v="28063"/>
    <n v="85"/>
    <x v="6"/>
    <x v="0"/>
  </r>
  <r>
    <x v="1871"/>
    <s v="Golden Game 1737"/>
    <x v="1"/>
    <s v="N. Singh"/>
    <x v="7"/>
    <d v="2026-03-10T00:00:00"/>
    <x v="0"/>
    <x v="6"/>
    <s v="3 Seasons"/>
    <x v="5"/>
    <n v="8.1"/>
    <n v="10139924"/>
    <n v="1184298"/>
    <n v="98"/>
    <x v="7"/>
    <x v="0"/>
  </r>
  <r>
    <x v="1872"/>
    <s v="Echo Code 523"/>
    <x v="0"/>
    <s v="L. Brown"/>
    <x v="1"/>
    <d v="2026-03-12T00:00:00"/>
    <x v="7"/>
    <x v="3"/>
    <s v="78 Min"/>
    <x v="6"/>
    <n v="8"/>
    <n v="20349939"/>
    <n v="2946127"/>
    <n v="84"/>
    <x v="2"/>
    <x v="1"/>
  </r>
  <r>
    <x v="1873"/>
    <s v="Secret Night 460"/>
    <x v="0"/>
    <s v="Unknown"/>
    <x v="7"/>
    <d v="2026-03-15T00:00:00"/>
    <x v="20"/>
    <x v="3"/>
    <s v="89 Min"/>
    <x v="8"/>
    <n v="7.8"/>
    <n v="5963288"/>
    <n v="1999894"/>
    <n v="64"/>
    <x v="0"/>
    <x v="3"/>
  </r>
  <r>
    <x v="1874"/>
    <s v="Last Story 734"/>
    <x v="0"/>
    <s v="K. Tanaka"/>
    <x v="4"/>
    <d v="2026-03-20T00:00:00"/>
    <x v="21"/>
    <x v="8"/>
    <s v="143 Min"/>
    <x v="7"/>
    <n v="5.8"/>
    <n v="13934158"/>
    <n v="4181393"/>
    <n v="99"/>
    <x v="5"/>
    <x v="1"/>
  </r>
  <r>
    <x v="1875"/>
    <s v="Wild Legacy 153"/>
    <x v="1"/>
    <s v="Unknown"/>
    <x v="10"/>
    <d v="2026-03-28T00:00:00"/>
    <x v="21"/>
    <x v="3"/>
    <s v="3 Seasons"/>
    <x v="4"/>
    <n v="8"/>
    <n v="20841685"/>
    <n v="283299"/>
    <n v="43"/>
    <x v="7"/>
    <x v="3"/>
  </r>
  <r>
    <x v="1876"/>
    <s v="Golden Story 1702"/>
    <x v="1"/>
    <s v="S. Patel"/>
    <x v="4"/>
    <d v="2026-04-02T00:00:00"/>
    <x v="21"/>
    <x v="5"/>
    <s v="4 Seasons"/>
    <x v="6"/>
    <n v="7.1"/>
    <n v="5738509"/>
    <n v="1222073"/>
    <n v="78"/>
    <x v="3"/>
    <x v="4"/>
  </r>
  <r>
    <x v="1877"/>
    <s v="Ocean Empire 1342"/>
    <x v="1"/>
    <s v="A. Smith"/>
    <x v="6"/>
    <d v="2026-04-03T00:00:00"/>
    <x v="7"/>
    <x v="2"/>
    <s v="Unknown"/>
    <x v="2"/>
    <n v="9.1"/>
    <n v="6977181"/>
    <n v="2729971"/>
    <n v="88"/>
    <x v="5"/>
    <x v="4"/>
  </r>
  <r>
    <x v="1878"/>
    <s v="Shadow Edge 1763"/>
    <x v="0"/>
    <s v="S. Patel"/>
    <x v="5"/>
    <d v="2026-04-08T00:00:00"/>
    <x v="7"/>
    <x v="1"/>
    <s v="128 Min"/>
    <x v="10"/>
    <n v="9.4"/>
    <n v="16110593"/>
    <n v="2706616"/>
    <n v="98"/>
    <x v="6"/>
    <x v="3"/>
  </r>
  <r>
    <x v="1879"/>
    <s v="Last Journey 524"/>
    <x v="1"/>
    <s v="N. Singh"/>
    <x v="5"/>
    <d v="2026-04-10T00:00:00"/>
    <x v="2"/>
    <x v="1"/>
    <s v="2 Seasons"/>
    <x v="0"/>
    <n v="7.8"/>
    <n v="8892738"/>
    <n v="1166034"/>
    <n v="63"/>
    <x v="2"/>
    <x v="4"/>
  </r>
  <r>
    <x v="1880"/>
    <s v="Beyond World 636"/>
    <x v="0"/>
    <s v="D. Kim"/>
    <x v="1"/>
    <d v="2026-04-10T00:00:00"/>
    <x v="18"/>
    <x v="5"/>
    <s v="99 Min"/>
    <x v="6"/>
    <n v="5.4"/>
    <n v="21096039"/>
    <n v="1842064"/>
    <n v="79"/>
    <x v="2"/>
    <x v="1"/>
  </r>
  <r>
    <x v="1881"/>
    <s v="Infinite World 266"/>
    <x v="0"/>
    <s v="M. Garcia"/>
    <x v="8"/>
    <d v="2026-04-12T00:00:00"/>
    <x v="5"/>
    <x v="5"/>
    <s v="145 Min"/>
    <x v="9"/>
    <n v="7.3"/>
    <n v="21094946"/>
    <n v="3741243"/>
    <n v="73"/>
    <x v="8"/>
    <x v="1"/>
  </r>
  <r>
    <x v="1882"/>
    <s v="Hidden Line 1891"/>
    <x v="0"/>
    <s v="D. Kim"/>
    <x v="6"/>
    <d v="2026-04-14T00:00:00"/>
    <x v="20"/>
    <x v="5"/>
    <s v="Unknown"/>
    <x v="2"/>
    <n v="5"/>
    <n v="4197704"/>
    <n v="4086878"/>
    <n v="90"/>
    <x v="0"/>
    <x v="2"/>
  </r>
  <r>
    <x v="1883"/>
    <s v="Wild Journey 1015"/>
    <x v="1"/>
    <s v="L. Brown"/>
    <x v="9"/>
    <d v="2026-04-15T00:00:00"/>
    <x v="14"/>
    <x v="5"/>
    <s v="1 Seasons"/>
    <x v="3"/>
    <n v="5.3"/>
    <n v="10288857"/>
    <n v="2861915"/>
    <n v="67"/>
    <x v="7"/>
    <x v="0"/>
  </r>
  <r>
    <x v="1884"/>
    <s v="Golden Edge 539"/>
    <x v="0"/>
    <s v="R. Kumar"/>
    <x v="6"/>
    <d v="2026-04-16T00:00:00"/>
    <x v="10"/>
    <x v="6"/>
    <s v="130 Min"/>
    <x v="8"/>
    <n v="7.8"/>
    <n v="20868099"/>
    <n v="2874201"/>
    <n v="48"/>
    <x v="0"/>
    <x v="0"/>
  </r>
  <r>
    <x v="1885"/>
    <s v="Shadow Code 753"/>
    <x v="0"/>
    <s v="A. Smith"/>
    <x v="7"/>
    <d v="2026-04-17T00:00:00"/>
    <x v="23"/>
    <x v="3"/>
    <s v="153 Min"/>
    <x v="7"/>
    <n v="8.1"/>
    <n v="10922027"/>
    <n v="364321"/>
    <n v="57"/>
    <x v="2"/>
    <x v="3"/>
  </r>
  <r>
    <x v="1886"/>
    <s v="Silent Game 532"/>
    <x v="0"/>
    <s v="S. Patel"/>
    <x v="1"/>
    <d v="2026-04-21T00:00:00"/>
    <x v="19"/>
    <x v="7"/>
    <s v="153 Min"/>
    <x v="5"/>
    <n v="5.2"/>
    <n v="11546451"/>
    <n v="1114370"/>
    <n v="82"/>
    <x v="4"/>
    <x v="1"/>
  </r>
  <r>
    <x v="1887"/>
    <s v="Wild Truth 829"/>
    <x v="0"/>
    <s v="R. Kumar"/>
    <x v="7"/>
    <d v="2026-04-22T00:00:00"/>
    <x v="2"/>
    <x v="0"/>
    <s v="90 Min"/>
    <x v="2"/>
    <n v="5.6"/>
    <n v="9798931"/>
    <n v="1692905"/>
    <n v="87"/>
    <x v="6"/>
    <x v="4"/>
  </r>
  <r>
    <x v="1888"/>
    <s v="Urban Chronicles 1078"/>
    <x v="1"/>
    <s v="L. Brown"/>
    <x v="7"/>
    <d v="2026-04-22T00:00:00"/>
    <x v="14"/>
    <x v="3"/>
    <s v="4 Seasons"/>
    <x v="9"/>
    <n v="6.4"/>
    <n v="16590514"/>
    <n v="2713451"/>
    <n v="83"/>
    <x v="1"/>
    <x v="0"/>
  </r>
  <r>
    <x v="1889"/>
    <s v="Crimson Truth 918"/>
    <x v="0"/>
    <s v="S. Patel"/>
    <x v="7"/>
    <d v="2026-04-25T00:00:00"/>
    <x v="10"/>
    <x v="7"/>
    <s v="120 Min"/>
    <x v="3"/>
    <n v="7"/>
    <n v="2372016"/>
    <n v="2321832"/>
    <n v="45"/>
    <x v="7"/>
    <x v="3"/>
  </r>
  <r>
    <x v="1890"/>
    <s v="Crimson Mission 239"/>
    <x v="0"/>
    <s v="M. Garcia"/>
    <x v="8"/>
    <d v="2026-04-26T00:00:00"/>
    <x v="17"/>
    <x v="3"/>
    <s v="88 Min"/>
    <x v="0"/>
    <n v="7.1"/>
    <n v="15828477"/>
    <n v="4350581"/>
    <n v="77"/>
    <x v="5"/>
    <x v="1"/>
  </r>
  <r>
    <x v="1891"/>
    <s v="Lost Quest 711"/>
    <x v="1"/>
    <s v="D. Kim"/>
    <x v="1"/>
    <d v="2026-04-26T00:00:00"/>
    <x v="19"/>
    <x v="6"/>
    <s v="6 Seasons"/>
    <x v="7"/>
    <n v="8.1999999999999993"/>
    <n v="-299"/>
    <n v="3850179"/>
    <n v="52"/>
    <x v="8"/>
    <x v="1"/>
  </r>
  <r>
    <x v="1892"/>
    <s v="Royal Mission 1685"/>
    <x v="0"/>
    <s v="Unknown"/>
    <x v="8"/>
    <d v="2026-04-30T00:00:00"/>
    <x v="19"/>
    <x v="2"/>
    <s v="87 Min"/>
    <x v="4"/>
    <n v="7.1"/>
    <n v="18982633"/>
    <n v="1901269"/>
    <n v="51"/>
    <x v="9"/>
    <x v="3"/>
  </r>
  <r>
    <x v="1893"/>
    <s v="Wild Valley 405"/>
    <x v="0"/>
    <s v="J. Lee"/>
    <x v="2"/>
    <d v="2026-05-01T00:00:00"/>
    <x v="23"/>
    <x v="1"/>
    <s v="74 Min"/>
    <x v="4"/>
    <n v="7.7"/>
    <n v="22159232"/>
    <n v="3658169"/>
    <n v="40"/>
    <x v="7"/>
    <x v="0"/>
  </r>
  <r>
    <x v="1894"/>
    <s v="Hidden Zone 303"/>
    <x v="2"/>
    <s v="K. Tanaka"/>
    <x v="0"/>
    <d v="2026-05-02T00:00:00"/>
    <x v="23"/>
    <x v="1"/>
    <s v="8 Seasons"/>
    <x v="8"/>
    <n v="6.3"/>
    <n v="-97"/>
    <n v="466224"/>
    <n v="94"/>
    <x v="8"/>
    <x v="0"/>
  </r>
  <r>
    <x v="1895"/>
    <s v="Beyond Empire 555"/>
    <x v="1"/>
    <s v="R. Kumar"/>
    <x v="3"/>
    <d v="2026-05-03T00:00:00"/>
    <x v="5"/>
    <x v="9"/>
    <s v="5 Seasons"/>
    <x v="8"/>
    <n v="5.2"/>
    <n v="2788484"/>
    <n v="701541"/>
    <n v="40"/>
    <x v="4"/>
    <x v="3"/>
  </r>
  <r>
    <x v="1896"/>
    <s v="Royal Chronicles 1299"/>
    <x v="0"/>
    <s v="S. Patel"/>
    <x v="0"/>
    <d v="2026-05-04T00:00:00"/>
    <x v="11"/>
    <x v="5"/>
    <s v="174 Min"/>
    <x v="5"/>
    <n v="6.6"/>
    <n v="1771250"/>
    <n v="252608"/>
    <n v="57"/>
    <x v="2"/>
    <x v="2"/>
  </r>
  <r>
    <x v="1897"/>
    <s v="Future Story 179"/>
    <x v="1"/>
    <s v="P. Johnson"/>
    <x v="3"/>
    <d v="2026-05-14T00:00:00"/>
    <x v="2"/>
    <x v="4"/>
    <s v="5 Seasons"/>
    <x v="1"/>
    <n v="4.5"/>
    <n v="3490989"/>
    <n v="2063536"/>
    <n v="91"/>
    <x v="4"/>
    <x v="4"/>
  </r>
  <r>
    <x v="1898"/>
    <s v="Infinite Code 598"/>
    <x v="0"/>
    <s v="P. Johnson"/>
    <x v="0"/>
    <d v="2026-05-14T00:00:00"/>
    <x v="0"/>
    <x v="2"/>
    <s v="98 Min"/>
    <x v="2"/>
    <n v="7.6"/>
    <n v="19250022"/>
    <n v="4903150"/>
    <n v="73"/>
    <x v="6"/>
    <x v="3"/>
  </r>
  <r>
    <x v="1899"/>
    <s v="Infinite Empire 261"/>
    <x v="2"/>
    <s v="Unknown"/>
    <x v="7"/>
    <d v="2026-05-15T00:00:00"/>
    <x v="4"/>
    <x v="6"/>
    <s v="3 Seasons"/>
    <x v="2"/>
    <n v="7.2"/>
    <n v="22477900"/>
    <n v="1758190"/>
    <n v="82"/>
    <x v="8"/>
    <x v="2"/>
  </r>
  <r>
    <x v="1900"/>
    <s v="Infinite Files 1173"/>
    <x v="2"/>
    <s v="R. Kumar"/>
    <x v="7"/>
    <d v="2026-05-16T00:00:00"/>
    <x v="11"/>
    <x v="1"/>
    <s v="3 Seasons"/>
    <x v="3"/>
    <n v="6.2"/>
    <n v="1441084"/>
    <n v="3441452"/>
    <n v="88"/>
    <x v="5"/>
    <x v="4"/>
  </r>
  <r>
    <x v="1901"/>
    <s v="Blue Legacy 1"/>
    <x v="0"/>
    <s v="L. Brown"/>
    <x v="8"/>
    <d v="2026-05-19T00:00:00"/>
    <x v="13"/>
    <x v="5"/>
    <s v="82 Min"/>
    <x v="4"/>
    <n v="6.7"/>
    <n v="4164104"/>
    <n v="1873664"/>
    <n v="77"/>
    <x v="6"/>
    <x v="3"/>
  </r>
  <r>
    <x v="1902"/>
    <s v="Blue Chronicles 1505"/>
    <x v="1"/>
    <s v="S. Patel"/>
    <x v="2"/>
    <d v="2026-05-22T00:00:00"/>
    <x v="22"/>
    <x v="8"/>
    <s v="4 Seasons"/>
    <x v="10"/>
    <n v="7.7"/>
    <n v="1076171"/>
    <n v="4344222"/>
    <n v="96"/>
    <x v="5"/>
    <x v="3"/>
  </r>
  <r>
    <x v="1903"/>
    <s v="Urban Night 1867"/>
    <x v="0"/>
    <s v="Unknown"/>
    <x v="9"/>
    <d v="2026-05-22T00:00:00"/>
    <x v="22"/>
    <x v="3"/>
    <s v="96 Min"/>
    <x v="10"/>
    <n v="5.7"/>
    <n v="23228704"/>
    <n v="3330564"/>
    <n v="89"/>
    <x v="2"/>
    <x v="1"/>
  </r>
  <r>
    <x v="1904"/>
    <s v="Future Edge 1294"/>
    <x v="1"/>
    <s v="Unknown"/>
    <x v="10"/>
    <d v="2026-05-26T00:00:00"/>
    <x v="5"/>
    <x v="4"/>
    <s v="2 Seasons"/>
    <x v="2"/>
    <n v="9.1999999999999993"/>
    <n v="24390440"/>
    <n v="2466549"/>
    <n v="68"/>
    <x v="8"/>
    <x v="2"/>
  </r>
  <r>
    <x v="1905"/>
    <s v="Crimson Legacy 1253"/>
    <x v="0"/>
    <s v="R. Kumar"/>
    <x v="2"/>
    <d v="2026-05-27T00:00:00"/>
    <x v="24"/>
    <x v="1"/>
    <s v="80 Min"/>
    <x v="0"/>
    <n v="5.8"/>
    <n v="15504781"/>
    <n v="1714462"/>
    <n v="61"/>
    <x v="7"/>
    <x v="2"/>
  </r>
  <r>
    <x v="1906"/>
    <s v="Future Journey 1428"/>
    <x v="1"/>
    <s v="Unknown"/>
    <x v="1"/>
    <d v="2026-06-01T00:00:00"/>
    <x v="13"/>
    <x v="9"/>
    <s v="7 Seasons"/>
    <x v="7"/>
    <n v="5.9"/>
    <n v="12098789"/>
    <n v="1436185"/>
    <n v="56"/>
    <x v="9"/>
    <x v="2"/>
  </r>
  <r>
    <x v="1907"/>
    <s v="Ocean Dream 732"/>
    <x v="2"/>
    <s v="Unknown"/>
    <x v="6"/>
    <d v="2026-06-02T00:00:00"/>
    <x v="10"/>
    <x v="0"/>
    <s v="4 Seasons"/>
    <x v="8"/>
    <n v="4.7"/>
    <n v="23281047"/>
    <n v="1506545"/>
    <n v="51"/>
    <x v="7"/>
    <x v="0"/>
  </r>
  <r>
    <x v="1908"/>
    <s v="Secret Dream 1156"/>
    <x v="0"/>
    <s v="Unknown"/>
    <x v="7"/>
    <d v="2026-06-02T00:00:00"/>
    <x v="8"/>
    <x v="7"/>
    <s v="116 Min"/>
    <x v="2"/>
    <n v="11.2"/>
    <n v="5112335"/>
    <n v="1284554"/>
    <n v="93"/>
    <x v="7"/>
    <x v="2"/>
  </r>
  <r>
    <x v="1909"/>
    <s v="Infinite Journey 1302"/>
    <x v="0"/>
    <s v="Unknown"/>
    <x v="4"/>
    <d v="2026-06-03T00:00:00"/>
    <x v="21"/>
    <x v="7"/>
    <s v="93 Min"/>
    <x v="8"/>
    <n v="8.6"/>
    <n v="15687259"/>
    <n v="4335957"/>
    <n v="84"/>
    <x v="9"/>
    <x v="1"/>
  </r>
  <r>
    <x v="1910"/>
    <s v="Fire Mission 350"/>
    <x v="1"/>
    <s v="K. Tanaka"/>
    <x v="5"/>
    <d v="2026-06-07T00:00:00"/>
    <x v="8"/>
    <x v="9"/>
    <s v="4 Seasons"/>
    <x v="3"/>
    <n v="9.6"/>
    <n v="7453260"/>
    <n v="2863951"/>
    <n v="120"/>
    <x v="4"/>
    <x v="4"/>
  </r>
  <r>
    <x v="1911"/>
    <s v="Crimson Line 964"/>
    <x v="2"/>
    <s v="K. Tanaka"/>
    <x v="3"/>
    <d v="2026-06-07T00:00:00"/>
    <x v="12"/>
    <x v="8"/>
    <s v="8 Seasons"/>
    <x v="1"/>
    <n v="9.4"/>
    <n v="8260540"/>
    <n v="1786507"/>
    <n v="120"/>
    <x v="8"/>
    <x v="3"/>
  </r>
  <r>
    <x v="1912"/>
    <s v="Hidden Chronicles 1577"/>
    <x v="1"/>
    <s v="Unknown"/>
    <x v="7"/>
    <d v="2026-06-07T00:00:00"/>
    <x v="13"/>
    <x v="7"/>
    <s v="3 Seasons"/>
    <x v="3"/>
    <n v="8.5"/>
    <n v="24225372"/>
    <n v="595015"/>
    <n v="45"/>
    <x v="9"/>
    <x v="1"/>
  </r>
  <r>
    <x v="1913"/>
    <s v="Shadow Zone 780"/>
    <x v="0"/>
    <s v="J. Lee"/>
    <x v="11"/>
    <d v="2026-06-09T00:00:00"/>
    <x v="6"/>
    <x v="9"/>
    <s v="100 Min"/>
    <x v="7"/>
    <n v="7.8"/>
    <n v="22196241"/>
    <n v="268759"/>
    <n v="86"/>
    <x v="0"/>
    <x v="1"/>
  </r>
  <r>
    <x v="1914"/>
    <s v="Infinite Files 52"/>
    <x v="1"/>
    <s v="R. Kumar"/>
    <x v="7"/>
    <d v="2026-06-11T00:00:00"/>
    <x v="4"/>
    <x v="7"/>
    <s v="6 Seasons"/>
    <x v="2"/>
    <n v="8.3000000000000007"/>
    <n v="16918885"/>
    <n v="3170741"/>
    <n v="90"/>
    <x v="3"/>
    <x v="2"/>
  </r>
  <r>
    <x v="1915"/>
    <s v="Echo Chronicles 416"/>
    <x v="1"/>
    <s v="D. Kim"/>
    <x v="2"/>
    <d v="2026-06-11T00:00:00"/>
    <x v="26"/>
    <x v="2"/>
    <s v="8 Seasons"/>
    <x v="1"/>
    <n v="9.1999999999999993"/>
    <n v="133283"/>
    <n v="2256575"/>
    <n v="88"/>
    <x v="6"/>
    <x v="2"/>
  </r>
  <r>
    <x v="1916"/>
    <s v="Blue Dream 530"/>
    <x v="1"/>
    <s v="J. Lee"/>
    <x v="10"/>
    <d v="2026-06-14T00:00:00"/>
    <x v="4"/>
    <x v="0"/>
    <s v="5 Seasons"/>
    <x v="9"/>
    <n v="7.8"/>
    <n v="5352461"/>
    <n v="2805990"/>
    <n v="59"/>
    <x v="4"/>
    <x v="0"/>
  </r>
  <r>
    <x v="1917"/>
    <s v="Beyond Chronicles 1324"/>
    <x v="0"/>
    <s v="Unknown"/>
    <x v="10"/>
    <d v="2026-06-15T00:00:00"/>
    <x v="12"/>
    <x v="8"/>
    <s v="176 Min"/>
    <x v="4"/>
    <n v="9.8000000000000007"/>
    <n v="9110211"/>
    <n v="694379"/>
    <n v="120"/>
    <x v="8"/>
    <x v="2"/>
  </r>
  <r>
    <x v="1918"/>
    <s v="Beyond Mission 1194"/>
    <x v="1"/>
    <s v="A. Smith"/>
    <x v="9"/>
    <d v="2026-06-21T00:00:00"/>
    <x v="18"/>
    <x v="8"/>
    <s v="5 Seasons"/>
    <x v="0"/>
    <n v="11.2"/>
    <n v="-695"/>
    <n v="7178"/>
    <n v="49"/>
    <x v="8"/>
    <x v="2"/>
  </r>
  <r>
    <x v="1919"/>
    <s v="Secret Line 15"/>
    <x v="0"/>
    <s v="L. Brown"/>
    <x v="8"/>
    <d v="2026-06-27T00:00:00"/>
    <x v="21"/>
    <x v="3"/>
    <s v="126 Min"/>
    <x v="0"/>
    <n v="9.5"/>
    <n v="8720471"/>
    <n v="4694541"/>
    <n v="52"/>
    <x v="8"/>
    <x v="1"/>
  </r>
  <r>
    <x v="1920"/>
    <s v="Crimson Valley 378"/>
    <x v="2"/>
    <s v="M. Garcia"/>
    <x v="4"/>
    <d v="2026-06-27T00:00:00"/>
    <x v="9"/>
    <x v="0"/>
    <s v="3 Seasons"/>
    <x v="1"/>
    <n v="8.6999999999999993"/>
    <n v="9583546"/>
    <n v="433518"/>
    <n v="69"/>
    <x v="1"/>
    <x v="1"/>
  </r>
  <r>
    <x v="1921"/>
    <s v="Infinite Valley 1026"/>
    <x v="2"/>
    <s v="D. Kim"/>
    <x v="9"/>
    <d v="2026-06-28T00:00:00"/>
    <x v="19"/>
    <x v="3"/>
    <s v="2 Seasons"/>
    <x v="6"/>
    <n v="8.9"/>
    <n v="1841509"/>
    <n v="3944045"/>
    <n v="66"/>
    <x v="3"/>
    <x v="4"/>
  </r>
  <r>
    <x v="1922"/>
    <s v="Infinite Story 1493"/>
    <x v="2"/>
    <s v="A. Smith"/>
    <x v="7"/>
    <d v="2026-06-28T00:00:00"/>
    <x v="0"/>
    <x v="9"/>
    <s v="7 Seasons"/>
    <x v="3"/>
    <n v="8.6"/>
    <n v="16560207"/>
    <n v="2250371"/>
    <n v="63"/>
    <x v="2"/>
    <x v="1"/>
  </r>
  <r>
    <x v="1923"/>
    <s v="Urban Dream 181"/>
    <x v="2"/>
    <s v="D. Kim"/>
    <x v="0"/>
    <d v="2026-06-30T00:00:00"/>
    <x v="14"/>
    <x v="3"/>
    <s v="2 Seasons"/>
    <x v="3"/>
    <n v="7.1"/>
    <n v="-960"/>
    <n v="2278138"/>
    <n v="77"/>
    <x v="0"/>
    <x v="3"/>
  </r>
  <r>
    <x v="1924"/>
    <s v="Broken Game 697"/>
    <x v="1"/>
    <s v="K. Tanaka"/>
    <x v="8"/>
    <d v="2026-07-01T00:00:00"/>
    <x v="19"/>
    <x v="8"/>
    <s v="7 Seasons"/>
    <x v="7"/>
    <n v="9.1"/>
    <n v="11375483"/>
    <n v="1741106"/>
    <n v="58"/>
    <x v="4"/>
    <x v="3"/>
  </r>
  <r>
    <x v="1925"/>
    <s v="Lost Journey 19"/>
    <x v="0"/>
    <s v="R. Kumar"/>
    <x v="9"/>
    <m/>
    <x v="17"/>
    <x v="2"/>
    <s v="180 Min"/>
    <x v="3"/>
    <n v="5.8"/>
    <n v="5427332"/>
    <n v="2197936"/>
    <n v="52"/>
    <x v="4"/>
    <x v="4"/>
  </r>
  <r>
    <x v="1926"/>
    <s v="Beyond Game 20"/>
    <x v="1"/>
    <s v="L. Brown"/>
    <x v="7"/>
    <m/>
    <x v="5"/>
    <x v="1"/>
    <s v="5 Seasons"/>
    <x v="6"/>
    <n v="7.2"/>
    <n v="15010695"/>
    <n v="892552"/>
    <n v="81"/>
    <x v="7"/>
    <x v="0"/>
  </r>
  <r>
    <x v="1927"/>
    <s v="Lost World 36"/>
    <x v="1"/>
    <s v="D. Kim"/>
    <x v="11"/>
    <m/>
    <x v="19"/>
    <x v="2"/>
    <s v="4 Seasons"/>
    <x v="4"/>
    <n v="8.1"/>
    <n v="8642083"/>
    <n v="1912264"/>
    <n v="99"/>
    <x v="9"/>
    <x v="1"/>
  </r>
  <r>
    <x v="1928"/>
    <s v="Infinite Code 37"/>
    <x v="0"/>
    <s v="K. Tanaka"/>
    <x v="11"/>
    <m/>
    <x v="24"/>
    <x v="6"/>
    <s v="157 Min"/>
    <x v="4"/>
    <n v="8.8000000000000007"/>
    <n v="7440387"/>
    <n v="2224165"/>
    <n v="58"/>
    <x v="1"/>
    <x v="3"/>
  </r>
  <r>
    <x v="1929"/>
    <s v="Beyond Rise 54"/>
    <x v="0"/>
    <s v="L. Brown"/>
    <x v="3"/>
    <m/>
    <x v="3"/>
    <x v="7"/>
    <s v="100 Min"/>
    <x v="3"/>
    <n v="6.5"/>
    <n v="8879807"/>
    <n v="966350"/>
    <n v="43"/>
    <x v="9"/>
    <x v="0"/>
  </r>
  <r>
    <x v="1930"/>
    <s v="Blue Story 66"/>
    <x v="2"/>
    <s v="K. Tanaka"/>
    <x v="4"/>
    <m/>
    <x v="21"/>
    <x v="5"/>
    <s v="2 Seasons"/>
    <x v="6"/>
    <n v="9.6999999999999993"/>
    <n v="15475506"/>
    <n v="1065350"/>
    <n v="88"/>
    <x v="0"/>
    <x v="2"/>
  </r>
  <r>
    <x v="1931"/>
    <s v="Ocean Code 87"/>
    <x v="1"/>
    <s v="N. Singh"/>
    <x v="7"/>
    <m/>
    <x v="7"/>
    <x v="6"/>
    <s v="5 Seasons"/>
    <x v="10"/>
    <n v="5.7"/>
    <n v="8718768"/>
    <n v="4378666"/>
    <n v="72"/>
    <x v="0"/>
    <x v="1"/>
  </r>
  <r>
    <x v="1932"/>
    <s v="Lost Empire 126"/>
    <x v="1"/>
    <s v="D. Kim"/>
    <x v="3"/>
    <m/>
    <x v="19"/>
    <x v="2"/>
    <s v="4 Seasons"/>
    <x v="2"/>
    <n v="5.8"/>
    <n v="4662404"/>
    <n v="233100"/>
    <n v="120"/>
    <x v="7"/>
    <x v="1"/>
  </r>
  <r>
    <x v="1933"/>
    <s v="Urban Files 147"/>
    <x v="0"/>
    <s v="Unknown"/>
    <x v="2"/>
    <m/>
    <x v="12"/>
    <x v="7"/>
    <s v="83 Min"/>
    <x v="3"/>
    <n v="6.5"/>
    <n v="12611929"/>
    <n v="1880742"/>
    <n v="41"/>
    <x v="4"/>
    <x v="0"/>
  </r>
  <r>
    <x v="1934"/>
    <s v="Hidden World 151"/>
    <x v="1"/>
    <s v="D. Kim"/>
    <x v="0"/>
    <m/>
    <x v="7"/>
    <x v="0"/>
    <s v="3 Seasons"/>
    <x v="6"/>
    <n v="5.0999999999999996"/>
    <n v="16661941"/>
    <n v="649670"/>
    <n v="53"/>
    <x v="2"/>
    <x v="2"/>
  </r>
  <r>
    <x v="1935"/>
    <s v="Beyond World 198"/>
    <x v="1"/>
    <s v="R. Kumar"/>
    <x v="7"/>
    <m/>
    <x v="13"/>
    <x v="9"/>
    <s v="1 Seasons"/>
    <x v="9"/>
    <n v="8.6999999999999993"/>
    <n v="1829910"/>
    <n v="4576739"/>
    <n v="69"/>
    <x v="7"/>
    <x v="2"/>
  </r>
  <r>
    <x v="1936"/>
    <s v="Shadow Chronicles 243"/>
    <x v="1"/>
    <s v="Unknown"/>
    <x v="0"/>
    <m/>
    <x v="4"/>
    <x v="0"/>
    <s v="3 Seasons"/>
    <x v="4"/>
    <n v="6.8"/>
    <n v="24173797"/>
    <n v="899512"/>
    <n v="75"/>
    <x v="5"/>
    <x v="2"/>
  </r>
  <r>
    <x v="1937"/>
    <s v="Lost Signal 276"/>
    <x v="1"/>
    <s v="Unknown"/>
    <x v="10"/>
    <m/>
    <x v="6"/>
    <x v="7"/>
    <s v="6 Seasons"/>
    <x v="3"/>
    <n v="7"/>
    <n v="5814634"/>
    <n v="566980"/>
    <n v="84"/>
    <x v="3"/>
    <x v="4"/>
  </r>
  <r>
    <x v="1938"/>
    <s v="Shadow Journey 331"/>
    <x v="0"/>
    <s v="K. Tanaka"/>
    <x v="6"/>
    <m/>
    <x v="15"/>
    <x v="7"/>
    <s v="76 Min"/>
    <x v="2"/>
    <n v="6.7"/>
    <n v="21250147"/>
    <n v="1729554"/>
    <n v="83"/>
    <x v="0"/>
    <x v="0"/>
  </r>
  <r>
    <x v="1939"/>
    <s v="Beyond Valley 339"/>
    <x v="0"/>
    <s v="D. Kim"/>
    <x v="12"/>
    <m/>
    <x v="17"/>
    <x v="0"/>
    <s v="157 Min"/>
    <x v="7"/>
    <n v="5.0999999999999996"/>
    <n v="16766000"/>
    <n v="2742429"/>
    <n v="58"/>
    <x v="4"/>
    <x v="4"/>
  </r>
  <r>
    <x v="1940"/>
    <s v="Fire Quest 392"/>
    <x v="1"/>
    <s v="D. Kim"/>
    <x v="4"/>
    <m/>
    <x v="4"/>
    <x v="2"/>
    <s v="7 Seasons"/>
    <x v="2"/>
    <n v="5.3"/>
    <n v="9505097"/>
    <n v="3680903"/>
    <n v="81"/>
    <x v="3"/>
    <x v="3"/>
  </r>
  <r>
    <x v="1941"/>
    <s v="Future World 443"/>
    <x v="0"/>
    <s v="M. Garcia"/>
    <x v="7"/>
    <m/>
    <x v="9"/>
    <x v="7"/>
    <s v="123 Min"/>
    <x v="2"/>
    <n v="7.1"/>
    <n v="11993206"/>
    <n v="4355548"/>
    <n v="79"/>
    <x v="6"/>
    <x v="0"/>
  </r>
  <r>
    <x v="1942"/>
    <s v="Echo Zone 528"/>
    <x v="2"/>
    <s v="M. Garcia"/>
    <x v="10"/>
    <m/>
    <x v="10"/>
    <x v="9"/>
    <s v="4 Seasons"/>
    <x v="9"/>
    <n v="9.5"/>
    <n v="17025152"/>
    <n v="4741221"/>
    <n v="85"/>
    <x v="0"/>
    <x v="0"/>
  </r>
  <r>
    <x v="1943"/>
    <s v="Lost Code 563"/>
    <x v="2"/>
    <s v="A. Smith"/>
    <x v="4"/>
    <m/>
    <x v="19"/>
    <x v="5"/>
    <s v="4 Seasons"/>
    <x v="4"/>
    <n v="9.6"/>
    <n v="18763012"/>
    <n v="2244951"/>
    <n v="56"/>
    <x v="4"/>
    <x v="4"/>
  </r>
  <r>
    <x v="1944"/>
    <s v="Beyond Empire 578"/>
    <x v="1"/>
    <s v="P. Johnson"/>
    <x v="8"/>
    <m/>
    <x v="26"/>
    <x v="8"/>
    <s v="8 Seasons"/>
    <x v="10"/>
    <n v="6.9"/>
    <n v="8455798"/>
    <n v="3926665"/>
    <n v="78"/>
    <x v="5"/>
    <x v="1"/>
  </r>
  <r>
    <x v="1945"/>
    <s v="Secret Story 596"/>
    <x v="1"/>
    <s v="P. Johnson"/>
    <x v="8"/>
    <m/>
    <x v="9"/>
    <x v="1"/>
    <s v="8 Seasons"/>
    <x v="1"/>
    <n v="7"/>
    <n v="1825019"/>
    <n v="2720374"/>
    <n v="96"/>
    <x v="1"/>
    <x v="1"/>
  </r>
  <r>
    <x v="1946"/>
    <s v="Hidden Dream 610"/>
    <x v="0"/>
    <s v="P. Johnson"/>
    <x v="3"/>
    <m/>
    <x v="27"/>
    <x v="9"/>
    <s v="130 Min"/>
    <x v="6"/>
    <n v="9.4"/>
    <n v="21551083"/>
    <n v="3508327"/>
    <n v="70"/>
    <x v="2"/>
    <x v="3"/>
  </r>
  <r>
    <x v="1947"/>
    <s v="Crimson Legacy 627"/>
    <x v="1"/>
    <s v="P. Johnson"/>
    <x v="6"/>
    <m/>
    <x v="20"/>
    <x v="7"/>
    <s v="7 Seasons"/>
    <x v="0"/>
    <n v="9.4"/>
    <n v="19128123"/>
    <n v="2252463"/>
    <n v="56"/>
    <x v="6"/>
    <x v="0"/>
  </r>
  <r>
    <x v="1948"/>
    <s v="Silent Zone 648"/>
    <x v="1"/>
    <s v="K. Tanaka"/>
    <x v="6"/>
    <m/>
    <x v="23"/>
    <x v="0"/>
    <s v="2 Seasons"/>
    <x v="2"/>
    <n v="7.2"/>
    <n v="6496570"/>
    <n v="810812"/>
    <n v="93"/>
    <x v="6"/>
    <x v="1"/>
  </r>
  <r>
    <x v="1949"/>
    <s v="Last Zone 669"/>
    <x v="0"/>
    <s v="Unknown"/>
    <x v="4"/>
    <m/>
    <x v="0"/>
    <x v="2"/>
    <s v="92 Min"/>
    <x v="3"/>
    <n v="5.2"/>
    <n v="10520459"/>
    <n v="2676572"/>
    <n v="72"/>
    <x v="9"/>
    <x v="0"/>
  </r>
  <r>
    <x v="1950"/>
    <s v="Hidden Dream 674"/>
    <x v="1"/>
    <s v="N. Singh"/>
    <x v="12"/>
    <m/>
    <x v="11"/>
    <x v="2"/>
    <s v="4 Seasons"/>
    <x v="8"/>
    <n v="7.6"/>
    <n v="7711424"/>
    <n v="378838"/>
    <n v="43"/>
    <x v="4"/>
    <x v="4"/>
  </r>
  <r>
    <x v="1951"/>
    <s v="Royal Zone 687"/>
    <x v="0"/>
    <s v="Unknown"/>
    <x v="11"/>
    <m/>
    <x v="23"/>
    <x v="8"/>
    <s v="79 Min"/>
    <x v="2"/>
    <n v="9.1"/>
    <n v="7663153"/>
    <n v="1645453"/>
    <n v="70"/>
    <x v="8"/>
    <x v="1"/>
  </r>
  <r>
    <x v="1952"/>
    <s v="Blue Game 726"/>
    <x v="1"/>
    <s v="L. Brown"/>
    <x v="8"/>
    <m/>
    <x v="22"/>
    <x v="3"/>
    <s v="2 Seasons"/>
    <x v="1"/>
    <n v="9.1999999999999993"/>
    <n v="24774179"/>
    <n v="3284151"/>
    <n v="70"/>
    <x v="8"/>
    <x v="1"/>
  </r>
  <r>
    <x v="1953"/>
    <s v="Lost Dream 736"/>
    <x v="0"/>
    <s v="S. Patel"/>
    <x v="10"/>
    <m/>
    <x v="12"/>
    <x v="1"/>
    <s v="173 Min"/>
    <x v="8"/>
    <n v="8.1999999999999993"/>
    <n v="19597016"/>
    <n v="4584455"/>
    <n v="46"/>
    <x v="8"/>
    <x v="0"/>
  </r>
  <r>
    <x v="1954"/>
    <s v="Future Valley 763"/>
    <x v="1"/>
    <s v="R. Kumar"/>
    <x v="8"/>
    <m/>
    <x v="8"/>
    <x v="2"/>
    <s v="1 Seasons"/>
    <x v="2"/>
    <n v="7.6"/>
    <n v="7503350"/>
    <n v="3706305"/>
    <n v="61"/>
    <x v="6"/>
    <x v="0"/>
  </r>
  <r>
    <x v="1955"/>
    <s v="Wild Zone 773"/>
    <x v="1"/>
    <s v="P. Johnson"/>
    <x v="1"/>
    <m/>
    <x v="22"/>
    <x v="1"/>
    <s v="3 Seasons"/>
    <x v="5"/>
    <n v="8.1"/>
    <n v="5463762"/>
    <n v="1392174"/>
    <n v="47"/>
    <x v="3"/>
    <x v="1"/>
  </r>
  <r>
    <x v="1956"/>
    <s v="Ocean Files 931"/>
    <x v="2"/>
    <s v="Unknown"/>
    <x v="8"/>
    <m/>
    <x v="15"/>
    <x v="4"/>
    <s v="1 Seasons"/>
    <x v="2"/>
    <n v="7.7"/>
    <n v="10353263"/>
    <n v="708201"/>
    <n v="65"/>
    <x v="6"/>
    <x v="0"/>
  </r>
  <r>
    <x v="1957"/>
    <s v="Dark Quest 937"/>
    <x v="0"/>
    <s v="Unknown"/>
    <x v="1"/>
    <m/>
    <x v="14"/>
    <x v="2"/>
    <s v="93 Min"/>
    <x v="1"/>
    <n v="9"/>
    <n v="24003001"/>
    <n v="4933270"/>
    <n v="89"/>
    <x v="6"/>
    <x v="4"/>
  </r>
  <r>
    <x v="1958"/>
    <s v="Dark Chronicles 943"/>
    <x v="0"/>
    <s v="N. Singh"/>
    <x v="0"/>
    <m/>
    <x v="17"/>
    <x v="1"/>
    <s v="90 Min"/>
    <x v="2"/>
    <n v="6.3"/>
    <n v="5086793"/>
    <n v="3151395"/>
    <n v="99"/>
    <x v="1"/>
    <x v="1"/>
  </r>
  <r>
    <x v="1959"/>
    <s v="Hidden Zone 948"/>
    <x v="2"/>
    <s v="A. Smith"/>
    <x v="10"/>
    <m/>
    <x v="13"/>
    <x v="3"/>
    <s v="7 Seasons"/>
    <x v="7"/>
    <n v="9.6"/>
    <n v="18662722"/>
    <n v="1851253"/>
    <n v="41"/>
    <x v="9"/>
    <x v="3"/>
  </r>
  <r>
    <x v="1960"/>
    <s v="Fire Game 983"/>
    <x v="1"/>
    <s v="D. Kim"/>
    <x v="4"/>
    <m/>
    <x v="11"/>
    <x v="9"/>
    <s v="6 Seasons"/>
    <x v="4"/>
    <n v="4.7"/>
    <n v="12265496"/>
    <n v="1040481"/>
    <n v="58"/>
    <x v="9"/>
    <x v="0"/>
  </r>
  <r>
    <x v="1961"/>
    <s v="Ocean Mission 1013"/>
    <x v="1"/>
    <s v="K. Tanaka"/>
    <x v="4"/>
    <m/>
    <x v="9"/>
    <x v="3"/>
    <s v="6 Seasons"/>
    <x v="10"/>
    <n v="5"/>
    <n v="17434716"/>
    <n v="4781469"/>
    <n v="72"/>
    <x v="0"/>
    <x v="2"/>
  </r>
  <r>
    <x v="1962"/>
    <s v="Infinite Rise 1021"/>
    <x v="0"/>
    <s v="L. Brown"/>
    <x v="0"/>
    <m/>
    <x v="3"/>
    <x v="8"/>
    <s v="72 Min"/>
    <x v="3"/>
    <n v="5.9"/>
    <n v="-951"/>
    <n v="3203334"/>
    <n v="96"/>
    <x v="5"/>
    <x v="3"/>
  </r>
  <r>
    <x v="1963"/>
    <s v="Wild Code 1023"/>
    <x v="0"/>
    <s v="N. Singh"/>
    <x v="7"/>
    <m/>
    <x v="20"/>
    <x v="6"/>
    <s v="116 Min"/>
    <x v="7"/>
    <n v="9.4"/>
    <n v="21889536"/>
    <n v="2040"/>
    <n v="64"/>
    <x v="0"/>
    <x v="3"/>
  </r>
  <r>
    <x v="1964"/>
    <s v="Last Legacy 1048"/>
    <x v="0"/>
    <s v="S. Patel"/>
    <x v="10"/>
    <m/>
    <x v="25"/>
    <x v="6"/>
    <s v="72 Min"/>
    <x v="0"/>
    <n v="8.6999999999999993"/>
    <n v="574144"/>
    <n v="3995286"/>
    <n v="60"/>
    <x v="7"/>
    <x v="3"/>
  </r>
  <r>
    <x v="1965"/>
    <s v="Hidden Legacy 1059"/>
    <x v="1"/>
    <s v="R. Kumar"/>
    <x v="1"/>
    <m/>
    <x v="13"/>
    <x v="5"/>
    <s v="6 Seasons"/>
    <x v="3"/>
    <n v="5.7"/>
    <n v="7187708"/>
    <n v="222265"/>
    <n v="40"/>
    <x v="4"/>
    <x v="2"/>
  </r>
  <r>
    <x v="1966"/>
    <s v="Hidden Truth 1080"/>
    <x v="2"/>
    <s v="D. Kim"/>
    <x v="12"/>
    <m/>
    <x v="5"/>
    <x v="6"/>
    <s v="Unknown"/>
    <x v="2"/>
    <n v="5.5"/>
    <n v="8725144"/>
    <n v="3188888"/>
    <n v="120"/>
    <x v="3"/>
    <x v="3"/>
  </r>
  <r>
    <x v="1967"/>
    <s v="Last Chronicles 1167"/>
    <x v="1"/>
    <s v="Unknown"/>
    <x v="4"/>
    <m/>
    <x v="26"/>
    <x v="5"/>
    <s v="4 Seasons"/>
    <x v="5"/>
    <n v="9.4"/>
    <n v="21981306"/>
    <n v="2463842"/>
    <n v="100"/>
    <x v="2"/>
    <x v="0"/>
  </r>
  <r>
    <x v="1968"/>
    <s v="Hidden Legacy 1168"/>
    <x v="1"/>
    <s v="S. Patel"/>
    <x v="4"/>
    <m/>
    <x v="13"/>
    <x v="9"/>
    <s v="5 Seasons"/>
    <x v="2"/>
    <n v="6.3"/>
    <n v="17864675"/>
    <n v="90035"/>
    <n v="54"/>
    <x v="1"/>
    <x v="3"/>
  </r>
  <r>
    <x v="1969"/>
    <s v="Last Night 1176"/>
    <x v="0"/>
    <s v="R. Kumar"/>
    <x v="8"/>
    <m/>
    <x v="7"/>
    <x v="8"/>
    <s v="158 Min"/>
    <x v="1"/>
    <n v="7.4"/>
    <n v="18617753"/>
    <n v="3583406"/>
    <n v="41"/>
    <x v="0"/>
    <x v="1"/>
  </r>
  <r>
    <x v="1970"/>
    <s v="Fire Empire 1219"/>
    <x v="1"/>
    <s v="N. Singh"/>
    <x v="10"/>
    <m/>
    <x v="0"/>
    <x v="4"/>
    <s v="2 Seasons"/>
    <x v="1"/>
    <n v="6.2"/>
    <n v="4480419"/>
    <n v="4092071"/>
    <n v="79"/>
    <x v="7"/>
    <x v="1"/>
  </r>
  <r>
    <x v="1971"/>
    <s v="Shadow Story 1314"/>
    <x v="0"/>
    <s v="L. Brown"/>
    <x v="6"/>
    <m/>
    <x v="6"/>
    <x v="7"/>
    <s v="78 Min"/>
    <x v="0"/>
    <n v="7.4"/>
    <n v="12901010"/>
    <n v="485170"/>
    <n v="85"/>
    <x v="2"/>
    <x v="4"/>
  </r>
  <r>
    <x v="1972"/>
    <s v="Secret Truth 1397"/>
    <x v="0"/>
    <s v="L. Brown"/>
    <x v="4"/>
    <m/>
    <x v="2"/>
    <x v="6"/>
    <s v="164 Min"/>
    <x v="7"/>
    <n v="5.4"/>
    <n v="18745970"/>
    <n v="478490"/>
    <n v="81"/>
    <x v="6"/>
    <x v="0"/>
  </r>
  <r>
    <x v="1973"/>
    <s v="Ocean Mission 1433"/>
    <x v="0"/>
    <s v="J. Lee"/>
    <x v="7"/>
    <m/>
    <x v="25"/>
    <x v="3"/>
    <s v="Unknown"/>
    <x v="8"/>
    <n v="5.8"/>
    <n v="12557178"/>
    <n v="2950148"/>
    <n v="82"/>
    <x v="3"/>
    <x v="1"/>
  </r>
  <r>
    <x v="1974"/>
    <s v="Broken Night 1455"/>
    <x v="0"/>
    <s v="L. Brown"/>
    <x v="9"/>
    <m/>
    <x v="17"/>
    <x v="2"/>
    <s v="126 Min"/>
    <x v="10"/>
    <n v="7.3"/>
    <n v="10329200"/>
    <n v="4293913"/>
    <n v="65"/>
    <x v="2"/>
    <x v="0"/>
  </r>
  <r>
    <x v="1975"/>
    <s v="Dark World 1463"/>
    <x v="1"/>
    <s v="Unknown"/>
    <x v="2"/>
    <m/>
    <x v="2"/>
    <x v="4"/>
    <s v="6 Seasons"/>
    <x v="8"/>
    <n v="9.4"/>
    <n v="21084954"/>
    <n v="4787256"/>
    <n v="72"/>
    <x v="8"/>
    <x v="1"/>
  </r>
  <r>
    <x v="1976"/>
    <s v="Lost Journey 1469"/>
    <x v="2"/>
    <s v="Unknown"/>
    <x v="3"/>
    <m/>
    <x v="15"/>
    <x v="3"/>
    <s v="2 Seasons"/>
    <x v="9"/>
    <n v="9.6999999999999993"/>
    <n v="2749919"/>
    <n v="4439632"/>
    <n v="53"/>
    <x v="6"/>
    <x v="2"/>
  </r>
  <r>
    <x v="1977"/>
    <s v="Broken Empire 1514"/>
    <x v="1"/>
    <s v="D. Kim"/>
    <x v="3"/>
    <m/>
    <x v="2"/>
    <x v="6"/>
    <s v="8 Seasons"/>
    <x v="2"/>
    <n v="9.1"/>
    <n v="1877596"/>
    <n v="3072726"/>
    <n v="97"/>
    <x v="5"/>
    <x v="1"/>
  </r>
  <r>
    <x v="1978"/>
    <s v="Hidden Rise 1518"/>
    <x v="0"/>
    <s v="M. Garcia"/>
    <x v="12"/>
    <m/>
    <x v="23"/>
    <x v="8"/>
    <s v="100 Min"/>
    <x v="10"/>
    <n v="9.4"/>
    <n v="1940440"/>
    <n v="4877890"/>
    <n v="53"/>
    <x v="1"/>
    <x v="4"/>
  </r>
  <r>
    <x v="1979"/>
    <s v="Crimson Journey 1520"/>
    <x v="2"/>
    <s v="K. Tanaka"/>
    <x v="4"/>
    <m/>
    <x v="5"/>
    <x v="6"/>
    <s v="6 Seasons"/>
    <x v="9"/>
    <n v="5.3"/>
    <n v="17186517"/>
    <n v="1706550"/>
    <n v="70"/>
    <x v="2"/>
    <x v="0"/>
  </r>
  <r>
    <x v="1980"/>
    <s v="Infinite Line 1558"/>
    <x v="0"/>
    <s v="R. Kumar"/>
    <x v="8"/>
    <m/>
    <x v="18"/>
    <x v="3"/>
    <s v="115 Min"/>
    <x v="2"/>
    <n v="5.0999999999999996"/>
    <n v="14679180"/>
    <n v="940451"/>
    <n v="99"/>
    <x v="9"/>
    <x v="0"/>
  </r>
  <r>
    <x v="1981"/>
    <s v="Silent Rise 1602"/>
    <x v="0"/>
    <s v="N. Singh"/>
    <x v="4"/>
    <m/>
    <x v="16"/>
    <x v="0"/>
    <s v="166 Min"/>
    <x v="1"/>
    <n v="5.8"/>
    <n v="15504837"/>
    <n v="1033727"/>
    <n v="43"/>
    <x v="4"/>
    <x v="3"/>
  </r>
  <r>
    <x v="1982"/>
    <s v="Urban Valley 1678"/>
    <x v="1"/>
    <s v="D. Kim"/>
    <x v="12"/>
    <m/>
    <x v="17"/>
    <x v="5"/>
    <s v="2 Seasons"/>
    <x v="8"/>
    <n v="11.2"/>
    <n v="23941435"/>
    <n v="1637427"/>
    <n v="42"/>
    <x v="6"/>
    <x v="1"/>
  </r>
  <r>
    <x v="1983"/>
    <s v="Crimson Empire 1693"/>
    <x v="2"/>
    <s v="A. Smith"/>
    <x v="6"/>
    <m/>
    <x v="11"/>
    <x v="9"/>
    <s v="4 Seasons"/>
    <x v="5"/>
    <n v="9"/>
    <n v="6505265"/>
    <n v="1610721"/>
    <n v="97"/>
    <x v="4"/>
    <x v="0"/>
  </r>
  <r>
    <x v="1984"/>
    <s v="Royal Night 1694"/>
    <x v="0"/>
    <s v="N. Singh"/>
    <x v="11"/>
    <m/>
    <x v="1"/>
    <x v="2"/>
    <s v="173 Min"/>
    <x v="3"/>
    <n v="4.9000000000000004"/>
    <n v="17961437"/>
    <n v="3120485"/>
    <n v="66"/>
    <x v="9"/>
    <x v="0"/>
  </r>
  <r>
    <x v="1985"/>
    <s v="Last Journey 1711"/>
    <x v="0"/>
    <s v="K. Tanaka"/>
    <x v="5"/>
    <m/>
    <x v="8"/>
    <x v="0"/>
    <s v="106 Min"/>
    <x v="0"/>
    <n v="9.3000000000000007"/>
    <n v="13187811"/>
    <n v="4293875"/>
    <n v="89"/>
    <x v="7"/>
    <x v="0"/>
  </r>
  <r>
    <x v="1986"/>
    <s v="Golden Rise 1806"/>
    <x v="0"/>
    <s v="K. Tanaka"/>
    <x v="1"/>
    <m/>
    <x v="3"/>
    <x v="2"/>
    <s v="70 Min"/>
    <x v="2"/>
    <n v="9.6"/>
    <n v="3215796"/>
    <n v="1511258"/>
    <n v="56"/>
    <x v="6"/>
    <x v="3"/>
  </r>
  <r>
    <x v="1987"/>
    <s v="Urban Line 1808"/>
    <x v="0"/>
    <s v="N. Singh"/>
    <x v="7"/>
    <m/>
    <x v="14"/>
    <x v="4"/>
    <s v="120 Min"/>
    <x v="6"/>
    <n v="7"/>
    <n v="21138239"/>
    <n v="3283836"/>
    <n v="52"/>
    <x v="1"/>
    <x v="3"/>
  </r>
  <r>
    <x v="1988"/>
    <s v="Fire Quest 1813"/>
    <x v="1"/>
    <s v="P. Johnson"/>
    <x v="3"/>
    <m/>
    <x v="21"/>
    <x v="1"/>
    <s v="7 Seasons"/>
    <x v="0"/>
    <n v="5.4"/>
    <n v="18469742"/>
    <n v="154682"/>
    <n v="50"/>
    <x v="0"/>
    <x v="0"/>
  </r>
  <r>
    <x v="1989"/>
    <s v="Ocean Game 1819"/>
    <x v="0"/>
    <s v="N. Singh"/>
    <x v="12"/>
    <m/>
    <x v="3"/>
    <x v="4"/>
    <s v="142 Min"/>
    <x v="10"/>
    <n v="9.1999999999999993"/>
    <n v="9759198"/>
    <n v="691898"/>
    <n v="54"/>
    <x v="4"/>
    <x v="4"/>
  </r>
  <r>
    <x v="1990"/>
    <s v="Secret Zone 1871"/>
    <x v="0"/>
    <s v="R. Kumar"/>
    <x v="7"/>
    <m/>
    <x v="21"/>
    <x v="0"/>
    <s v="173 Min"/>
    <x v="9"/>
    <n v="6.1"/>
    <n v="-323"/>
    <n v="118522"/>
    <n v="76"/>
    <x v="1"/>
    <x v="3"/>
  </r>
  <r>
    <x v="1991"/>
    <s v="Secret Edge 1879"/>
    <x v="2"/>
    <s v="Unknown"/>
    <x v="3"/>
    <m/>
    <x v="25"/>
    <x v="2"/>
    <s v="7 Seasons"/>
    <x v="2"/>
    <n v="9.3000000000000007"/>
    <n v="2033984"/>
    <n v="48206"/>
    <n v="69"/>
    <x v="1"/>
    <x v="0"/>
  </r>
  <r>
    <x v="1992"/>
    <s v="Broken Signal 1887"/>
    <x v="1"/>
    <s v="D. Kim"/>
    <x v="7"/>
    <m/>
    <x v="5"/>
    <x v="1"/>
    <s v="4 Seasons"/>
    <x v="3"/>
    <n v="9.6"/>
    <n v="19426460"/>
    <n v="1177052"/>
    <n v="53"/>
    <x v="1"/>
    <x v="4"/>
  </r>
  <r>
    <x v="1993"/>
    <s v="Shadow Line 1888"/>
    <x v="0"/>
    <s v="Unknown"/>
    <x v="5"/>
    <m/>
    <x v="2"/>
    <x v="7"/>
    <s v="Unknown"/>
    <x v="1"/>
    <n v="7.2"/>
    <n v="14493966"/>
    <n v="3069004"/>
    <n v="99"/>
    <x v="4"/>
    <x v="4"/>
  </r>
  <r>
    <x v="1994"/>
    <s v="Last Zone 1930"/>
    <x v="0"/>
    <s v="D. Kim"/>
    <x v="6"/>
    <m/>
    <x v="3"/>
    <x v="5"/>
    <s v="124 Min"/>
    <x v="3"/>
    <n v="6.1"/>
    <n v="7882408"/>
    <n v="3036363"/>
    <n v="95"/>
    <x v="7"/>
    <x v="2"/>
  </r>
  <r>
    <x v="1995"/>
    <s v="Broken Journey 1951"/>
    <x v="0"/>
    <s v="D. Kim"/>
    <x v="11"/>
    <m/>
    <x v="27"/>
    <x v="6"/>
    <s v="140 Min"/>
    <x v="8"/>
    <n v="7.3"/>
    <n v="21892110"/>
    <n v="4303127"/>
    <n v="61"/>
    <x v="9"/>
    <x v="4"/>
  </r>
  <r>
    <x v="1996"/>
    <s v="Urban Dream 1971"/>
    <x v="0"/>
    <s v="M. Garcia"/>
    <x v="4"/>
    <m/>
    <x v="14"/>
    <x v="8"/>
    <s v="70 Min"/>
    <x v="2"/>
    <n v="5.2"/>
    <n v="141023"/>
    <n v="1815034"/>
    <n v="85"/>
    <x v="6"/>
    <x v="2"/>
  </r>
  <r>
    <x v="1997"/>
    <s v="Urban Zone 1987"/>
    <x v="1"/>
    <s v="R. Kumar"/>
    <x v="4"/>
    <m/>
    <x v="11"/>
    <x v="4"/>
    <s v="7 Seasons"/>
    <x v="7"/>
    <n v="7.6"/>
    <n v="17991673"/>
    <n v="4283390"/>
    <n v="59"/>
    <x v="3"/>
    <x v="0"/>
  </r>
  <r>
    <x v="1998"/>
    <s v="Blue Journey 1988"/>
    <x v="2"/>
    <s v="N. Singh"/>
    <x v="7"/>
    <m/>
    <x v="25"/>
    <x v="5"/>
    <s v="3 Seasons"/>
    <x v="6"/>
    <n v="6.9"/>
    <n v="3990044"/>
    <n v="3571686"/>
    <n v="45"/>
    <x v="4"/>
    <x v="0"/>
  </r>
  <r>
    <x v="1999"/>
    <s v="Urban Empire 1997"/>
    <x v="1"/>
    <s v="K. Tanaka"/>
    <x v="1"/>
    <m/>
    <x v="24"/>
    <x v="6"/>
    <s v="6 Seasons"/>
    <x v="5"/>
    <n v="9.5"/>
    <n v="13312806"/>
    <n v="2397098"/>
    <n v="70"/>
    <x v="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50E666-951B-47DA-BF87-0B95711C977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3:G17" firstHeaderRow="1" firstDataRow="1" firstDataCol="1"/>
  <pivotFields count="16">
    <pivotField dataField="1" showAll="0"/>
    <pivotField showAll="0"/>
    <pivotField showAll="0">
      <items count="4">
        <item x="0"/>
        <item x="1"/>
        <item x="2"/>
        <item t="default"/>
      </items>
    </pivotField>
    <pivotField showAll="0"/>
    <pivotField axis="axisRow" showAll="0">
      <items count="14">
        <item x="8"/>
        <item x="11"/>
        <item x="9"/>
        <item x="1"/>
        <item x="5"/>
        <item x="3"/>
        <item x="12"/>
        <item x="0"/>
        <item x="2"/>
        <item x="6"/>
        <item x="10"/>
        <item x="7"/>
        <item x="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4">
    <i>
      <x/>
    </i>
    <i>
      <x v="1"/>
    </i>
    <i>
      <x v="2"/>
    </i>
    <i>
      <x v="3"/>
    </i>
    <i>
      <x v="4"/>
    </i>
    <i>
      <x v="5"/>
    </i>
    <i>
      <x v="6"/>
    </i>
    <i>
      <x v="7"/>
    </i>
    <i>
      <x v="8"/>
    </i>
    <i>
      <x v="9"/>
    </i>
    <i>
      <x v="10"/>
    </i>
    <i>
      <x v="11"/>
    </i>
    <i>
      <x v="12"/>
    </i>
    <i t="grand">
      <x/>
    </i>
  </rowItems>
  <colItems count="1">
    <i/>
  </colItems>
  <dataFields count="1">
    <dataField name="Count of show_id" fld="0"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 chart="0" format="8">
      <pivotArea type="data" outline="0" fieldPosition="0">
        <references count="2">
          <reference field="4294967294" count="1" selected="0">
            <x v="0"/>
          </reference>
          <reference field="4" count="1" selected="0">
            <x v="7"/>
          </reference>
        </references>
      </pivotArea>
    </chartFormat>
    <chartFormat chart="0" format="9">
      <pivotArea type="data" outline="0" fieldPosition="0">
        <references count="2">
          <reference field="4294967294" count="1" selected="0">
            <x v="0"/>
          </reference>
          <reference field="4" count="1" selected="0">
            <x v="8"/>
          </reference>
        </references>
      </pivotArea>
    </chartFormat>
    <chartFormat chart="0" format="10">
      <pivotArea type="data" outline="0" fieldPosition="0">
        <references count="2">
          <reference field="4294967294" count="1" selected="0">
            <x v="0"/>
          </reference>
          <reference field="4" count="1" selected="0">
            <x v="9"/>
          </reference>
        </references>
      </pivotArea>
    </chartFormat>
    <chartFormat chart="0" format="11">
      <pivotArea type="data" outline="0" fieldPosition="0">
        <references count="2">
          <reference field="4294967294" count="1" selected="0">
            <x v="0"/>
          </reference>
          <reference field="4" count="1" selected="0">
            <x v="10"/>
          </reference>
        </references>
      </pivotArea>
    </chartFormat>
    <chartFormat chart="0" format="12">
      <pivotArea type="data" outline="0" fieldPosition="0">
        <references count="2">
          <reference field="4294967294" count="1" selected="0">
            <x v="0"/>
          </reference>
          <reference field="4" count="1" selected="0">
            <x v="11"/>
          </reference>
        </references>
      </pivotArea>
    </chartFormat>
    <chartFormat chart="0" format="13">
      <pivotArea type="data" outline="0" fieldPosition="0">
        <references count="2">
          <reference field="4294967294" count="1" selected="0">
            <x v="0"/>
          </reference>
          <reference field="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7399FD-22D5-4B7C-8777-FF8C7F68061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25:C29" firstHeaderRow="1" firstDataRow="1" firstDataCol="1"/>
  <pivotFields count="16">
    <pivotField dataFiel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show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689D48-CF60-4AC6-838E-FDFD0DF3F10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3:P32" firstHeaderRow="1" firstDataRow="1" firstDataCol="1"/>
  <pivotFields count="16">
    <pivotField dataField="1" showAll="0">
      <items count="2001">
        <item x="1901"/>
        <item x="441"/>
        <item x="936"/>
        <item x="1858"/>
        <item x="1109"/>
        <item x="692"/>
        <item x="1647"/>
        <item x="1742"/>
        <item x="1378"/>
        <item x="1307"/>
        <item x="758"/>
        <item x="1777"/>
        <item x="492"/>
        <item x="450"/>
        <item x="1919"/>
        <item x="1156"/>
        <item x="1212"/>
        <item x="995"/>
        <item x="1925"/>
        <item x="1926"/>
        <item x="526"/>
        <item x="1017"/>
        <item x="166"/>
        <item x="525"/>
        <item x="1831"/>
        <item x="1108"/>
        <item x="1102"/>
        <item x="1009"/>
        <item x="6"/>
        <item x="575"/>
        <item x="196"/>
        <item x="825"/>
        <item x="1867"/>
        <item x="1753"/>
        <item x="1636"/>
        <item x="1927"/>
        <item x="1928"/>
        <item x="215"/>
        <item x="1406"/>
        <item x="1370"/>
        <item x="1206"/>
        <item x="1157"/>
        <item x="276"/>
        <item x="944"/>
        <item x="896"/>
        <item x="152"/>
        <item x="623"/>
        <item x="1373"/>
        <item x="748"/>
        <item x="601"/>
        <item x="1587"/>
        <item x="1914"/>
        <item x="627"/>
        <item x="1929"/>
        <item x="1396"/>
        <item x="1564"/>
        <item x="933"/>
        <item x="175"/>
        <item x="1790"/>
        <item x="1631"/>
        <item x="23"/>
        <item x="168"/>
        <item x="382"/>
        <item x="375"/>
        <item x="1005"/>
        <item x="1930"/>
        <item x="989"/>
        <item x="389"/>
        <item x="1511"/>
        <item x="602"/>
        <item x="778"/>
        <item x="1338"/>
        <item x="1545"/>
        <item x="328"/>
        <item x="898"/>
        <item x="1023"/>
        <item x="286"/>
        <item x="790"/>
        <item x="339"/>
        <item x="314"/>
        <item x="1611"/>
        <item x="587"/>
        <item x="1868"/>
        <item x="558"/>
        <item x="582"/>
        <item x="570"/>
        <item x="1931"/>
        <item x="1506"/>
        <item x="1086"/>
        <item x="447"/>
        <item x="186"/>
        <item x="545"/>
        <item x="1376"/>
        <item x="430"/>
        <item x="1127"/>
        <item x="300"/>
        <item x="347"/>
        <item x="1225"/>
        <item x="114"/>
        <item x="517"/>
        <item x="1628"/>
        <item x="1489"/>
        <item x="635"/>
        <item x="834"/>
        <item x="1835"/>
        <item x="530"/>
        <item x="1084"/>
        <item x="891"/>
        <item x="1606"/>
        <item x="1302"/>
        <item x="405"/>
        <item x="552"/>
        <item x="1067"/>
        <item x="21"/>
        <item x="1352"/>
        <item x="1296"/>
        <item x="491"/>
        <item x="1185"/>
        <item x="1508"/>
        <item x="160"/>
        <item x="1105"/>
        <item x="1693"/>
        <item x="1326"/>
        <item x="442"/>
        <item x="424"/>
        <item x="1932"/>
        <item x="1184"/>
        <item x="304"/>
        <item x="1576"/>
        <item x="309"/>
        <item x="1559"/>
        <item x="425"/>
        <item x="516"/>
        <item x="1297"/>
        <item x="1670"/>
        <item x="580"/>
        <item x="173"/>
        <item x="1438"/>
        <item x="1298"/>
        <item x="1694"/>
        <item x="1599"/>
        <item x="224"/>
        <item x="1286"/>
        <item x="544"/>
        <item x="1695"/>
        <item x="996"/>
        <item x="1933"/>
        <item x="604"/>
        <item x="1642"/>
        <item x="1278"/>
        <item x="1934"/>
        <item x="1366"/>
        <item x="1875"/>
        <item x="1763"/>
        <item x="1330"/>
        <item x="1598"/>
        <item x="1829"/>
        <item x="1844"/>
        <item x="1400"/>
        <item x="35"/>
        <item x="1279"/>
        <item x="1481"/>
        <item x="1706"/>
        <item x="773"/>
        <item x="1741"/>
        <item x="595"/>
        <item x="154"/>
        <item x="1045"/>
        <item x="1139"/>
        <item x="1356"/>
        <item x="984"/>
        <item x="1022"/>
        <item x="1159"/>
        <item x="261"/>
        <item x="1856"/>
        <item x="893"/>
        <item x="1163"/>
        <item x="1654"/>
        <item x="1897"/>
        <item x="1556"/>
        <item x="1923"/>
        <item x="101"/>
        <item x="652"/>
        <item x="1770"/>
        <item x="39"/>
        <item x="1299"/>
        <item x="1057"/>
        <item x="1051"/>
        <item x="127"/>
        <item x="248"/>
        <item x="420"/>
        <item x="1021"/>
        <item x="1782"/>
        <item x="1420"/>
        <item x="760"/>
        <item x="875"/>
        <item x="1548"/>
        <item x="1935"/>
        <item x="782"/>
        <item x="172"/>
        <item x="1651"/>
        <item x="921"/>
        <item x="346"/>
        <item x="538"/>
        <item x="659"/>
        <item x="1016"/>
        <item x="633"/>
        <item x="1091"/>
        <item x="225"/>
        <item x="1720"/>
        <item x="126"/>
        <item x="532"/>
        <item x="865"/>
        <item x="451"/>
        <item x="1629"/>
        <item x="737"/>
        <item x="684"/>
        <item x="1517"/>
        <item x="951"/>
        <item x="953"/>
        <item x="317"/>
        <item x="878"/>
        <item x="994"/>
        <item x="1728"/>
        <item x="444"/>
        <item x="1198"/>
        <item x="360"/>
        <item x="1711"/>
        <item x="108"/>
        <item x="1210"/>
        <item x="1174"/>
        <item x="443"/>
        <item x="264"/>
        <item x="1347"/>
        <item x="547"/>
        <item x="798"/>
        <item x="668"/>
        <item x="1218"/>
        <item x="1890"/>
        <item x="1585"/>
        <item x="1497"/>
        <item x="1241"/>
        <item x="1936"/>
        <item x="682"/>
        <item x="1470"/>
        <item x="1284"/>
        <item x="1795"/>
        <item x="315"/>
        <item x="306"/>
        <item x="1503"/>
        <item x="137"/>
        <item x="237"/>
        <item x="445"/>
        <item x="1444"/>
        <item x="1126"/>
        <item x="1087"/>
        <item x="106"/>
        <item x="535"/>
        <item x="1787"/>
        <item x="1176"/>
        <item x="1899"/>
        <item x="1110"/>
        <item x="1852"/>
        <item x="1037"/>
        <item x="1341"/>
        <item x="1881"/>
        <item x="795"/>
        <item x="1165"/>
        <item x="699"/>
        <item x="1421"/>
        <item x="1229"/>
        <item x="1416"/>
        <item x="1001"/>
        <item x="643"/>
        <item x="521"/>
        <item x="1937"/>
        <item x="1807"/>
        <item x="131"/>
        <item x="496"/>
        <item x="1175"/>
        <item x="851"/>
        <item x="753"/>
        <item x="366"/>
        <item x="740"/>
        <item x="609"/>
        <item x="1547"/>
        <item x="1634"/>
        <item x="1824"/>
        <item x="299"/>
        <item x="1821"/>
        <item x="1068"/>
        <item x="68"/>
        <item x="185"/>
        <item x="1061"/>
        <item x="775"/>
        <item x="1571"/>
        <item x="312"/>
        <item x="392"/>
        <item x="925"/>
        <item x="1726"/>
        <item x="1002"/>
        <item x="661"/>
        <item x="1894"/>
        <item x="255"/>
        <item x="947"/>
        <item x="180"/>
        <item x="1448"/>
        <item x="1422"/>
        <item x="1250"/>
        <item x="1170"/>
        <item x="943"/>
        <item x="1094"/>
        <item x="22"/>
        <item x="977"/>
        <item x="1702"/>
        <item x="148"/>
        <item x="1423"/>
        <item x="1328"/>
        <item x="1398"/>
        <item x="1203"/>
        <item x="751"/>
        <item x="1098"/>
        <item x="1374"/>
        <item x="992"/>
        <item x="1058"/>
        <item x="1825"/>
        <item x="1439"/>
        <item x="174"/>
        <item x="1042"/>
        <item x="1572"/>
        <item x="1938"/>
        <item x="406"/>
        <item x="1361"/>
        <item x="1236"/>
        <item x="265"/>
        <item x="691"/>
        <item x="1034"/>
        <item x="193"/>
        <item x="1939"/>
        <item x="296"/>
        <item x="337"/>
        <item x="1784"/>
        <item x="1529"/>
        <item x="361"/>
        <item x="1053"/>
        <item x="1679"/>
        <item x="4"/>
        <item x="1819"/>
        <item x="1845"/>
        <item x="1910"/>
        <item x="646"/>
        <item x="1332"/>
        <item x="1532"/>
        <item x="231"/>
        <item x="962"/>
        <item x="498"/>
        <item x="881"/>
        <item x="1393"/>
        <item x="914"/>
        <item x="144"/>
        <item x="145"/>
        <item x="1754"/>
        <item x="1482"/>
        <item x="479"/>
        <item x="1189"/>
        <item x="1708"/>
        <item x="840"/>
        <item x="1842"/>
        <item x="744"/>
        <item x="1076"/>
        <item x="61"/>
        <item x="179"/>
        <item x="170"/>
        <item x="332"/>
        <item x="907"/>
        <item x="437"/>
        <item x="764"/>
        <item x="1920"/>
        <item x="806"/>
        <item x="190"/>
        <item x="905"/>
        <item x="1011"/>
        <item x="963"/>
        <item x="1771"/>
        <item x="1151"/>
        <item x="809"/>
        <item x="335"/>
        <item x="345"/>
        <item x="690"/>
        <item x="1143"/>
        <item x="1222"/>
        <item x="1940"/>
        <item x="293"/>
        <item x="768"/>
        <item x="34"/>
        <item x="1390"/>
        <item x="294"/>
        <item x="1525"/>
        <item x="1324"/>
        <item x="1803"/>
        <item x="351"/>
        <item x="89"/>
        <item x="284"/>
        <item x="422"/>
        <item x="1893"/>
        <item x="1731"/>
        <item x="1287"/>
        <item x="505"/>
        <item x="374"/>
        <item x="1473"/>
        <item x="550"/>
        <item x="715"/>
        <item x="1789"/>
        <item x="1319"/>
        <item x="1362"/>
        <item x="1915"/>
        <item x="1863"/>
        <item x="803"/>
        <item x="1137"/>
        <item x="290"/>
        <item x="1204"/>
        <item x="1346"/>
        <item x="1359"/>
        <item x="169"/>
        <item x="1785"/>
        <item x="578"/>
        <item x="1186"/>
        <item x="670"/>
        <item x="566"/>
        <item x="663"/>
        <item x="431"/>
        <item x="1710"/>
        <item x="1860"/>
        <item x="980"/>
        <item x="675"/>
        <item x="735"/>
        <item x="985"/>
        <item x="667"/>
        <item x="681"/>
        <item x="1675"/>
        <item x="1816"/>
        <item x="48"/>
        <item x="1941"/>
        <item x="1253"/>
        <item x="258"/>
        <item x="676"/>
        <item x="842"/>
        <item x="799"/>
        <item x="357"/>
        <item x="549"/>
        <item x="1145"/>
        <item x="349"/>
        <item x="1809"/>
        <item x="1095"/>
        <item x="888"/>
        <item x="1207"/>
        <item x="1357"/>
        <item x="1291"/>
        <item x="408"/>
        <item x="1873"/>
        <item x="399"/>
        <item x="235"/>
        <item x="709"/>
        <item x="1523"/>
        <item x="250"/>
        <item x="340"/>
        <item x="1788"/>
        <item x="1480"/>
        <item x="295"/>
        <item x="204"/>
        <item x="664"/>
        <item x="319"/>
        <item x="879"/>
        <item x="403"/>
        <item x="1600"/>
        <item x="1168"/>
        <item x="1325"/>
        <item x="1107"/>
        <item x="745"/>
        <item x="1123"/>
        <item x="486"/>
        <item x="95"/>
        <item x="334"/>
        <item x="329"/>
        <item x="1181"/>
        <item x="873"/>
        <item x="221"/>
        <item x="1333"/>
        <item x="1596"/>
        <item x="156"/>
        <item x="1308"/>
        <item x="423"/>
        <item x="1604"/>
        <item x="1219"/>
        <item x="1615"/>
        <item x="843"/>
        <item x="1586"/>
        <item x="1260"/>
        <item x="583"/>
        <item x="1446"/>
        <item x="1106"/>
        <item x="939"/>
        <item x="407"/>
        <item x="1800"/>
        <item x="86"/>
        <item x="80"/>
        <item x="1150"/>
        <item x="1310"/>
        <item x="1597"/>
        <item x="647"/>
        <item x="1318"/>
        <item x="1190"/>
        <item x="1486"/>
        <item x="1231"/>
        <item x="1552"/>
        <item x="762"/>
        <item x="1285"/>
        <item x="1408"/>
        <item x="1617"/>
        <item x="800"/>
        <item x="836"/>
        <item x="1554"/>
        <item x="1872"/>
        <item x="1879"/>
        <item x="954"/>
        <item x="226"/>
        <item x="900"/>
        <item x="1942"/>
        <item x="852"/>
        <item x="1916"/>
        <item x="1226"/>
        <item x="1886"/>
        <item x="417"/>
        <item x="1780"/>
        <item x="714"/>
        <item x="882"/>
        <item x="1755"/>
        <item x="887"/>
        <item x="1884"/>
        <item x="1722"/>
        <item x="1431"/>
        <item x="411"/>
        <item x="1050"/>
        <item x="8"/>
        <item x="1683"/>
        <item x="1234"/>
        <item x="1114"/>
        <item x="780"/>
        <item x="620"/>
        <item x="574"/>
        <item x="934"/>
        <item x="1379"/>
        <item x="448"/>
        <item x="976"/>
        <item x="1895"/>
        <item x="1680"/>
        <item x="731"/>
        <item x="119"/>
        <item x="1656"/>
        <item x="837"/>
        <item x="546"/>
        <item x="1281"/>
        <item x="1943"/>
        <item x="333"/>
        <item x="157"/>
        <item x="679"/>
        <item x="1270"/>
        <item x="415"/>
        <item x="281"/>
        <item x="439"/>
        <item x="1339"/>
        <item x="1584"/>
        <item x="651"/>
        <item x="1128"/>
        <item x="113"/>
        <item x="1487"/>
        <item x="320"/>
        <item x="1944"/>
        <item x="1049"/>
        <item x="1136"/>
        <item x="923"/>
        <item x="783"/>
        <item x="961"/>
        <item x="1515"/>
        <item x="1403"/>
        <item x="536"/>
        <item x="998"/>
        <item x="1275"/>
        <item x="958"/>
        <item x="1822"/>
        <item x="763"/>
        <item x="500"/>
        <item x="1215"/>
        <item x="452"/>
        <item x="931"/>
        <item x="1945"/>
        <item x="1502"/>
        <item x="1898"/>
        <item x="938"/>
        <item x="75"/>
        <item x="1197"/>
        <item x="705"/>
        <item x="655"/>
        <item x="1776"/>
        <item x="228"/>
        <item x="1008"/>
        <item x="1394"/>
        <item x="945"/>
        <item x="1153"/>
        <item x="1946"/>
        <item x="213"/>
        <item x="1583"/>
        <item x="1264"/>
        <item x="1436"/>
        <item x="421"/>
        <item x="869"/>
        <item x="1039"/>
        <item x="25"/>
        <item x="282"/>
        <item x="376"/>
        <item x="149"/>
        <item x="1164"/>
        <item x="132"/>
        <item x="240"/>
        <item x="1213"/>
        <item x="1607"/>
        <item x="1947"/>
        <item x="639"/>
        <item x="1343"/>
        <item x="1404"/>
        <item x="69"/>
        <item x="191"/>
        <item x="1062"/>
        <item x="1812"/>
        <item x="631"/>
        <item x="1880"/>
        <item x="230"/>
        <item x="1030"/>
        <item x="1846"/>
        <item x="747"/>
        <item x="801"/>
        <item x="853"/>
        <item x="1025"/>
        <item x="1450"/>
        <item x="427"/>
        <item x="1172"/>
        <item x="730"/>
        <item x="1948"/>
        <item x="708"/>
        <item x="31"/>
        <item x="1549"/>
        <item x="1252"/>
        <item x="1248"/>
        <item x="223"/>
        <item x="794"/>
        <item x="1146"/>
        <item x="769"/>
        <item x="1312"/>
        <item x="1490"/>
        <item x="576"/>
        <item x="243"/>
        <item x="1152"/>
        <item x="727"/>
        <item x="1660"/>
        <item x="819"/>
        <item x="352"/>
        <item x="1802"/>
        <item x="531"/>
        <item x="1949"/>
        <item x="866"/>
        <item x="533"/>
        <item x="678"/>
        <item x="1618"/>
        <item x="1950"/>
        <item x="880"/>
        <item x="970"/>
        <item x="1367"/>
        <item x="1261"/>
        <item x="826"/>
        <item x="1477"/>
        <item x="455"/>
        <item x="453"/>
        <item x="165"/>
        <item x="1768"/>
        <item x="1177"/>
        <item x="1411"/>
        <item x="1951"/>
        <item x="257"/>
        <item x="305"/>
        <item x="959"/>
        <item x="829"/>
        <item x="341"/>
        <item x="1191"/>
        <item x="307"/>
        <item x="1182"/>
        <item x="688"/>
        <item x="1924"/>
        <item x="1187"/>
        <item x="82"/>
        <item x="1162"/>
        <item x="948"/>
        <item x="919"/>
        <item x="468"/>
        <item x="205"/>
        <item x="1485"/>
        <item x="1857"/>
        <item x="458"/>
        <item x="363"/>
        <item x="1071"/>
        <item x="952"/>
        <item x="1052"/>
        <item x="1891"/>
        <item x="483"/>
        <item x="485"/>
        <item x="1737"/>
        <item x="571"/>
        <item x="859"/>
        <item x="1178"/>
        <item x="935"/>
        <item x="1440"/>
        <item x="964"/>
        <item x="1565"/>
        <item x="1455"/>
        <item x="1395"/>
        <item x="76"/>
        <item x="1952"/>
        <item x="77"/>
        <item x="504"/>
        <item x="1806"/>
        <item x="1648"/>
        <item x="1259"/>
        <item x="1907"/>
        <item x="482"/>
        <item x="1874"/>
        <item x="653"/>
        <item x="1953"/>
        <item x="1429"/>
        <item x="1700"/>
        <item x="614"/>
        <item x="1280"/>
        <item x="577"/>
        <item x="29"/>
        <item x="1865"/>
        <item x="911"/>
        <item x="1082"/>
        <item x="456"/>
        <item x="704"/>
        <item x="1739"/>
        <item x="742"/>
        <item x="1544"/>
        <item x="838"/>
        <item x="263"/>
        <item x="1885"/>
        <item x="1748"/>
        <item x="1725"/>
        <item x="770"/>
        <item x="913"/>
        <item x="1300"/>
        <item x="1665"/>
        <item x="812"/>
        <item x="698"/>
        <item x="128"/>
        <item x="1954"/>
        <item x="1650"/>
        <item x="1451"/>
        <item x="567"/>
        <item x="569"/>
        <item x="1528"/>
        <item x="849"/>
        <item x="96"/>
        <item x="1460"/>
        <item x="1040"/>
        <item x="1955"/>
        <item x="298"/>
        <item x="1764"/>
        <item x="1399"/>
        <item x="1072"/>
        <item x="590"/>
        <item x="1171"/>
        <item x="1913"/>
        <item x="1735"/>
        <item x="466"/>
        <item x="626"/>
        <item x="10"/>
        <item x="503"/>
        <item x="1132"/>
        <item x="802"/>
        <item x="1130"/>
        <item x="358"/>
        <item x="99"/>
        <item x="585"/>
        <item x="267"/>
        <item x="50"/>
        <item x="861"/>
        <item x="598"/>
        <item x="662"/>
        <item x="1142"/>
        <item x="1843"/>
        <item x="637"/>
        <item x="70"/>
        <item x="1778"/>
        <item x="488"/>
        <item x="432"/>
        <item x="1847"/>
        <item x="1760"/>
        <item x="1208"/>
        <item x="1537"/>
        <item x="1380"/>
        <item x="321"/>
        <item x="889"/>
        <item x="1425"/>
        <item x="738"/>
        <item x="1201"/>
        <item x="555"/>
        <item x="1849"/>
        <item x="246"/>
        <item x="1239"/>
        <item x="1283"/>
        <item x="73"/>
        <item x="171"/>
        <item x="1276"/>
        <item x="216"/>
        <item x="38"/>
        <item x="206"/>
        <item x="978"/>
        <item x="118"/>
        <item x="1223"/>
        <item x="743"/>
        <item x="1887"/>
        <item x="1577"/>
        <item x="1384"/>
        <item x="644"/>
        <item x="1085"/>
        <item x="1538"/>
        <item x="1591"/>
        <item x="429"/>
        <item x="115"/>
        <item x="1033"/>
        <item x="1699"/>
        <item x="677"/>
        <item x="1723"/>
        <item x="291"/>
        <item x="1013"/>
        <item x="1495"/>
        <item x="1786"/>
        <item x="854"/>
        <item x="572"/>
        <item x="1101"/>
        <item x="446"/>
        <item x="507"/>
        <item x="78"/>
        <item x="1476"/>
        <item x="818"/>
        <item x="151"/>
        <item x="1089"/>
        <item x="1798"/>
        <item x="1249"/>
        <item x="981"/>
        <item x="613"/>
        <item x="710"/>
        <item x="1237"/>
        <item x="270"/>
        <item x="529"/>
        <item x="1707"/>
        <item x="1759"/>
        <item x="1498"/>
        <item x="1811"/>
        <item x="612"/>
        <item x="1124"/>
        <item x="830"/>
        <item x="543"/>
        <item x="1099"/>
        <item x="1530"/>
        <item x="967"/>
        <item x="183"/>
        <item x="1574"/>
        <item x="1668"/>
        <item x="638"/>
        <item x="1469"/>
        <item x="1729"/>
        <item x="1765"/>
        <item x="1536"/>
        <item x="1501"/>
        <item x="279"/>
        <item x="1351"/>
        <item x="158"/>
        <item x="116"/>
        <item x="724"/>
        <item x="712"/>
        <item x="509"/>
        <item x="489"/>
        <item x="1810"/>
        <item x="1524"/>
        <item x="244"/>
        <item x="556"/>
        <item x="348"/>
        <item x="1594"/>
        <item x="862"/>
        <item x="1433"/>
        <item x="1188"/>
        <item x="109"/>
        <item x="1415"/>
        <item x="1690"/>
        <item x="200"/>
        <item x="990"/>
        <item x="1458"/>
        <item x="831"/>
        <item x="303"/>
        <item x="1783"/>
        <item x="1335"/>
        <item x="397"/>
        <item x="1718"/>
        <item x="210"/>
        <item x="402"/>
        <item x="716"/>
        <item x="1081"/>
        <item x="1092"/>
        <item x="1889"/>
        <item x="1593"/>
        <item x="1235"/>
        <item x="1567"/>
        <item x="413"/>
        <item x="1224"/>
        <item x="60"/>
        <item x="541"/>
        <item x="902"/>
        <item x="822"/>
        <item x="93"/>
        <item x="734"/>
        <item x="5"/>
        <item x="1956"/>
        <item x="338"/>
        <item x="1724"/>
        <item x="79"/>
        <item x="599"/>
        <item x="1630"/>
        <item x="1957"/>
        <item x="512"/>
        <item x="85"/>
        <item x="1410"/>
        <item x="548"/>
        <item x="1833"/>
        <item x="1958"/>
        <item x="685"/>
        <item x="1088"/>
        <item x="1193"/>
        <item x="232"/>
        <item x="1959"/>
        <item x="280"/>
        <item x="728"/>
        <item x="1592"/>
        <item x="1267"/>
        <item x="212"/>
        <item x="370"/>
        <item x="199"/>
        <item x="45"/>
        <item x="771"/>
        <item x="1692"/>
        <item x="162"/>
        <item x="1492"/>
        <item x="440"/>
        <item x="123"/>
        <item x="208"/>
        <item x="1911"/>
        <item x="885"/>
        <item x="1488"/>
        <item x="1519"/>
        <item x="57"/>
        <item x="1478"/>
        <item x="285"/>
        <item x="1063"/>
        <item x="494"/>
        <item x="9"/>
        <item x="551"/>
        <item x="786"/>
        <item x="134"/>
        <item x="774"/>
        <item x="1500"/>
        <item x="260"/>
        <item x="1138"/>
        <item x="1772"/>
        <item x="1217"/>
        <item x="1960"/>
        <item x="1342"/>
        <item x="1555"/>
        <item x="700"/>
        <item x="686"/>
        <item x="120"/>
        <item x="1733"/>
        <item x="1375"/>
        <item x="864"/>
        <item x="648"/>
        <item x="1233"/>
        <item x="1671"/>
        <item x="527"/>
        <item x="1471"/>
        <item x="884"/>
        <item x="560"/>
        <item x="845"/>
        <item x="839"/>
        <item x="1612"/>
        <item x="922"/>
        <item x="524"/>
        <item x="767"/>
        <item x="816"/>
        <item x="353"/>
        <item x="1323"/>
        <item x="1667"/>
        <item x="847"/>
        <item x="414"/>
        <item x="630"/>
        <item x="720"/>
        <item x="1961"/>
        <item x="1509"/>
        <item x="1883"/>
        <item x="701"/>
        <item x="1024"/>
        <item x="501"/>
        <item x="184"/>
        <item x="1749"/>
        <item x="1962"/>
        <item x="1080"/>
        <item x="1963"/>
        <item x="124"/>
        <item x="1531"/>
        <item x="1921"/>
        <item x="164"/>
        <item x="1801"/>
        <item x="926"/>
        <item x="1533"/>
        <item x="83"/>
        <item x="28"/>
        <item x="725"/>
        <item x="1274"/>
        <item x="1350"/>
        <item x="1309"/>
        <item x="789"/>
        <item x="1459"/>
        <item x="15"/>
        <item x="54"/>
        <item x="987"/>
        <item x="932"/>
        <item x="1304"/>
        <item x="660"/>
        <item x="26"/>
        <item x="409"/>
        <item x="188"/>
        <item x="1964"/>
        <item x="808"/>
        <item x="176"/>
        <item x="1640"/>
        <item x="619"/>
        <item x="1461"/>
        <item x="1820"/>
        <item x="1012"/>
        <item x="1282"/>
        <item x="513"/>
        <item x="965"/>
        <item x="1965"/>
        <item x="1834"/>
        <item x="1199"/>
        <item x="1673"/>
        <item x="815"/>
        <item x="251"/>
        <item x="159"/>
        <item x="1166"/>
        <item x="916"/>
        <item x="1426"/>
        <item x="1799"/>
        <item x="1079"/>
        <item x="1428"/>
        <item x="755"/>
        <item x="1257"/>
        <item x="301"/>
        <item x="1402"/>
        <item x="909"/>
        <item x="1031"/>
        <item x="1888"/>
        <item x="1624"/>
        <item x="1966"/>
        <item x="247"/>
        <item x="1677"/>
        <item x="1499"/>
        <item x="1305"/>
        <item x="368"/>
        <item x="966"/>
        <item x="65"/>
        <item x="632"/>
        <item x="41"/>
        <item x="649"/>
        <item x="870"/>
        <item x="1077"/>
        <item x="1701"/>
        <item x="1019"/>
        <item x="1401"/>
        <item x="398"/>
        <item x="1129"/>
        <item x="1386"/>
        <item x="438"/>
        <item x="493"/>
        <item x="1712"/>
        <item x="1026"/>
        <item x="593"/>
        <item x="607"/>
        <item x="1027"/>
        <item x="103"/>
        <item x="104"/>
        <item x="1368"/>
        <item x="1272"/>
        <item x="502"/>
        <item x="277"/>
        <item x="642"/>
        <item x="1073"/>
        <item x="2"/>
        <item x="1483"/>
        <item x="791"/>
        <item x="1643"/>
        <item x="1289"/>
        <item x="1228"/>
        <item x="1721"/>
        <item x="1161"/>
        <item x="7"/>
        <item x="1589"/>
        <item x="1635"/>
        <item x="823"/>
        <item x="90"/>
        <item x="313"/>
        <item x="1268"/>
        <item x="271"/>
        <item x="930"/>
        <item x="969"/>
        <item x="1540"/>
        <item x="64"/>
        <item x="139"/>
        <item x="1793"/>
        <item x="706"/>
        <item x="1311"/>
        <item x="624"/>
        <item x="1688"/>
        <item x="354"/>
        <item x="182"/>
        <item x="187"/>
        <item x="1377"/>
        <item x="796"/>
        <item x="1853"/>
        <item x="268"/>
        <item x="1314"/>
        <item x="814"/>
        <item x="192"/>
        <item x="1687"/>
        <item x="105"/>
        <item x="776"/>
        <item x="1295"/>
        <item x="1074"/>
        <item x="908"/>
        <item x="1908"/>
        <item x="1745"/>
        <item x="1256"/>
        <item x="519"/>
        <item x="1608"/>
        <item x="1038"/>
        <item x="1637"/>
        <item x="1119"/>
        <item x="487"/>
        <item x="383"/>
        <item x="49"/>
        <item x="1967"/>
        <item x="1968"/>
        <item x="84"/>
        <item x="1541"/>
        <item x="1158"/>
        <item x="342"/>
        <item x="1900"/>
        <item x="1055"/>
        <item x="1859"/>
        <item x="1969"/>
        <item x="18"/>
        <item x="367"/>
        <item x="112"/>
        <item x="155"/>
        <item x="1837"/>
        <item x="1588"/>
        <item x="1294"/>
        <item x="1118"/>
        <item x="1265"/>
        <item x="991"/>
        <item x="1075"/>
        <item x="1122"/>
        <item x="136"/>
        <item x="557"/>
        <item x="857"/>
        <item x="457"/>
        <item x="937"/>
        <item x="765"/>
        <item x="1918"/>
        <item x="1183"/>
        <item x="856"/>
        <item x="1518"/>
        <item x="1032"/>
        <item x="1048"/>
        <item x="1340"/>
        <item x="1435"/>
        <item x="1861"/>
        <item x="1195"/>
        <item x="1117"/>
        <item x="833"/>
        <item x="1205"/>
        <item x="1035"/>
        <item x="1644"/>
        <item x="518"/>
        <item x="534"/>
        <item x="98"/>
        <item x="804"/>
        <item x="950"/>
        <item x="1732"/>
        <item x="51"/>
        <item x="476"/>
        <item x="369"/>
        <item x="1970"/>
        <item x="687"/>
        <item x="461"/>
        <item x="1382"/>
        <item x="617"/>
        <item x="1705"/>
        <item x="1397"/>
        <item x="820"/>
        <item x="292"/>
        <item x="615"/>
        <item x="410"/>
        <item x="1389"/>
        <item x="362"/>
        <item x="227"/>
        <item x="1527"/>
        <item x="88"/>
        <item x="449"/>
        <item x="665"/>
        <item x="253"/>
        <item x="1854"/>
        <item x="946"/>
        <item x="892"/>
        <item x="1658"/>
        <item x="1543"/>
        <item x="1830"/>
        <item x="672"/>
        <item x="520"/>
        <item x="326"/>
        <item x="777"/>
        <item x="1507"/>
        <item x="942"/>
        <item x="1336"/>
        <item x="729"/>
        <item x="1044"/>
        <item x="1905"/>
        <item x="1578"/>
        <item x="1669"/>
        <item x="1427"/>
        <item x="1797"/>
        <item x="1148"/>
        <item x="788"/>
        <item x="1659"/>
        <item x="723"/>
        <item x="66"/>
        <item x="1413"/>
        <item x="1004"/>
        <item x="1369"/>
        <item x="1125"/>
        <item x="355"/>
        <item x="886"/>
        <item x="628"/>
        <item x="324"/>
        <item x="229"/>
        <item x="971"/>
        <item x="581"/>
        <item x="327"/>
        <item x="1155"/>
        <item x="761"/>
        <item x="1028"/>
        <item x="459"/>
        <item x="1840"/>
        <item x="1663"/>
        <item x="693"/>
        <item x="955"/>
        <item x="1115"/>
        <item x="433"/>
        <item x="316"/>
        <item x="1767"/>
        <item x="1866"/>
        <item x="890"/>
        <item x="584"/>
        <item x="322"/>
        <item x="16"/>
        <item x="972"/>
        <item x="759"/>
        <item x="1904"/>
        <item x="472"/>
        <item x="396"/>
        <item x="1534"/>
        <item x="1746"/>
        <item x="1896"/>
        <item x="150"/>
        <item x="1551"/>
        <item x="1909"/>
        <item x="209"/>
        <item x="356"/>
        <item x="717"/>
        <item x="1743"/>
        <item x="1510"/>
        <item x="1681"/>
        <item x="899"/>
        <item x="1140"/>
        <item x="597"/>
        <item x="1691"/>
        <item x="1714"/>
        <item x="1971"/>
        <item x="1761"/>
        <item x="1613"/>
        <item x="1823"/>
        <item x="14"/>
        <item x="561"/>
        <item x="674"/>
        <item x="1682"/>
        <item x="621"/>
        <item x="1516"/>
        <item x="1917"/>
        <item x="1457"/>
        <item x="201"/>
        <item x="1539"/>
        <item x="1546"/>
        <item x="1676"/>
        <item x="381"/>
        <item x="669"/>
        <item x="220"/>
        <item x="1717"/>
        <item x="214"/>
        <item x="658"/>
        <item x="318"/>
        <item x="1769"/>
        <item x="805"/>
        <item x="1111"/>
        <item x="605"/>
        <item x="1869"/>
        <item x="1877"/>
        <item x="1738"/>
        <item x="1220"/>
        <item x="844"/>
        <item x="1581"/>
        <item x="1504"/>
        <item x="883"/>
        <item x="784"/>
        <item x="81"/>
        <item x="1221"/>
        <item x="721"/>
        <item x="1766"/>
        <item x="469"/>
        <item x="1214"/>
        <item x="696"/>
        <item x="726"/>
        <item x="1535"/>
        <item x="1623"/>
        <item x="1418"/>
        <item x="1590"/>
        <item x="920"/>
        <item x="1246"/>
        <item x="1432"/>
        <item x="1412"/>
        <item x="1258"/>
        <item x="650"/>
        <item x="1734"/>
        <item x="107"/>
        <item x="1672"/>
        <item x="1560"/>
        <item x="636"/>
        <item x="42"/>
        <item x="897"/>
        <item x="1154"/>
        <item x="749"/>
        <item x="55"/>
        <item x="241"/>
        <item x="719"/>
        <item x="1792"/>
        <item x="163"/>
        <item x="1550"/>
        <item x="1626"/>
        <item x="1661"/>
        <item x="1381"/>
        <item x="876"/>
        <item x="1836"/>
        <item x="722"/>
        <item x="1059"/>
        <item x="1496"/>
        <item x="1251"/>
        <item x="1360"/>
        <item x="275"/>
        <item x="462"/>
        <item x="1179"/>
        <item x="1320"/>
        <item x="1972"/>
        <item x="197"/>
        <item x="391"/>
        <item x="435"/>
        <item x="46"/>
        <item x="1344"/>
        <item x="310"/>
        <item x="718"/>
        <item x="1573"/>
        <item x="559"/>
        <item x="1271"/>
        <item x="490"/>
        <item x="273"/>
        <item x="379"/>
        <item x="1579"/>
        <item x="20"/>
        <item x="912"/>
        <item x="1620"/>
        <item x="754"/>
        <item x="249"/>
        <item x="1131"/>
        <item x="741"/>
        <item x="178"/>
        <item x="1334"/>
        <item x="827"/>
        <item x="140"/>
        <item x="1454"/>
        <item x="522"/>
        <item x="568"/>
        <item x="983"/>
        <item x="278"/>
        <item x="1906"/>
        <item x="473"/>
        <item x="1147"/>
        <item x="1263"/>
        <item x="434"/>
        <item x="1973"/>
        <item x="928"/>
        <item x="855"/>
        <item x="1054"/>
        <item x="1014"/>
        <item x="1757"/>
        <item x="1684"/>
        <item x="1364"/>
        <item x="153"/>
        <item x="1391"/>
        <item x="297"/>
        <item x="495"/>
        <item x="1247"/>
        <item x="161"/>
        <item x="986"/>
        <item x="1704"/>
        <item x="1306"/>
        <item x="1392"/>
        <item x="1838"/>
        <item x="499"/>
        <item x="906"/>
        <item x="480"/>
        <item x="1974"/>
        <item x="1100"/>
        <item x="1862"/>
        <item x="1514"/>
        <item x="117"/>
        <item x="207"/>
        <item x="868"/>
        <item x="1060"/>
        <item x="1975"/>
        <item x="288"/>
        <item x="872"/>
        <item x="470"/>
        <item x="736"/>
        <item x="143"/>
        <item x="1976"/>
        <item x="236"/>
        <item x="311"/>
        <item x="1703"/>
        <item x="471"/>
        <item x="1056"/>
        <item x="380"/>
        <item x="418"/>
        <item x="130"/>
        <item x="1093"/>
        <item x="1773"/>
        <item x="1605"/>
        <item x="1750"/>
        <item x="1113"/>
        <item x="377"/>
        <item x="1120"/>
        <item x="454"/>
        <item x="641"/>
        <item x="894"/>
        <item x="1641"/>
        <item x="1441"/>
        <item x="1512"/>
        <item x="1211"/>
        <item x="993"/>
        <item x="1922"/>
        <item x="1603"/>
        <item x="1557"/>
        <item x="657"/>
        <item x="821"/>
        <item x="508"/>
        <item x="287"/>
        <item x="233"/>
        <item x="177"/>
        <item x="129"/>
        <item x="792"/>
        <item x="1196"/>
        <item x="1902"/>
        <item x="1329"/>
        <item x="1808"/>
        <item x="1468"/>
        <item x="372"/>
        <item x="1622"/>
        <item x="1616"/>
        <item x="746"/>
        <item x="1365"/>
        <item x="1977"/>
        <item x="917"/>
        <item x="713"/>
        <item x="1580"/>
        <item x="1978"/>
        <item x="1103"/>
        <item x="1979"/>
        <item x="1649"/>
        <item x="1442"/>
        <item x="1619"/>
        <item x="412"/>
        <item x="564"/>
        <item x="1464"/>
        <item x="611"/>
        <item x="1466"/>
        <item x="1358"/>
        <item x="386"/>
        <item x="3"/>
        <item x="1655"/>
        <item x="1083"/>
        <item x="1752"/>
        <item x="973"/>
        <item x="600"/>
        <item x="832"/>
        <item x="47"/>
        <item x="71"/>
        <item x="1104"/>
        <item x="850"/>
        <item x="1505"/>
        <item x="242"/>
        <item x="1779"/>
        <item x="1653"/>
        <item x="1715"/>
        <item x="867"/>
        <item x="254"/>
        <item x="510"/>
        <item x="1674"/>
        <item x="1558"/>
        <item x="1582"/>
        <item x="702"/>
        <item x="1832"/>
        <item x="325"/>
        <item x="915"/>
        <item x="1740"/>
        <item x="1980"/>
        <item x="350"/>
        <item x="1010"/>
        <item x="1232"/>
        <item x="756"/>
        <item x="1301"/>
        <item x="343"/>
        <item x="1652"/>
        <item x="52"/>
        <item x="940"/>
        <item x="1348"/>
        <item x="874"/>
        <item x="1065"/>
        <item x="739"/>
        <item x="1437"/>
        <item x="903"/>
        <item x="1372"/>
        <item x="252"/>
        <item x="901"/>
        <item x="1912"/>
        <item x="1762"/>
        <item x="1627"/>
        <item x="1570"/>
        <item x="810"/>
        <item x="1513"/>
        <item x="419"/>
        <item x="671"/>
        <item x="384"/>
        <item x="87"/>
        <item x="1625"/>
        <item x="464"/>
        <item x="927"/>
        <item x="1216"/>
        <item x="528"/>
        <item x="460"/>
        <item x="1870"/>
        <item x="910"/>
        <item x="1452"/>
        <item x="1561"/>
        <item x="1066"/>
        <item x="1262"/>
        <item x="1006"/>
        <item x="234"/>
        <item x="37"/>
        <item x="1981"/>
        <item x="111"/>
        <item x="1848"/>
        <item x="1813"/>
        <item x="1141"/>
        <item x="1180"/>
        <item x="1046"/>
        <item x="269"/>
        <item x="365"/>
        <item x="1632"/>
        <item x="697"/>
        <item x="1121"/>
        <item x="100"/>
        <item x="785"/>
        <item x="1069"/>
        <item x="1363"/>
        <item x="385"/>
        <item x="11"/>
        <item x="1003"/>
        <item x="102"/>
        <item x="1447"/>
        <item x="860"/>
        <item x="1449"/>
        <item x="1645"/>
        <item x="256"/>
        <item x="997"/>
        <item x="474"/>
        <item x="428"/>
        <item x="393"/>
        <item x="138"/>
        <item x="1456"/>
        <item x="1850"/>
        <item x="1484"/>
        <item x="1751"/>
        <item x="91"/>
        <item x="211"/>
        <item x="262"/>
        <item x="1698"/>
        <item x="956"/>
        <item x="1349"/>
        <item x="924"/>
        <item x="302"/>
        <item x="141"/>
        <item x="1815"/>
        <item x="308"/>
        <item x="1419"/>
        <item x="877"/>
        <item x="858"/>
        <item x="514"/>
        <item x="813"/>
        <item x="1424"/>
        <item x="1841"/>
        <item x="1851"/>
        <item x="1160"/>
        <item x="1096"/>
        <item x="1327"/>
        <item x="1817"/>
        <item x="289"/>
        <item x="1542"/>
        <item x="1254"/>
        <item x="1826"/>
        <item x="97"/>
        <item x="1638"/>
        <item x="594"/>
        <item x="588"/>
        <item x="13"/>
        <item x="515"/>
        <item x="1243"/>
        <item x="539"/>
        <item x="373"/>
        <item x="537"/>
        <item x="1353"/>
        <item x="1303"/>
        <item x="1791"/>
        <item x="1646"/>
        <item x="259"/>
        <item x="1982"/>
        <item x="689"/>
        <item x="1716"/>
        <item x="1479"/>
        <item x="960"/>
        <item x="673"/>
        <item x="1315"/>
        <item x="1892"/>
        <item x="1070"/>
        <item x="323"/>
        <item x="222"/>
        <item x="1316"/>
        <item x="1269"/>
        <item x="895"/>
        <item x="1864"/>
        <item x="1983"/>
        <item x="1474"/>
        <item x="1984"/>
        <item x="1689"/>
        <item x="1491"/>
        <item x="680"/>
        <item x="239"/>
        <item x="694"/>
        <item x="610"/>
        <item x="1876"/>
        <item x="1697"/>
        <item x="1414"/>
        <item x="828"/>
        <item x="750"/>
        <item x="1194"/>
        <item x="1018"/>
        <item x="245"/>
        <item x="62"/>
        <item x="1985"/>
        <item x="59"/>
        <item x="1277"/>
        <item x="283"/>
        <item x="1818"/>
        <item x="32"/>
        <item x="1568"/>
        <item x="589"/>
        <item x="1240"/>
        <item x="553"/>
        <item x="359"/>
        <item x="1709"/>
        <item x="146"/>
        <item x="1387"/>
        <item x="586"/>
        <item x="618"/>
        <item x="1756"/>
        <item x="1169"/>
        <item x="848"/>
        <item x="1029"/>
        <item x="1569"/>
        <item x="974"/>
        <item x="24"/>
        <item x="1713"/>
        <item x="1116"/>
        <item x="1288"/>
        <item x="1871"/>
        <item x="732"/>
        <item x="779"/>
        <item x="1794"/>
        <item x="793"/>
        <item x="40"/>
        <item x="949"/>
        <item x="1047"/>
        <item x="1566"/>
        <item x="1796"/>
        <item x="33"/>
        <item x="1244"/>
        <item x="1657"/>
        <item x="1805"/>
        <item x="1666"/>
        <item x="272"/>
        <item x="58"/>
        <item x="1686"/>
        <item x="608"/>
        <item x="733"/>
        <item x="1553"/>
        <item x="1621"/>
        <item x="573"/>
        <item x="982"/>
        <item x="395"/>
        <item x="1173"/>
        <item x="1878"/>
        <item x="554"/>
        <item x="1434"/>
        <item x="968"/>
        <item x="133"/>
        <item x="181"/>
        <item x="1192"/>
        <item x="465"/>
        <item x="1443"/>
        <item x="1313"/>
        <item x="202"/>
        <item x="1601"/>
        <item x="579"/>
        <item x="1520"/>
        <item x="787"/>
        <item x="467"/>
        <item x="1521"/>
        <item x="596"/>
        <item x="797"/>
        <item x="43"/>
        <item x="1036"/>
        <item x="336"/>
        <item x="695"/>
        <item x="1144"/>
        <item x="1781"/>
        <item x="404"/>
        <item x="17"/>
        <item x="53"/>
        <item x="1472"/>
        <item x="1664"/>
        <item x="565"/>
        <item x="592"/>
        <item x="0"/>
        <item x="436"/>
        <item x="27"/>
        <item x="219"/>
        <item x="957"/>
        <item x="1678"/>
        <item x="1202"/>
        <item x="824"/>
        <item x="1371"/>
        <item x="835"/>
        <item x="757"/>
        <item x="1986"/>
        <item x="1167"/>
        <item x="1987"/>
        <item x="1385"/>
        <item x="378"/>
        <item x="1209"/>
        <item x="1407"/>
        <item x="1988"/>
        <item x="238"/>
        <item x="1133"/>
        <item x="929"/>
        <item x="94"/>
        <item x="506"/>
        <item x="1989"/>
        <item x="1255"/>
        <item x="1526"/>
        <item x="591"/>
        <item x="766"/>
        <item x="1614"/>
        <item x="194"/>
        <item x="1430"/>
        <item x="371"/>
        <item x="364"/>
        <item x="1462"/>
        <item x="203"/>
        <item x="1097"/>
        <item x="72"/>
        <item x="841"/>
        <item x="217"/>
        <item x="807"/>
        <item x="622"/>
        <item x="1494"/>
        <item x="1595"/>
        <item x="562"/>
        <item x="1662"/>
        <item x="400"/>
        <item x="904"/>
        <item x="846"/>
        <item x="707"/>
        <item x="1839"/>
        <item x="266"/>
        <item x="12"/>
        <item x="1475"/>
        <item x="1685"/>
        <item x="401"/>
        <item x="121"/>
        <item x="484"/>
        <item x="1445"/>
        <item x="563"/>
        <item x="1355"/>
        <item x="122"/>
        <item x="871"/>
        <item x="394"/>
        <item x="1135"/>
        <item x="1238"/>
        <item x="1015"/>
        <item x="656"/>
        <item x="703"/>
        <item x="811"/>
        <item x="388"/>
        <item x="1405"/>
        <item x="1903"/>
        <item x="634"/>
        <item x="1633"/>
        <item x="1774"/>
        <item x="1990"/>
        <item x="629"/>
        <item x="1227"/>
        <item x="218"/>
        <item x="1242"/>
        <item x="1828"/>
        <item x="542"/>
        <item x="344"/>
        <item x="1991"/>
        <item x="1639"/>
        <item x="1610"/>
        <item x="198"/>
        <item x="1317"/>
        <item x="67"/>
        <item x="645"/>
        <item x="1290"/>
        <item x="1992"/>
        <item x="1993"/>
        <item x="1"/>
        <item x="1292"/>
        <item x="1882"/>
        <item x="36"/>
        <item x="1388"/>
        <item x="1855"/>
        <item x="1453"/>
        <item x="603"/>
        <item x="481"/>
        <item x="274"/>
        <item x="125"/>
        <item x="1696"/>
        <item x="979"/>
        <item x="772"/>
        <item x="1804"/>
        <item x="606"/>
        <item x="1273"/>
        <item x="1744"/>
        <item x="1134"/>
        <item x="74"/>
        <item x="1230"/>
        <item x="1736"/>
        <item x="1522"/>
        <item x="1575"/>
        <item x="1563"/>
        <item x="1266"/>
        <item x="1245"/>
        <item x="1409"/>
        <item x="478"/>
        <item x="1149"/>
        <item x="1090"/>
        <item x="110"/>
        <item x="654"/>
        <item x="975"/>
        <item x="1467"/>
        <item x="463"/>
        <item x="1775"/>
        <item x="781"/>
        <item x="1719"/>
        <item x="1337"/>
        <item x="1814"/>
        <item x="1994"/>
        <item x="540"/>
        <item x="426"/>
        <item x="1112"/>
        <item x="918"/>
        <item x="988"/>
        <item x="195"/>
        <item x="475"/>
        <item x="1007"/>
        <item x="497"/>
        <item x="1727"/>
        <item x="1078"/>
        <item x="1000"/>
        <item x="1383"/>
        <item x="666"/>
        <item x="1463"/>
        <item x="1321"/>
        <item x="1293"/>
        <item x="640"/>
        <item x="1345"/>
        <item x="63"/>
        <item x="416"/>
        <item x="1995"/>
        <item x="147"/>
        <item x="1020"/>
        <item x="999"/>
        <item x="511"/>
        <item x="19"/>
        <item x="1064"/>
        <item x="616"/>
        <item x="1200"/>
        <item x="189"/>
        <item x="330"/>
        <item x="44"/>
        <item x="387"/>
        <item x="1493"/>
        <item x="142"/>
        <item x="92"/>
        <item x="135"/>
        <item x="523"/>
        <item x="817"/>
        <item x="1996"/>
        <item x="625"/>
        <item x="1331"/>
        <item x="1730"/>
        <item x="1609"/>
        <item x="390"/>
        <item x="1562"/>
        <item x="941"/>
        <item x="711"/>
        <item x="477"/>
        <item x="1354"/>
        <item x="1041"/>
        <item x="1747"/>
        <item x="752"/>
        <item x="30"/>
        <item x="1827"/>
        <item x="1997"/>
        <item x="1998"/>
        <item x="1758"/>
        <item x="1322"/>
        <item x="167"/>
        <item x="331"/>
        <item x="863"/>
        <item x="683"/>
        <item x="1465"/>
        <item x="56"/>
        <item x="1999"/>
        <item x="1602"/>
        <item x="1417"/>
        <item x="1043"/>
        <item t="default"/>
      </items>
    </pivotField>
    <pivotField showAll="0"/>
    <pivotField showAll="0">
      <items count="4">
        <item x="0"/>
        <item x="1"/>
        <item x="2"/>
        <item t="default"/>
      </items>
    </pivotField>
    <pivotField showAll="0"/>
    <pivotField showAll="0">
      <items count="14">
        <item x="8"/>
        <item x="11"/>
        <item x="9"/>
        <item x="1"/>
        <item x="5"/>
        <item x="3"/>
        <item x="12"/>
        <item x="0"/>
        <item x="2"/>
        <item x="6"/>
        <item x="10"/>
        <item x="7"/>
        <item x="4"/>
        <item t="default"/>
      </items>
    </pivotField>
    <pivotField showAll="0"/>
    <pivotField axis="axisRow" showAll="0">
      <items count="29">
        <item x="5"/>
        <item x="4"/>
        <item x="13"/>
        <item x="22"/>
        <item x="8"/>
        <item x="3"/>
        <item x="25"/>
        <item x="1"/>
        <item x="21"/>
        <item x="0"/>
        <item x="6"/>
        <item x="20"/>
        <item x="12"/>
        <item x="17"/>
        <item x="9"/>
        <item x="15"/>
        <item x="24"/>
        <item x="7"/>
        <item x="26"/>
        <item x="2"/>
        <item x="19"/>
        <item x="10"/>
        <item x="27"/>
        <item x="14"/>
        <item x="18"/>
        <item x="11"/>
        <item x="16"/>
        <item x="23"/>
        <item t="default"/>
      </items>
    </pivotField>
    <pivotField showAll="0">
      <items count="11">
        <item x="1"/>
        <item x="6"/>
        <item x="0"/>
        <item x="9"/>
        <item x="5"/>
        <item x="2"/>
        <item x="3"/>
        <item x="8"/>
        <item x="4"/>
        <item x="7"/>
        <item t="default"/>
      </items>
    </pivotField>
    <pivotField showAll="0"/>
    <pivotField showAll="0">
      <items count="12">
        <item x="1"/>
        <item x="6"/>
        <item x="2"/>
        <item x="9"/>
        <item x="10"/>
        <item x="3"/>
        <item x="5"/>
        <item x="7"/>
        <item x="8"/>
        <item x="4"/>
        <item x="0"/>
        <item t="default"/>
      </items>
    </pivotField>
    <pivotField showAll="0"/>
    <pivotField showAll="0"/>
    <pivotField showAll="0"/>
    <pivotField showAll="0"/>
    <pivotField showAll="0"/>
    <pivotField showAll="0"/>
  </pivotFields>
  <rowFields count="1">
    <field x="6"/>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Count of show_id" fld="0" subtotal="count" baseField="0" baseItem="0"/>
  </dataFields>
  <chartFormats count="2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0" format="7">
      <pivotArea type="data" outline="0" fieldPosition="0">
        <references count="2">
          <reference field="4294967294" count="1" selected="0">
            <x v="0"/>
          </reference>
          <reference field="6" count="1" selected="0">
            <x v="6"/>
          </reference>
        </references>
      </pivotArea>
    </chartFormat>
    <chartFormat chart="0" format="8">
      <pivotArea type="data" outline="0" fieldPosition="0">
        <references count="2">
          <reference field="4294967294" count="1" selected="0">
            <x v="0"/>
          </reference>
          <reference field="6" count="1" selected="0">
            <x v="7"/>
          </reference>
        </references>
      </pivotArea>
    </chartFormat>
    <chartFormat chart="0" format="9">
      <pivotArea type="data" outline="0" fieldPosition="0">
        <references count="2">
          <reference field="4294967294" count="1" selected="0">
            <x v="0"/>
          </reference>
          <reference field="6" count="1" selected="0">
            <x v="8"/>
          </reference>
        </references>
      </pivotArea>
    </chartFormat>
    <chartFormat chart="0" format="10">
      <pivotArea type="data" outline="0" fieldPosition="0">
        <references count="2">
          <reference field="4294967294" count="1" selected="0">
            <x v="0"/>
          </reference>
          <reference field="6" count="1" selected="0">
            <x v="9"/>
          </reference>
        </references>
      </pivotArea>
    </chartFormat>
    <chartFormat chart="0" format="11">
      <pivotArea type="data" outline="0" fieldPosition="0">
        <references count="2">
          <reference field="4294967294" count="1" selected="0">
            <x v="0"/>
          </reference>
          <reference field="6" count="1" selected="0">
            <x v="10"/>
          </reference>
        </references>
      </pivotArea>
    </chartFormat>
    <chartFormat chart="0" format="12">
      <pivotArea type="data" outline="0" fieldPosition="0">
        <references count="2">
          <reference field="4294967294" count="1" selected="0">
            <x v="0"/>
          </reference>
          <reference field="6" count="1" selected="0">
            <x v="11"/>
          </reference>
        </references>
      </pivotArea>
    </chartFormat>
    <chartFormat chart="0" format="13">
      <pivotArea type="data" outline="0" fieldPosition="0">
        <references count="2">
          <reference field="4294967294" count="1" selected="0">
            <x v="0"/>
          </reference>
          <reference field="6" count="1" selected="0">
            <x v="12"/>
          </reference>
        </references>
      </pivotArea>
    </chartFormat>
    <chartFormat chart="0" format="14">
      <pivotArea type="data" outline="0" fieldPosition="0">
        <references count="2">
          <reference field="4294967294" count="1" selected="0">
            <x v="0"/>
          </reference>
          <reference field="6" count="1" selected="0">
            <x v="13"/>
          </reference>
        </references>
      </pivotArea>
    </chartFormat>
    <chartFormat chart="0" format="15">
      <pivotArea type="data" outline="0" fieldPosition="0">
        <references count="2">
          <reference field="4294967294" count="1" selected="0">
            <x v="0"/>
          </reference>
          <reference field="6" count="1" selected="0">
            <x v="14"/>
          </reference>
        </references>
      </pivotArea>
    </chartFormat>
    <chartFormat chart="0" format="16">
      <pivotArea type="data" outline="0" fieldPosition="0">
        <references count="2">
          <reference field="4294967294" count="1" selected="0">
            <x v="0"/>
          </reference>
          <reference field="6" count="1" selected="0">
            <x v="15"/>
          </reference>
        </references>
      </pivotArea>
    </chartFormat>
    <chartFormat chart="0" format="17">
      <pivotArea type="data" outline="0" fieldPosition="0">
        <references count="2">
          <reference field="4294967294" count="1" selected="0">
            <x v="0"/>
          </reference>
          <reference field="6" count="1" selected="0">
            <x v="16"/>
          </reference>
        </references>
      </pivotArea>
    </chartFormat>
    <chartFormat chart="0" format="18">
      <pivotArea type="data" outline="0" fieldPosition="0">
        <references count="2">
          <reference field="4294967294" count="1" selected="0">
            <x v="0"/>
          </reference>
          <reference field="6" count="1" selected="0">
            <x v="17"/>
          </reference>
        </references>
      </pivotArea>
    </chartFormat>
    <chartFormat chart="0" format="19">
      <pivotArea type="data" outline="0" fieldPosition="0">
        <references count="2">
          <reference field="4294967294" count="1" selected="0">
            <x v="0"/>
          </reference>
          <reference field="6" count="1" selected="0">
            <x v="18"/>
          </reference>
        </references>
      </pivotArea>
    </chartFormat>
    <chartFormat chart="0" format="20">
      <pivotArea type="data" outline="0" fieldPosition="0">
        <references count="2">
          <reference field="4294967294" count="1" selected="0">
            <x v="0"/>
          </reference>
          <reference field="6" count="1" selected="0">
            <x v="19"/>
          </reference>
        </references>
      </pivotArea>
    </chartFormat>
    <chartFormat chart="0" format="21">
      <pivotArea type="data" outline="0" fieldPosition="0">
        <references count="2">
          <reference field="4294967294" count="1" selected="0">
            <x v="0"/>
          </reference>
          <reference field="6" count="1" selected="0">
            <x v="20"/>
          </reference>
        </references>
      </pivotArea>
    </chartFormat>
    <chartFormat chart="0" format="22">
      <pivotArea type="data" outline="0" fieldPosition="0">
        <references count="2">
          <reference field="4294967294" count="1" selected="0">
            <x v="0"/>
          </reference>
          <reference field="6" count="1" selected="0">
            <x v="21"/>
          </reference>
        </references>
      </pivotArea>
    </chartFormat>
    <chartFormat chart="0" format="23">
      <pivotArea type="data" outline="0" fieldPosition="0">
        <references count="2">
          <reference field="4294967294" count="1" selected="0">
            <x v="0"/>
          </reference>
          <reference field="6" count="1" selected="0">
            <x v="22"/>
          </reference>
        </references>
      </pivotArea>
    </chartFormat>
    <chartFormat chart="0" format="24">
      <pivotArea type="data" outline="0" fieldPosition="0">
        <references count="2">
          <reference field="4294967294" count="1" selected="0">
            <x v="0"/>
          </reference>
          <reference field="6" count="1" selected="0">
            <x v="23"/>
          </reference>
        </references>
      </pivotArea>
    </chartFormat>
    <chartFormat chart="0" format="25">
      <pivotArea type="data" outline="0" fieldPosition="0">
        <references count="2">
          <reference field="4294967294" count="1" selected="0">
            <x v="0"/>
          </reference>
          <reference field="6" count="1" selected="0">
            <x v="24"/>
          </reference>
        </references>
      </pivotArea>
    </chartFormat>
    <chartFormat chart="0" format="26">
      <pivotArea type="data" outline="0" fieldPosition="0">
        <references count="2">
          <reference field="4294967294" count="1" selected="0">
            <x v="0"/>
          </reference>
          <reference field="6" count="1" selected="0">
            <x v="25"/>
          </reference>
        </references>
      </pivotArea>
    </chartFormat>
    <chartFormat chart="0" format="27">
      <pivotArea type="data" outline="0" fieldPosition="0">
        <references count="2">
          <reference field="4294967294" count="1" selected="0">
            <x v="0"/>
          </reference>
          <reference field="6" count="1" selected="0">
            <x v="26"/>
          </reference>
        </references>
      </pivotArea>
    </chartFormat>
    <chartFormat chart="0" format="28">
      <pivotArea type="data" outline="0" fieldPosition="0">
        <references count="2">
          <reference field="4294967294" count="1" selected="0">
            <x v="0"/>
          </reference>
          <reference field="6" count="1" selected="0">
            <x v="2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A24C87-CE18-4048-AD81-9173F701F7C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J9" firstHeaderRow="1" firstDataRow="1" firstDataCol="1"/>
  <pivotFields count="16">
    <pivotField dataField="1" showAll="0">
      <items count="2001">
        <item x="1901"/>
        <item x="441"/>
        <item x="936"/>
        <item x="1858"/>
        <item x="1109"/>
        <item x="692"/>
        <item x="1647"/>
        <item x="1742"/>
        <item x="1378"/>
        <item x="1307"/>
        <item x="758"/>
        <item x="1777"/>
        <item x="492"/>
        <item x="450"/>
        <item x="1919"/>
        <item x="1156"/>
        <item x="1212"/>
        <item x="995"/>
        <item x="1925"/>
        <item x="1926"/>
        <item x="526"/>
        <item x="1017"/>
        <item x="166"/>
        <item x="525"/>
        <item x="1831"/>
        <item x="1108"/>
        <item x="1102"/>
        <item x="1009"/>
        <item x="6"/>
        <item x="575"/>
        <item x="196"/>
        <item x="825"/>
        <item x="1867"/>
        <item x="1753"/>
        <item x="1636"/>
        <item x="1927"/>
        <item x="1928"/>
        <item x="215"/>
        <item x="1406"/>
        <item x="1370"/>
        <item x="1206"/>
        <item x="1157"/>
        <item x="276"/>
        <item x="944"/>
        <item x="896"/>
        <item x="152"/>
        <item x="623"/>
        <item x="1373"/>
        <item x="748"/>
        <item x="601"/>
        <item x="1587"/>
        <item x="1914"/>
        <item x="627"/>
        <item x="1929"/>
        <item x="1396"/>
        <item x="1564"/>
        <item x="933"/>
        <item x="175"/>
        <item x="1790"/>
        <item x="1631"/>
        <item x="23"/>
        <item x="168"/>
        <item x="382"/>
        <item x="375"/>
        <item x="1005"/>
        <item x="1930"/>
        <item x="989"/>
        <item x="389"/>
        <item x="1511"/>
        <item x="602"/>
        <item x="778"/>
        <item x="1338"/>
        <item x="1545"/>
        <item x="328"/>
        <item x="898"/>
        <item x="1023"/>
        <item x="286"/>
        <item x="790"/>
        <item x="339"/>
        <item x="314"/>
        <item x="1611"/>
        <item x="587"/>
        <item x="1868"/>
        <item x="558"/>
        <item x="582"/>
        <item x="570"/>
        <item x="1931"/>
        <item x="1506"/>
        <item x="1086"/>
        <item x="447"/>
        <item x="186"/>
        <item x="545"/>
        <item x="1376"/>
        <item x="430"/>
        <item x="1127"/>
        <item x="300"/>
        <item x="347"/>
        <item x="1225"/>
        <item x="114"/>
        <item x="517"/>
        <item x="1628"/>
        <item x="1489"/>
        <item x="635"/>
        <item x="834"/>
        <item x="1835"/>
        <item x="530"/>
        <item x="1084"/>
        <item x="891"/>
        <item x="1606"/>
        <item x="1302"/>
        <item x="405"/>
        <item x="552"/>
        <item x="1067"/>
        <item x="21"/>
        <item x="1352"/>
        <item x="1296"/>
        <item x="491"/>
        <item x="1185"/>
        <item x="1508"/>
        <item x="160"/>
        <item x="1105"/>
        <item x="1693"/>
        <item x="1326"/>
        <item x="442"/>
        <item x="424"/>
        <item x="1932"/>
        <item x="1184"/>
        <item x="304"/>
        <item x="1576"/>
        <item x="309"/>
        <item x="1559"/>
        <item x="425"/>
        <item x="516"/>
        <item x="1297"/>
        <item x="1670"/>
        <item x="580"/>
        <item x="173"/>
        <item x="1438"/>
        <item x="1298"/>
        <item x="1694"/>
        <item x="1599"/>
        <item x="224"/>
        <item x="1286"/>
        <item x="544"/>
        <item x="1695"/>
        <item x="996"/>
        <item x="1933"/>
        <item x="604"/>
        <item x="1642"/>
        <item x="1278"/>
        <item x="1934"/>
        <item x="1366"/>
        <item x="1875"/>
        <item x="1763"/>
        <item x="1330"/>
        <item x="1598"/>
        <item x="1829"/>
        <item x="1844"/>
        <item x="1400"/>
        <item x="35"/>
        <item x="1279"/>
        <item x="1481"/>
        <item x="1706"/>
        <item x="773"/>
        <item x="1741"/>
        <item x="595"/>
        <item x="154"/>
        <item x="1045"/>
        <item x="1139"/>
        <item x="1356"/>
        <item x="984"/>
        <item x="1022"/>
        <item x="1159"/>
        <item x="261"/>
        <item x="1856"/>
        <item x="893"/>
        <item x="1163"/>
        <item x="1654"/>
        <item x="1897"/>
        <item x="1556"/>
        <item x="1923"/>
        <item x="101"/>
        <item x="652"/>
        <item x="1770"/>
        <item x="39"/>
        <item x="1299"/>
        <item x="1057"/>
        <item x="1051"/>
        <item x="127"/>
        <item x="248"/>
        <item x="420"/>
        <item x="1021"/>
        <item x="1782"/>
        <item x="1420"/>
        <item x="760"/>
        <item x="875"/>
        <item x="1548"/>
        <item x="1935"/>
        <item x="782"/>
        <item x="172"/>
        <item x="1651"/>
        <item x="921"/>
        <item x="346"/>
        <item x="538"/>
        <item x="659"/>
        <item x="1016"/>
        <item x="633"/>
        <item x="1091"/>
        <item x="225"/>
        <item x="1720"/>
        <item x="126"/>
        <item x="532"/>
        <item x="865"/>
        <item x="451"/>
        <item x="1629"/>
        <item x="737"/>
        <item x="684"/>
        <item x="1517"/>
        <item x="951"/>
        <item x="953"/>
        <item x="317"/>
        <item x="878"/>
        <item x="994"/>
        <item x="1728"/>
        <item x="444"/>
        <item x="1198"/>
        <item x="360"/>
        <item x="1711"/>
        <item x="108"/>
        <item x="1210"/>
        <item x="1174"/>
        <item x="443"/>
        <item x="264"/>
        <item x="1347"/>
        <item x="547"/>
        <item x="798"/>
        <item x="668"/>
        <item x="1218"/>
        <item x="1890"/>
        <item x="1585"/>
        <item x="1497"/>
        <item x="1241"/>
        <item x="1936"/>
        <item x="682"/>
        <item x="1470"/>
        <item x="1284"/>
        <item x="1795"/>
        <item x="315"/>
        <item x="306"/>
        <item x="1503"/>
        <item x="137"/>
        <item x="237"/>
        <item x="445"/>
        <item x="1444"/>
        <item x="1126"/>
        <item x="1087"/>
        <item x="106"/>
        <item x="535"/>
        <item x="1787"/>
        <item x="1176"/>
        <item x="1899"/>
        <item x="1110"/>
        <item x="1852"/>
        <item x="1037"/>
        <item x="1341"/>
        <item x="1881"/>
        <item x="795"/>
        <item x="1165"/>
        <item x="699"/>
        <item x="1421"/>
        <item x="1229"/>
        <item x="1416"/>
        <item x="1001"/>
        <item x="643"/>
        <item x="521"/>
        <item x="1937"/>
        <item x="1807"/>
        <item x="131"/>
        <item x="496"/>
        <item x="1175"/>
        <item x="851"/>
        <item x="753"/>
        <item x="366"/>
        <item x="740"/>
        <item x="609"/>
        <item x="1547"/>
        <item x="1634"/>
        <item x="1824"/>
        <item x="299"/>
        <item x="1821"/>
        <item x="1068"/>
        <item x="68"/>
        <item x="185"/>
        <item x="1061"/>
        <item x="775"/>
        <item x="1571"/>
        <item x="312"/>
        <item x="392"/>
        <item x="925"/>
        <item x="1726"/>
        <item x="1002"/>
        <item x="661"/>
        <item x="1894"/>
        <item x="255"/>
        <item x="947"/>
        <item x="180"/>
        <item x="1448"/>
        <item x="1422"/>
        <item x="1250"/>
        <item x="1170"/>
        <item x="943"/>
        <item x="1094"/>
        <item x="22"/>
        <item x="977"/>
        <item x="1702"/>
        <item x="148"/>
        <item x="1423"/>
        <item x="1328"/>
        <item x="1398"/>
        <item x="1203"/>
        <item x="751"/>
        <item x="1098"/>
        <item x="1374"/>
        <item x="992"/>
        <item x="1058"/>
        <item x="1825"/>
        <item x="1439"/>
        <item x="174"/>
        <item x="1042"/>
        <item x="1572"/>
        <item x="1938"/>
        <item x="406"/>
        <item x="1361"/>
        <item x="1236"/>
        <item x="265"/>
        <item x="691"/>
        <item x="1034"/>
        <item x="193"/>
        <item x="1939"/>
        <item x="296"/>
        <item x="337"/>
        <item x="1784"/>
        <item x="1529"/>
        <item x="361"/>
        <item x="1053"/>
        <item x="1679"/>
        <item x="4"/>
        <item x="1819"/>
        <item x="1845"/>
        <item x="1910"/>
        <item x="646"/>
        <item x="1332"/>
        <item x="1532"/>
        <item x="231"/>
        <item x="962"/>
        <item x="498"/>
        <item x="881"/>
        <item x="1393"/>
        <item x="914"/>
        <item x="144"/>
        <item x="145"/>
        <item x="1754"/>
        <item x="1482"/>
        <item x="479"/>
        <item x="1189"/>
        <item x="1708"/>
        <item x="840"/>
        <item x="1842"/>
        <item x="744"/>
        <item x="1076"/>
        <item x="61"/>
        <item x="179"/>
        <item x="170"/>
        <item x="332"/>
        <item x="907"/>
        <item x="437"/>
        <item x="764"/>
        <item x="1920"/>
        <item x="806"/>
        <item x="190"/>
        <item x="905"/>
        <item x="1011"/>
        <item x="963"/>
        <item x="1771"/>
        <item x="1151"/>
        <item x="809"/>
        <item x="335"/>
        <item x="345"/>
        <item x="690"/>
        <item x="1143"/>
        <item x="1222"/>
        <item x="1940"/>
        <item x="293"/>
        <item x="768"/>
        <item x="34"/>
        <item x="1390"/>
        <item x="294"/>
        <item x="1525"/>
        <item x="1324"/>
        <item x="1803"/>
        <item x="351"/>
        <item x="89"/>
        <item x="284"/>
        <item x="422"/>
        <item x="1893"/>
        <item x="1731"/>
        <item x="1287"/>
        <item x="505"/>
        <item x="374"/>
        <item x="1473"/>
        <item x="550"/>
        <item x="715"/>
        <item x="1789"/>
        <item x="1319"/>
        <item x="1362"/>
        <item x="1915"/>
        <item x="1863"/>
        <item x="803"/>
        <item x="1137"/>
        <item x="290"/>
        <item x="1204"/>
        <item x="1346"/>
        <item x="1359"/>
        <item x="169"/>
        <item x="1785"/>
        <item x="578"/>
        <item x="1186"/>
        <item x="670"/>
        <item x="566"/>
        <item x="663"/>
        <item x="431"/>
        <item x="1710"/>
        <item x="1860"/>
        <item x="980"/>
        <item x="675"/>
        <item x="735"/>
        <item x="985"/>
        <item x="667"/>
        <item x="681"/>
        <item x="1675"/>
        <item x="1816"/>
        <item x="48"/>
        <item x="1941"/>
        <item x="1253"/>
        <item x="258"/>
        <item x="676"/>
        <item x="842"/>
        <item x="799"/>
        <item x="357"/>
        <item x="549"/>
        <item x="1145"/>
        <item x="349"/>
        <item x="1809"/>
        <item x="1095"/>
        <item x="888"/>
        <item x="1207"/>
        <item x="1357"/>
        <item x="1291"/>
        <item x="408"/>
        <item x="1873"/>
        <item x="399"/>
        <item x="235"/>
        <item x="709"/>
        <item x="1523"/>
        <item x="250"/>
        <item x="340"/>
        <item x="1788"/>
        <item x="1480"/>
        <item x="295"/>
        <item x="204"/>
        <item x="664"/>
        <item x="319"/>
        <item x="879"/>
        <item x="403"/>
        <item x="1600"/>
        <item x="1168"/>
        <item x="1325"/>
        <item x="1107"/>
        <item x="745"/>
        <item x="1123"/>
        <item x="486"/>
        <item x="95"/>
        <item x="334"/>
        <item x="329"/>
        <item x="1181"/>
        <item x="873"/>
        <item x="221"/>
        <item x="1333"/>
        <item x="1596"/>
        <item x="156"/>
        <item x="1308"/>
        <item x="423"/>
        <item x="1604"/>
        <item x="1219"/>
        <item x="1615"/>
        <item x="843"/>
        <item x="1586"/>
        <item x="1260"/>
        <item x="583"/>
        <item x="1446"/>
        <item x="1106"/>
        <item x="939"/>
        <item x="407"/>
        <item x="1800"/>
        <item x="86"/>
        <item x="80"/>
        <item x="1150"/>
        <item x="1310"/>
        <item x="1597"/>
        <item x="647"/>
        <item x="1318"/>
        <item x="1190"/>
        <item x="1486"/>
        <item x="1231"/>
        <item x="1552"/>
        <item x="762"/>
        <item x="1285"/>
        <item x="1408"/>
        <item x="1617"/>
        <item x="800"/>
        <item x="836"/>
        <item x="1554"/>
        <item x="1872"/>
        <item x="1879"/>
        <item x="954"/>
        <item x="226"/>
        <item x="900"/>
        <item x="1942"/>
        <item x="852"/>
        <item x="1916"/>
        <item x="1226"/>
        <item x="1886"/>
        <item x="417"/>
        <item x="1780"/>
        <item x="714"/>
        <item x="882"/>
        <item x="1755"/>
        <item x="887"/>
        <item x="1884"/>
        <item x="1722"/>
        <item x="1431"/>
        <item x="411"/>
        <item x="1050"/>
        <item x="8"/>
        <item x="1683"/>
        <item x="1234"/>
        <item x="1114"/>
        <item x="780"/>
        <item x="620"/>
        <item x="574"/>
        <item x="934"/>
        <item x="1379"/>
        <item x="448"/>
        <item x="976"/>
        <item x="1895"/>
        <item x="1680"/>
        <item x="731"/>
        <item x="119"/>
        <item x="1656"/>
        <item x="837"/>
        <item x="546"/>
        <item x="1281"/>
        <item x="1943"/>
        <item x="333"/>
        <item x="157"/>
        <item x="679"/>
        <item x="1270"/>
        <item x="415"/>
        <item x="281"/>
        <item x="439"/>
        <item x="1339"/>
        <item x="1584"/>
        <item x="651"/>
        <item x="1128"/>
        <item x="113"/>
        <item x="1487"/>
        <item x="320"/>
        <item x="1944"/>
        <item x="1049"/>
        <item x="1136"/>
        <item x="923"/>
        <item x="783"/>
        <item x="961"/>
        <item x="1515"/>
        <item x="1403"/>
        <item x="536"/>
        <item x="998"/>
        <item x="1275"/>
        <item x="958"/>
        <item x="1822"/>
        <item x="763"/>
        <item x="500"/>
        <item x="1215"/>
        <item x="452"/>
        <item x="931"/>
        <item x="1945"/>
        <item x="1502"/>
        <item x="1898"/>
        <item x="938"/>
        <item x="75"/>
        <item x="1197"/>
        <item x="705"/>
        <item x="655"/>
        <item x="1776"/>
        <item x="228"/>
        <item x="1008"/>
        <item x="1394"/>
        <item x="945"/>
        <item x="1153"/>
        <item x="1946"/>
        <item x="213"/>
        <item x="1583"/>
        <item x="1264"/>
        <item x="1436"/>
        <item x="421"/>
        <item x="869"/>
        <item x="1039"/>
        <item x="25"/>
        <item x="282"/>
        <item x="376"/>
        <item x="149"/>
        <item x="1164"/>
        <item x="132"/>
        <item x="240"/>
        <item x="1213"/>
        <item x="1607"/>
        <item x="1947"/>
        <item x="639"/>
        <item x="1343"/>
        <item x="1404"/>
        <item x="69"/>
        <item x="191"/>
        <item x="1062"/>
        <item x="1812"/>
        <item x="631"/>
        <item x="1880"/>
        <item x="230"/>
        <item x="1030"/>
        <item x="1846"/>
        <item x="747"/>
        <item x="801"/>
        <item x="853"/>
        <item x="1025"/>
        <item x="1450"/>
        <item x="427"/>
        <item x="1172"/>
        <item x="730"/>
        <item x="1948"/>
        <item x="708"/>
        <item x="31"/>
        <item x="1549"/>
        <item x="1252"/>
        <item x="1248"/>
        <item x="223"/>
        <item x="794"/>
        <item x="1146"/>
        <item x="769"/>
        <item x="1312"/>
        <item x="1490"/>
        <item x="576"/>
        <item x="243"/>
        <item x="1152"/>
        <item x="727"/>
        <item x="1660"/>
        <item x="819"/>
        <item x="352"/>
        <item x="1802"/>
        <item x="531"/>
        <item x="1949"/>
        <item x="866"/>
        <item x="533"/>
        <item x="678"/>
        <item x="1618"/>
        <item x="1950"/>
        <item x="880"/>
        <item x="970"/>
        <item x="1367"/>
        <item x="1261"/>
        <item x="826"/>
        <item x="1477"/>
        <item x="455"/>
        <item x="453"/>
        <item x="165"/>
        <item x="1768"/>
        <item x="1177"/>
        <item x="1411"/>
        <item x="1951"/>
        <item x="257"/>
        <item x="305"/>
        <item x="959"/>
        <item x="829"/>
        <item x="341"/>
        <item x="1191"/>
        <item x="307"/>
        <item x="1182"/>
        <item x="688"/>
        <item x="1924"/>
        <item x="1187"/>
        <item x="82"/>
        <item x="1162"/>
        <item x="948"/>
        <item x="919"/>
        <item x="468"/>
        <item x="205"/>
        <item x="1485"/>
        <item x="1857"/>
        <item x="458"/>
        <item x="363"/>
        <item x="1071"/>
        <item x="952"/>
        <item x="1052"/>
        <item x="1891"/>
        <item x="483"/>
        <item x="485"/>
        <item x="1737"/>
        <item x="571"/>
        <item x="859"/>
        <item x="1178"/>
        <item x="935"/>
        <item x="1440"/>
        <item x="964"/>
        <item x="1565"/>
        <item x="1455"/>
        <item x="1395"/>
        <item x="76"/>
        <item x="1952"/>
        <item x="77"/>
        <item x="504"/>
        <item x="1806"/>
        <item x="1648"/>
        <item x="1259"/>
        <item x="1907"/>
        <item x="482"/>
        <item x="1874"/>
        <item x="653"/>
        <item x="1953"/>
        <item x="1429"/>
        <item x="1700"/>
        <item x="614"/>
        <item x="1280"/>
        <item x="577"/>
        <item x="29"/>
        <item x="1865"/>
        <item x="911"/>
        <item x="1082"/>
        <item x="456"/>
        <item x="704"/>
        <item x="1739"/>
        <item x="742"/>
        <item x="1544"/>
        <item x="838"/>
        <item x="263"/>
        <item x="1885"/>
        <item x="1748"/>
        <item x="1725"/>
        <item x="770"/>
        <item x="913"/>
        <item x="1300"/>
        <item x="1665"/>
        <item x="812"/>
        <item x="698"/>
        <item x="128"/>
        <item x="1954"/>
        <item x="1650"/>
        <item x="1451"/>
        <item x="567"/>
        <item x="569"/>
        <item x="1528"/>
        <item x="849"/>
        <item x="96"/>
        <item x="1460"/>
        <item x="1040"/>
        <item x="1955"/>
        <item x="298"/>
        <item x="1764"/>
        <item x="1399"/>
        <item x="1072"/>
        <item x="590"/>
        <item x="1171"/>
        <item x="1913"/>
        <item x="1735"/>
        <item x="466"/>
        <item x="626"/>
        <item x="10"/>
        <item x="503"/>
        <item x="1132"/>
        <item x="802"/>
        <item x="1130"/>
        <item x="358"/>
        <item x="99"/>
        <item x="585"/>
        <item x="267"/>
        <item x="50"/>
        <item x="861"/>
        <item x="598"/>
        <item x="662"/>
        <item x="1142"/>
        <item x="1843"/>
        <item x="637"/>
        <item x="70"/>
        <item x="1778"/>
        <item x="488"/>
        <item x="432"/>
        <item x="1847"/>
        <item x="1760"/>
        <item x="1208"/>
        <item x="1537"/>
        <item x="1380"/>
        <item x="321"/>
        <item x="889"/>
        <item x="1425"/>
        <item x="738"/>
        <item x="1201"/>
        <item x="555"/>
        <item x="1849"/>
        <item x="246"/>
        <item x="1239"/>
        <item x="1283"/>
        <item x="73"/>
        <item x="171"/>
        <item x="1276"/>
        <item x="216"/>
        <item x="38"/>
        <item x="206"/>
        <item x="978"/>
        <item x="118"/>
        <item x="1223"/>
        <item x="743"/>
        <item x="1887"/>
        <item x="1577"/>
        <item x="1384"/>
        <item x="644"/>
        <item x="1085"/>
        <item x="1538"/>
        <item x="1591"/>
        <item x="429"/>
        <item x="115"/>
        <item x="1033"/>
        <item x="1699"/>
        <item x="677"/>
        <item x="1723"/>
        <item x="291"/>
        <item x="1013"/>
        <item x="1495"/>
        <item x="1786"/>
        <item x="854"/>
        <item x="572"/>
        <item x="1101"/>
        <item x="446"/>
        <item x="507"/>
        <item x="78"/>
        <item x="1476"/>
        <item x="818"/>
        <item x="151"/>
        <item x="1089"/>
        <item x="1798"/>
        <item x="1249"/>
        <item x="981"/>
        <item x="613"/>
        <item x="710"/>
        <item x="1237"/>
        <item x="270"/>
        <item x="529"/>
        <item x="1707"/>
        <item x="1759"/>
        <item x="1498"/>
        <item x="1811"/>
        <item x="612"/>
        <item x="1124"/>
        <item x="830"/>
        <item x="543"/>
        <item x="1099"/>
        <item x="1530"/>
        <item x="967"/>
        <item x="183"/>
        <item x="1574"/>
        <item x="1668"/>
        <item x="638"/>
        <item x="1469"/>
        <item x="1729"/>
        <item x="1765"/>
        <item x="1536"/>
        <item x="1501"/>
        <item x="279"/>
        <item x="1351"/>
        <item x="158"/>
        <item x="116"/>
        <item x="724"/>
        <item x="712"/>
        <item x="509"/>
        <item x="489"/>
        <item x="1810"/>
        <item x="1524"/>
        <item x="244"/>
        <item x="556"/>
        <item x="348"/>
        <item x="1594"/>
        <item x="862"/>
        <item x="1433"/>
        <item x="1188"/>
        <item x="109"/>
        <item x="1415"/>
        <item x="1690"/>
        <item x="200"/>
        <item x="990"/>
        <item x="1458"/>
        <item x="831"/>
        <item x="303"/>
        <item x="1783"/>
        <item x="1335"/>
        <item x="397"/>
        <item x="1718"/>
        <item x="210"/>
        <item x="402"/>
        <item x="716"/>
        <item x="1081"/>
        <item x="1092"/>
        <item x="1889"/>
        <item x="1593"/>
        <item x="1235"/>
        <item x="1567"/>
        <item x="413"/>
        <item x="1224"/>
        <item x="60"/>
        <item x="541"/>
        <item x="902"/>
        <item x="822"/>
        <item x="93"/>
        <item x="734"/>
        <item x="5"/>
        <item x="1956"/>
        <item x="338"/>
        <item x="1724"/>
        <item x="79"/>
        <item x="599"/>
        <item x="1630"/>
        <item x="1957"/>
        <item x="512"/>
        <item x="85"/>
        <item x="1410"/>
        <item x="548"/>
        <item x="1833"/>
        <item x="1958"/>
        <item x="685"/>
        <item x="1088"/>
        <item x="1193"/>
        <item x="232"/>
        <item x="1959"/>
        <item x="280"/>
        <item x="728"/>
        <item x="1592"/>
        <item x="1267"/>
        <item x="212"/>
        <item x="370"/>
        <item x="199"/>
        <item x="45"/>
        <item x="771"/>
        <item x="1692"/>
        <item x="162"/>
        <item x="1492"/>
        <item x="440"/>
        <item x="123"/>
        <item x="208"/>
        <item x="1911"/>
        <item x="885"/>
        <item x="1488"/>
        <item x="1519"/>
        <item x="57"/>
        <item x="1478"/>
        <item x="285"/>
        <item x="1063"/>
        <item x="494"/>
        <item x="9"/>
        <item x="551"/>
        <item x="786"/>
        <item x="134"/>
        <item x="774"/>
        <item x="1500"/>
        <item x="260"/>
        <item x="1138"/>
        <item x="1772"/>
        <item x="1217"/>
        <item x="1960"/>
        <item x="1342"/>
        <item x="1555"/>
        <item x="700"/>
        <item x="686"/>
        <item x="120"/>
        <item x="1733"/>
        <item x="1375"/>
        <item x="864"/>
        <item x="648"/>
        <item x="1233"/>
        <item x="1671"/>
        <item x="527"/>
        <item x="1471"/>
        <item x="884"/>
        <item x="560"/>
        <item x="845"/>
        <item x="839"/>
        <item x="1612"/>
        <item x="922"/>
        <item x="524"/>
        <item x="767"/>
        <item x="816"/>
        <item x="353"/>
        <item x="1323"/>
        <item x="1667"/>
        <item x="847"/>
        <item x="414"/>
        <item x="630"/>
        <item x="720"/>
        <item x="1961"/>
        <item x="1509"/>
        <item x="1883"/>
        <item x="701"/>
        <item x="1024"/>
        <item x="501"/>
        <item x="184"/>
        <item x="1749"/>
        <item x="1962"/>
        <item x="1080"/>
        <item x="1963"/>
        <item x="124"/>
        <item x="1531"/>
        <item x="1921"/>
        <item x="164"/>
        <item x="1801"/>
        <item x="926"/>
        <item x="1533"/>
        <item x="83"/>
        <item x="28"/>
        <item x="725"/>
        <item x="1274"/>
        <item x="1350"/>
        <item x="1309"/>
        <item x="789"/>
        <item x="1459"/>
        <item x="15"/>
        <item x="54"/>
        <item x="987"/>
        <item x="932"/>
        <item x="1304"/>
        <item x="660"/>
        <item x="26"/>
        <item x="409"/>
        <item x="188"/>
        <item x="1964"/>
        <item x="808"/>
        <item x="176"/>
        <item x="1640"/>
        <item x="619"/>
        <item x="1461"/>
        <item x="1820"/>
        <item x="1012"/>
        <item x="1282"/>
        <item x="513"/>
        <item x="965"/>
        <item x="1965"/>
        <item x="1834"/>
        <item x="1199"/>
        <item x="1673"/>
        <item x="815"/>
        <item x="251"/>
        <item x="159"/>
        <item x="1166"/>
        <item x="916"/>
        <item x="1426"/>
        <item x="1799"/>
        <item x="1079"/>
        <item x="1428"/>
        <item x="755"/>
        <item x="1257"/>
        <item x="301"/>
        <item x="1402"/>
        <item x="909"/>
        <item x="1031"/>
        <item x="1888"/>
        <item x="1624"/>
        <item x="1966"/>
        <item x="247"/>
        <item x="1677"/>
        <item x="1499"/>
        <item x="1305"/>
        <item x="368"/>
        <item x="966"/>
        <item x="65"/>
        <item x="632"/>
        <item x="41"/>
        <item x="649"/>
        <item x="870"/>
        <item x="1077"/>
        <item x="1701"/>
        <item x="1019"/>
        <item x="1401"/>
        <item x="398"/>
        <item x="1129"/>
        <item x="1386"/>
        <item x="438"/>
        <item x="493"/>
        <item x="1712"/>
        <item x="1026"/>
        <item x="593"/>
        <item x="607"/>
        <item x="1027"/>
        <item x="103"/>
        <item x="104"/>
        <item x="1368"/>
        <item x="1272"/>
        <item x="502"/>
        <item x="277"/>
        <item x="642"/>
        <item x="1073"/>
        <item x="2"/>
        <item x="1483"/>
        <item x="791"/>
        <item x="1643"/>
        <item x="1289"/>
        <item x="1228"/>
        <item x="1721"/>
        <item x="1161"/>
        <item x="7"/>
        <item x="1589"/>
        <item x="1635"/>
        <item x="823"/>
        <item x="90"/>
        <item x="313"/>
        <item x="1268"/>
        <item x="271"/>
        <item x="930"/>
        <item x="969"/>
        <item x="1540"/>
        <item x="64"/>
        <item x="139"/>
        <item x="1793"/>
        <item x="706"/>
        <item x="1311"/>
        <item x="624"/>
        <item x="1688"/>
        <item x="354"/>
        <item x="182"/>
        <item x="187"/>
        <item x="1377"/>
        <item x="796"/>
        <item x="1853"/>
        <item x="268"/>
        <item x="1314"/>
        <item x="814"/>
        <item x="192"/>
        <item x="1687"/>
        <item x="105"/>
        <item x="776"/>
        <item x="1295"/>
        <item x="1074"/>
        <item x="908"/>
        <item x="1908"/>
        <item x="1745"/>
        <item x="1256"/>
        <item x="519"/>
        <item x="1608"/>
        <item x="1038"/>
        <item x="1637"/>
        <item x="1119"/>
        <item x="487"/>
        <item x="383"/>
        <item x="49"/>
        <item x="1967"/>
        <item x="1968"/>
        <item x="84"/>
        <item x="1541"/>
        <item x="1158"/>
        <item x="342"/>
        <item x="1900"/>
        <item x="1055"/>
        <item x="1859"/>
        <item x="1969"/>
        <item x="18"/>
        <item x="367"/>
        <item x="112"/>
        <item x="155"/>
        <item x="1837"/>
        <item x="1588"/>
        <item x="1294"/>
        <item x="1118"/>
        <item x="1265"/>
        <item x="991"/>
        <item x="1075"/>
        <item x="1122"/>
        <item x="136"/>
        <item x="557"/>
        <item x="857"/>
        <item x="457"/>
        <item x="937"/>
        <item x="765"/>
        <item x="1918"/>
        <item x="1183"/>
        <item x="856"/>
        <item x="1518"/>
        <item x="1032"/>
        <item x="1048"/>
        <item x="1340"/>
        <item x="1435"/>
        <item x="1861"/>
        <item x="1195"/>
        <item x="1117"/>
        <item x="833"/>
        <item x="1205"/>
        <item x="1035"/>
        <item x="1644"/>
        <item x="518"/>
        <item x="534"/>
        <item x="98"/>
        <item x="804"/>
        <item x="950"/>
        <item x="1732"/>
        <item x="51"/>
        <item x="476"/>
        <item x="369"/>
        <item x="1970"/>
        <item x="687"/>
        <item x="461"/>
        <item x="1382"/>
        <item x="617"/>
        <item x="1705"/>
        <item x="1397"/>
        <item x="820"/>
        <item x="292"/>
        <item x="615"/>
        <item x="410"/>
        <item x="1389"/>
        <item x="362"/>
        <item x="227"/>
        <item x="1527"/>
        <item x="88"/>
        <item x="449"/>
        <item x="665"/>
        <item x="253"/>
        <item x="1854"/>
        <item x="946"/>
        <item x="892"/>
        <item x="1658"/>
        <item x="1543"/>
        <item x="1830"/>
        <item x="672"/>
        <item x="520"/>
        <item x="326"/>
        <item x="777"/>
        <item x="1507"/>
        <item x="942"/>
        <item x="1336"/>
        <item x="729"/>
        <item x="1044"/>
        <item x="1905"/>
        <item x="1578"/>
        <item x="1669"/>
        <item x="1427"/>
        <item x="1797"/>
        <item x="1148"/>
        <item x="788"/>
        <item x="1659"/>
        <item x="723"/>
        <item x="66"/>
        <item x="1413"/>
        <item x="1004"/>
        <item x="1369"/>
        <item x="1125"/>
        <item x="355"/>
        <item x="886"/>
        <item x="628"/>
        <item x="324"/>
        <item x="229"/>
        <item x="971"/>
        <item x="581"/>
        <item x="327"/>
        <item x="1155"/>
        <item x="761"/>
        <item x="1028"/>
        <item x="459"/>
        <item x="1840"/>
        <item x="1663"/>
        <item x="693"/>
        <item x="955"/>
        <item x="1115"/>
        <item x="433"/>
        <item x="316"/>
        <item x="1767"/>
        <item x="1866"/>
        <item x="890"/>
        <item x="584"/>
        <item x="322"/>
        <item x="16"/>
        <item x="972"/>
        <item x="759"/>
        <item x="1904"/>
        <item x="472"/>
        <item x="396"/>
        <item x="1534"/>
        <item x="1746"/>
        <item x="1896"/>
        <item x="150"/>
        <item x="1551"/>
        <item x="1909"/>
        <item x="209"/>
        <item x="356"/>
        <item x="717"/>
        <item x="1743"/>
        <item x="1510"/>
        <item x="1681"/>
        <item x="899"/>
        <item x="1140"/>
        <item x="597"/>
        <item x="1691"/>
        <item x="1714"/>
        <item x="1971"/>
        <item x="1761"/>
        <item x="1613"/>
        <item x="1823"/>
        <item x="14"/>
        <item x="561"/>
        <item x="674"/>
        <item x="1682"/>
        <item x="621"/>
        <item x="1516"/>
        <item x="1917"/>
        <item x="1457"/>
        <item x="201"/>
        <item x="1539"/>
        <item x="1546"/>
        <item x="1676"/>
        <item x="381"/>
        <item x="669"/>
        <item x="220"/>
        <item x="1717"/>
        <item x="214"/>
        <item x="658"/>
        <item x="318"/>
        <item x="1769"/>
        <item x="805"/>
        <item x="1111"/>
        <item x="605"/>
        <item x="1869"/>
        <item x="1877"/>
        <item x="1738"/>
        <item x="1220"/>
        <item x="844"/>
        <item x="1581"/>
        <item x="1504"/>
        <item x="883"/>
        <item x="784"/>
        <item x="81"/>
        <item x="1221"/>
        <item x="721"/>
        <item x="1766"/>
        <item x="469"/>
        <item x="1214"/>
        <item x="696"/>
        <item x="726"/>
        <item x="1535"/>
        <item x="1623"/>
        <item x="1418"/>
        <item x="1590"/>
        <item x="920"/>
        <item x="1246"/>
        <item x="1432"/>
        <item x="1412"/>
        <item x="1258"/>
        <item x="650"/>
        <item x="1734"/>
        <item x="107"/>
        <item x="1672"/>
        <item x="1560"/>
        <item x="636"/>
        <item x="42"/>
        <item x="897"/>
        <item x="1154"/>
        <item x="749"/>
        <item x="55"/>
        <item x="241"/>
        <item x="719"/>
        <item x="1792"/>
        <item x="163"/>
        <item x="1550"/>
        <item x="1626"/>
        <item x="1661"/>
        <item x="1381"/>
        <item x="876"/>
        <item x="1836"/>
        <item x="722"/>
        <item x="1059"/>
        <item x="1496"/>
        <item x="1251"/>
        <item x="1360"/>
        <item x="275"/>
        <item x="462"/>
        <item x="1179"/>
        <item x="1320"/>
        <item x="1972"/>
        <item x="197"/>
        <item x="391"/>
        <item x="435"/>
        <item x="46"/>
        <item x="1344"/>
        <item x="310"/>
        <item x="718"/>
        <item x="1573"/>
        <item x="559"/>
        <item x="1271"/>
        <item x="490"/>
        <item x="273"/>
        <item x="379"/>
        <item x="1579"/>
        <item x="20"/>
        <item x="912"/>
        <item x="1620"/>
        <item x="754"/>
        <item x="249"/>
        <item x="1131"/>
        <item x="741"/>
        <item x="178"/>
        <item x="1334"/>
        <item x="827"/>
        <item x="140"/>
        <item x="1454"/>
        <item x="522"/>
        <item x="568"/>
        <item x="983"/>
        <item x="278"/>
        <item x="1906"/>
        <item x="473"/>
        <item x="1147"/>
        <item x="1263"/>
        <item x="434"/>
        <item x="1973"/>
        <item x="928"/>
        <item x="855"/>
        <item x="1054"/>
        <item x="1014"/>
        <item x="1757"/>
        <item x="1684"/>
        <item x="1364"/>
        <item x="153"/>
        <item x="1391"/>
        <item x="297"/>
        <item x="495"/>
        <item x="1247"/>
        <item x="161"/>
        <item x="986"/>
        <item x="1704"/>
        <item x="1306"/>
        <item x="1392"/>
        <item x="1838"/>
        <item x="499"/>
        <item x="906"/>
        <item x="480"/>
        <item x="1974"/>
        <item x="1100"/>
        <item x="1862"/>
        <item x="1514"/>
        <item x="117"/>
        <item x="207"/>
        <item x="868"/>
        <item x="1060"/>
        <item x="1975"/>
        <item x="288"/>
        <item x="872"/>
        <item x="470"/>
        <item x="736"/>
        <item x="143"/>
        <item x="1976"/>
        <item x="236"/>
        <item x="311"/>
        <item x="1703"/>
        <item x="471"/>
        <item x="1056"/>
        <item x="380"/>
        <item x="418"/>
        <item x="130"/>
        <item x="1093"/>
        <item x="1773"/>
        <item x="1605"/>
        <item x="1750"/>
        <item x="1113"/>
        <item x="377"/>
        <item x="1120"/>
        <item x="454"/>
        <item x="641"/>
        <item x="894"/>
        <item x="1641"/>
        <item x="1441"/>
        <item x="1512"/>
        <item x="1211"/>
        <item x="993"/>
        <item x="1922"/>
        <item x="1603"/>
        <item x="1557"/>
        <item x="657"/>
        <item x="821"/>
        <item x="508"/>
        <item x="287"/>
        <item x="233"/>
        <item x="177"/>
        <item x="129"/>
        <item x="792"/>
        <item x="1196"/>
        <item x="1902"/>
        <item x="1329"/>
        <item x="1808"/>
        <item x="1468"/>
        <item x="372"/>
        <item x="1622"/>
        <item x="1616"/>
        <item x="746"/>
        <item x="1365"/>
        <item x="1977"/>
        <item x="917"/>
        <item x="713"/>
        <item x="1580"/>
        <item x="1978"/>
        <item x="1103"/>
        <item x="1979"/>
        <item x="1649"/>
        <item x="1442"/>
        <item x="1619"/>
        <item x="412"/>
        <item x="564"/>
        <item x="1464"/>
        <item x="611"/>
        <item x="1466"/>
        <item x="1358"/>
        <item x="386"/>
        <item x="3"/>
        <item x="1655"/>
        <item x="1083"/>
        <item x="1752"/>
        <item x="973"/>
        <item x="600"/>
        <item x="832"/>
        <item x="47"/>
        <item x="71"/>
        <item x="1104"/>
        <item x="850"/>
        <item x="1505"/>
        <item x="242"/>
        <item x="1779"/>
        <item x="1653"/>
        <item x="1715"/>
        <item x="867"/>
        <item x="254"/>
        <item x="510"/>
        <item x="1674"/>
        <item x="1558"/>
        <item x="1582"/>
        <item x="702"/>
        <item x="1832"/>
        <item x="325"/>
        <item x="915"/>
        <item x="1740"/>
        <item x="1980"/>
        <item x="350"/>
        <item x="1010"/>
        <item x="1232"/>
        <item x="756"/>
        <item x="1301"/>
        <item x="343"/>
        <item x="1652"/>
        <item x="52"/>
        <item x="940"/>
        <item x="1348"/>
        <item x="874"/>
        <item x="1065"/>
        <item x="739"/>
        <item x="1437"/>
        <item x="903"/>
        <item x="1372"/>
        <item x="252"/>
        <item x="901"/>
        <item x="1912"/>
        <item x="1762"/>
        <item x="1627"/>
        <item x="1570"/>
        <item x="810"/>
        <item x="1513"/>
        <item x="419"/>
        <item x="671"/>
        <item x="384"/>
        <item x="87"/>
        <item x="1625"/>
        <item x="464"/>
        <item x="927"/>
        <item x="1216"/>
        <item x="528"/>
        <item x="460"/>
        <item x="1870"/>
        <item x="910"/>
        <item x="1452"/>
        <item x="1561"/>
        <item x="1066"/>
        <item x="1262"/>
        <item x="1006"/>
        <item x="234"/>
        <item x="37"/>
        <item x="1981"/>
        <item x="111"/>
        <item x="1848"/>
        <item x="1813"/>
        <item x="1141"/>
        <item x="1180"/>
        <item x="1046"/>
        <item x="269"/>
        <item x="365"/>
        <item x="1632"/>
        <item x="697"/>
        <item x="1121"/>
        <item x="100"/>
        <item x="785"/>
        <item x="1069"/>
        <item x="1363"/>
        <item x="385"/>
        <item x="11"/>
        <item x="1003"/>
        <item x="102"/>
        <item x="1447"/>
        <item x="860"/>
        <item x="1449"/>
        <item x="1645"/>
        <item x="256"/>
        <item x="997"/>
        <item x="474"/>
        <item x="428"/>
        <item x="393"/>
        <item x="138"/>
        <item x="1456"/>
        <item x="1850"/>
        <item x="1484"/>
        <item x="1751"/>
        <item x="91"/>
        <item x="211"/>
        <item x="262"/>
        <item x="1698"/>
        <item x="956"/>
        <item x="1349"/>
        <item x="924"/>
        <item x="302"/>
        <item x="141"/>
        <item x="1815"/>
        <item x="308"/>
        <item x="1419"/>
        <item x="877"/>
        <item x="858"/>
        <item x="514"/>
        <item x="813"/>
        <item x="1424"/>
        <item x="1841"/>
        <item x="1851"/>
        <item x="1160"/>
        <item x="1096"/>
        <item x="1327"/>
        <item x="1817"/>
        <item x="289"/>
        <item x="1542"/>
        <item x="1254"/>
        <item x="1826"/>
        <item x="97"/>
        <item x="1638"/>
        <item x="594"/>
        <item x="588"/>
        <item x="13"/>
        <item x="515"/>
        <item x="1243"/>
        <item x="539"/>
        <item x="373"/>
        <item x="537"/>
        <item x="1353"/>
        <item x="1303"/>
        <item x="1791"/>
        <item x="1646"/>
        <item x="259"/>
        <item x="1982"/>
        <item x="689"/>
        <item x="1716"/>
        <item x="1479"/>
        <item x="960"/>
        <item x="673"/>
        <item x="1315"/>
        <item x="1892"/>
        <item x="1070"/>
        <item x="323"/>
        <item x="222"/>
        <item x="1316"/>
        <item x="1269"/>
        <item x="895"/>
        <item x="1864"/>
        <item x="1983"/>
        <item x="1474"/>
        <item x="1984"/>
        <item x="1689"/>
        <item x="1491"/>
        <item x="680"/>
        <item x="239"/>
        <item x="694"/>
        <item x="610"/>
        <item x="1876"/>
        <item x="1697"/>
        <item x="1414"/>
        <item x="828"/>
        <item x="750"/>
        <item x="1194"/>
        <item x="1018"/>
        <item x="245"/>
        <item x="62"/>
        <item x="1985"/>
        <item x="59"/>
        <item x="1277"/>
        <item x="283"/>
        <item x="1818"/>
        <item x="32"/>
        <item x="1568"/>
        <item x="589"/>
        <item x="1240"/>
        <item x="553"/>
        <item x="359"/>
        <item x="1709"/>
        <item x="146"/>
        <item x="1387"/>
        <item x="586"/>
        <item x="618"/>
        <item x="1756"/>
        <item x="1169"/>
        <item x="848"/>
        <item x="1029"/>
        <item x="1569"/>
        <item x="974"/>
        <item x="24"/>
        <item x="1713"/>
        <item x="1116"/>
        <item x="1288"/>
        <item x="1871"/>
        <item x="732"/>
        <item x="779"/>
        <item x="1794"/>
        <item x="793"/>
        <item x="40"/>
        <item x="949"/>
        <item x="1047"/>
        <item x="1566"/>
        <item x="1796"/>
        <item x="33"/>
        <item x="1244"/>
        <item x="1657"/>
        <item x="1805"/>
        <item x="1666"/>
        <item x="272"/>
        <item x="58"/>
        <item x="1686"/>
        <item x="608"/>
        <item x="733"/>
        <item x="1553"/>
        <item x="1621"/>
        <item x="573"/>
        <item x="982"/>
        <item x="395"/>
        <item x="1173"/>
        <item x="1878"/>
        <item x="554"/>
        <item x="1434"/>
        <item x="968"/>
        <item x="133"/>
        <item x="181"/>
        <item x="1192"/>
        <item x="465"/>
        <item x="1443"/>
        <item x="1313"/>
        <item x="202"/>
        <item x="1601"/>
        <item x="579"/>
        <item x="1520"/>
        <item x="787"/>
        <item x="467"/>
        <item x="1521"/>
        <item x="596"/>
        <item x="797"/>
        <item x="43"/>
        <item x="1036"/>
        <item x="336"/>
        <item x="695"/>
        <item x="1144"/>
        <item x="1781"/>
        <item x="404"/>
        <item x="17"/>
        <item x="53"/>
        <item x="1472"/>
        <item x="1664"/>
        <item x="565"/>
        <item x="592"/>
        <item x="0"/>
        <item x="436"/>
        <item x="27"/>
        <item x="219"/>
        <item x="957"/>
        <item x="1678"/>
        <item x="1202"/>
        <item x="824"/>
        <item x="1371"/>
        <item x="835"/>
        <item x="757"/>
        <item x="1986"/>
        <item x="1167"/>
        <item x="1987"/>
        <item x="1385"/>
        <item x="378"/>
        <item x="1209"/>
        <item x="1407"/>
        <item x="1988"/>
        <item x="238"/>
        <item x="1133"/>
        <item x="929"/>
        <item x="94"/>
        <item x="506"/>
        <item x="1989"/>
        <item x="1255"/>
        <item x="1526"/>
        <item x="591"/>
        <item x="766"/>
        <item x="1614"/>
        <item x="194"/>
        <item x="1430"/>
        <item x="371"/>
        <item x="364"/>
        <item x="1462"/>
        <item x="203"/>
        <item x="1097"/>
        <item x="72"/>
        <item x="841"/>
        <item x="217"/>
        <item x="807"/>
        <item x="622"/>
        <item x="1494"/>
        <item x="1595"/>
        <item x="562"/>
        <item x="1662"/>
        <item x="400"/>
        <item x="904"/>
        <item x="846"/>
        <item x="707"/>
        <item x="1839"/>
        <item x="266"/>
        <item x="12"/>
        <item x="1475"/>
        <item x="1685"/>
        <item x="401"/>
        <item x="121"/>
        <item x="484"/>
        <item x="1445"/>
        <item x="563"/>
        <item x="1355"/>
        <item x="122"/>
        <item x="871"/>
        <item x="394"/>
        <item x="1135"/>
        <item x="1238"/>
        <item x="1015"/>
        <item x="656"/>
        <item x="703"/>
        <item x="811"/>
        <item x="388"/>
        <item x="1405"/>
        <item x="1903"/>
        <item x="634"/>
        <item x="1633"/>
        <item x="1774"/>
        <item x="1990"/>
        <item x="629"/>
        <item x="1227"/>
        <item x="218"/>
        <item x="1242"/>
        <item x="1828"/>
        <item x="542"/>
        <item x="344"/>
        <item x="1991"/>
        <item x="1639"/>
        <item x="1610"/>
        <item x="198"/>
        <item x="1317"/>
        <item x="67"/>
        <item x="645"/>
        <item x="1290"/>
        <item x="1992"/>
        <item x="1993"/>
        <item x="1"/>
        <item x="1292"/>
        <item x="1882"/>
        <item x="36"/>
        <item x="1388"/>
        <item x="1855"/>
        <item x="1453"/>
        <item x="603"/>
        <item x="481"/>
        <item x="274"/>
        <item x="125"/>
        <item x="1696"/>
        <item x="979"/>
        <item x="772"/>
        <item x="1804"/>
        <item x="606"/>
        <item x="1273"/>
        <item x="1744"/>
        <item x="1134"/>
        <item x="74"/>
        <item x="1230"/>
        <item x="1736"/>
        <item x="1522"/>
        <item x="1575"/>
        <item x="1563"/>
        <item x="1266"/>
        <item x="1245"/>
        <item x="1409"/>
        <item x="478"/>
        <item x="1149"/>
        <item x="1090"/>
        <item x="110"/>
        <item x="654"/>
        <item x="975"/>
        <item x="1467"/>
        <item x="463"/>
        <item x="1775"/>
        <item x="781"/>
        <item x="1719"/>
        <item x="1337"/>
        <item x="1814"/>
        <item x="1994"/>
        <item x="540"/>
        <item x="426"/>
        <item x="1112"/>
        <item x="918"/>
        <item x="988"/>
        <item x="195"/>
        <item x="475"/>
        <item x="1007"/>
        <item x="497"/>
        <item x="1727"/>
        <item x="1078"/>
        <item x="1000"/>
        <item x="1383"/>
        <item x="666"/>
        <item x="1463"/>
        <item x="1321"/>
        <item x="1293"/>
        <item x="640"/>
        <item x="1345"/>
        <item x="63"/>
        <item x="416"/>
        <item x="1995"/>
        <item x="147"/>
        <item x="1020"/>
        <item x="999"/>
        <item x="511"/>
        <item x="19"/>
        <item x="1064"/>
        <item x="616"/>
        <item x="1200"/>
        <item x="189"/>
        <item x="330"/>
        <item x="44"/>
        <item x="387"/>
        <item x="1493"/>
        <item x="142"/>
        <item x="92"/>
        <item x="135"/>
        <item x="523"/>
        <item x="817"/>
        <item x="1996"/>
        <item x="625"/>
        <item x="1331"/>
        <item x="1730"/>
        <item x="1609"/>
        <item x="390"/>
        <item x="1562"/>
        <item x="941"/>
        <item x="711"/>
        <item x="477"/>
        <item x="1354"/>
        <item x="1041"/>
        <item x="1747"/>
        <item x="752"/>
        <item x="30"/>
        <item x="1827"/>
        <item x="1997"/>
        <item x="1998"/>
        <item x="1758"/>
        <item x="1322"/>
        <item x="167"/>
        <item x="331"/>
        <item x="863"/>
        <item x="683"/>
        <item x="1465"/>
        <item x="56"/>
        <item x="1999"/>
        <item x="1602"/>
        <item x="1417"/>
        <item x="1043"/>
        <item t="default"/>
      </items>
    </pivotField>
    <pivotField showAll="0"/>
    <pivotField showAll="0">
      <items count="4">
        <item x="0"/>
        <item x="1"/>
        <item x="2"/>
        <item t="default"/>
      </items>
    </pivotField>
    <pivotField showAll="0"/>
    <pivotField showAll="0">
      <items count="14">
        <item x="8"/>
        <item x="11"/>
        <item x="9"/>
        <item x="1"/>
        <item x="5"/>
        <item x="3"/>
        <item x="12"/>
        <item x="0"/>
        <item x="2"/>
        <item x="6"/>
        <item x="10"/>
        <item x="7"/>
        <item x="4"/>
        <item t="default"/>
      </items>
    </pivotField>
    <pivotField showAll="0"/>
    <pivotField showAll="0">
      <items count="29">
        <item x="5"/>
        <item x="4"/>
        <item x="13"/>
        <item x="22"/>
        <item x="8"/>
        <item x="3"/>
        <item x="25"/>
        <item x="1"/>
        <item x="21"/>
        <item x="0"/>
        <item x="6"/>
        <item x="20"/>
        <item x="12"/>
        <item x="17"/>
        <item x="9"/>
        <item x="15"/>
        <item x="24"/>
        <item x="7"/>
        <item x="26"/>
        <item x="2"/>
        <item x="19"/>
        <item x="10"/>
        <item x="27"/>
        <item x="14"/>
        <item x="18"/>
        <item x="11"/>
        <item x="16"/>
        <item x="23"/>
        <item t="default"/>
      </items>
    </pivotField>
    <pivotField showAll="0">
      <items count="11">
        <item x="1"/>
        <item x="6"/>
        <item x="0"/>
        <item x="9"/>
        <item x="5"/>
        <item x="2"/>
        <item x="3"/>
        <item x="8"/>
        <item x="4"/>
        <item x="7"/>
        <item t="default"/>
      </items>
    </pivotField>
    <pivotField showAll="0"/>
    <pivotField showAll="0">
      <items count="12">
        <item x="1"/>
        <item x="6"/>
        <item x="2"/>
        <item x="9"/>
        <item x="10"/>
        <item x="3"/>
        <item x="5"/>
        <item x="7"/>
        <item x="8"/>
        <item x="4"/>
        <item x="0"/>
        <item t="default"/>
      </items>
    </pivotField>
    <pivotField showAll="0"/>
    <pivotField showAll="0"/>
    <pivotField showAll="0"/>
    <pivotField showAll="0"/>
    <pivotField showAll="0">
      <items count="11">
        <item x="6"/>
        <item x="9"/>
        <item x="7"/>
        <item x="1"/>
        <item x="4"/>
        <item x="2"/>
        <item x="3"/>
        <item x="8"/>
        <item x="5"/>
        <item x="0"/>
        <item t="default"/>
      </items>
    </pivotField>
    <pivotField axis="axisRow" showAll="0">
      <items count="6">
        <item x="4"/>
        <item x="2"/>
        <item x="0"/>
        <item x="1"/>
        <item x="3"/>
        <item t="default"/>
      </items>
    </pivotField>
  </pivotFields>
  <rowFields count="1">
    <field x="15"/>
  </rowFields>
  <rowItems count="6">
    <i>
      <x/>
    </i>
    <i>
      <x v="1"/>
    </i>
    <i>
      <x v="2"/>
    </i>
    <i>
      <x v="3"/>
    </i>
    <i>
      <x v="4"/>
    </i>
    <i t="grand">
      <x/>
    </i>
  </rowItems>
  <colItems count="1">
    <i/>
  </colItems>
  <dataFields count="1">
    <dataField name="Count of show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0BE24C-A938-4D1C-92CD-ADE5CB2C43A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12:M23" firstHeaderRow="1" firstDataRow="1" firstDataCol="1"/>
  <pivotFields count="16">
    <pivotField dataField="1" showAll="0"/>
    <pivotField showAll="0"/>
    <pivotField showAll="0">
      <items count="4">
        <item x="0"/>
        <item x="1"/>
        <item x="2"/>
        <item t="default"/>
      </items>
    </pivotField>
    <pivotField showAll="0"/>
    <pivotField showAll="0">
      <items count="14">
        <item x="8"/>
        <item x="11"/>
        <item x="9"/>
        <item x="1"/>
        <item x="5"/>
        <item x="3"/>
        <item x="12"/>
        <item x="0"/>
        <item x="2"/>
        <item x="6"/>
        <item x="10"/>
        <item x="7"/>
        <item x="4"/>
        <item t="default"/>
      </items>
    </pivotField>
    <pivotField showAll="0"/>
    <pivotField showAll="0"/>
    <pivotField axis="axisRow" showAll="0">
      <items count="11">
        <item x="1"/>
        <item x="6"/>
        <item x="0"/>
        <item x="9"/>
        <item x="5"/>
        <item x="2"/>
        <item x="3"/>
        <item x="8"/>
        <item x="4"/>
        <item x="7"/>
        <item t="default"/>
      </items>
    </pivotField>
    <pivotField showAll="0"/>
    <pivotField showAll="0">
      <items count="12">
        <item x="1"/>
        <item x="6"/>
        <item x="2"/>
        <item x="9"/>
        <item x="10"/>
        <item x="3"/>
        <item x="5"/>
        <item x="7"/>
        <item x="8"/>
        <item x="4"/>
        <item x="0"/>
        <item t="default"/>
      </items>
    </pivotField>
    <pivotField showAll="0"/>
    <pivotField showAll="0"/>
    <pivotField showAll="0"/>
    <pivotField showAll="0"/>
    <pivotField showAll="0"/>
    <pivotField showAll="0"/>
  </pivotFields>
  <rowFields count="1">
    <field x="7"/>
  </rowFields>
  <rowItems count="11">
    <i>
      <x/>
    </i>
    <i>
      <x v="1"/>
    </i>
    <i>
      <x v="2"/>
    </i>
    <i>
      <x v="3"/>
    </i>
    <i>
      <x v="4"/>
    </i>
    <i>
      <x v="5"/>
    </i>
    <i>
      <x v="6"/>
    </i>
    <i>
      <x v="7"/>
    </i>
    <i>
      <x v="8"/>
    </i>
    <i>
      <x v="9"/>
    </i>
    <i t="grand">
      <x/>
    </i>
  </rowItems>
  <colItems count="1">
    <i/>
  </colItems>
  <dataFields count="1">
    <dataField name="Count of show_id" fld="0"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0" format="7">
      <pivotArea type="data" outline="0" fieldPosition="0">
        <references count="2">
          <reference field="4294967294" count="1" selected="0">
            <x v="0"/>
          </reference>
          <reference field="7" count="1" selected="0">
            <x v="6"/>
          </reference>
        </references>
      </pivotArea>
    </chartFormat>
    <chartFormat chart="0" format="8">
      <pivotArea type="data" outline="0" fieldPosition="0">
        <references count="2">
          <reference field="4294967294" count="1" selected="0">
            <x v="0"/>
          </reference>
          <reference field="7" count="1" selected="0">
            <x v="7"/>
          </reference>
        </references>
      </pivotArea>
    </chartFormat>
    <chartFormat chart="0" format="9">
      <pivotArea type="data" outline="0" fieldPosition="0">
        <references count="2">
          <reference field="4294967294" count="1" selected="0">
            <x v="0"/>
          </reference>
          <reference field="7" count="1" selected="0">
            <x v="8"/>
          </reference>
        </references>
      </pivotArea>
    </chartFormat>
    <chartFormat chart="0" format="10">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101636-0FCD-4162-9B7A-3D24F96EA7F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22:J34" firstHeaderRow="1" firstDataRow="1" firstDataCol="1"/>
  <pivotFields count="16">
    <pivotField dataField="1" showAll="0"/>
    <pivotField showAll="0"/>
    <pivotField showAll="0">
      <items count="4">
        <item x="0"/>
        <item x="1"/>
        <item x="2"/>
        <item t="default"/>
      </items>
    </pivotField>
    <pivotField showAll="0"/>
    <pivotField showAll="0">
      <items count="14">
        <item x="8"/>
        <item x="11"/>
        <item x="9"/>
        <item x="1"/>
        <item x="5"/>
        <item x="3"/>
        <item x="12"/>
        <item x="0"/>
        <item x="2"/>
        <item x="6"/>
        <item x="10"/>
        <item x="7"/>
        <item x="4"/>
        <item t="default"/>
      </items>
    </pivotField>
    <pivotField showAll="0"/>
    <pivotField showAll="0"/>
    <pivotField showAll="0"/>
    <pivotField showAll="0"/>
    <pivotField axis="axisRow" showAll="0">
      <items count="12">
        <item x="1"/>
        <item x="6"/>
        <item x="2"/>
        <item x="9"/>
        <item x="10"/>
        <item x="3"/>
        <item x="5"/>
        <item x="7"/>
        <item x="8"/>
        <item x="4"/>
        <item x="0"/>
        <item t="default"/>
      </items>
    </pivotField>
    <pivotField showAll="0"/>
    <pivotField showAll="0"/>
    <pivotField showAll="0"/>
    <pivotField showAll="0"/>
    <pivotField showAll="0"/>
    <pivotField showAll="0"/>
  </pivotFields>
  <rowFields count="1">
    <field x="9"/>
  </rowFields>
  <rowItems count="12">
    <i>
      <x/>
    </i>
    <i>
      <x v="1"/>
    </i>
    <i>
      <x v="2"/>
    </i>
    <i>
      <x v="3"/>
    </i>
    <i>
      <x v="4"/>
    </i>
    <i>
      <x v="5"/>
    </i>
    <i>
      <x v="6"/>
    </i>
    <i>
      <x v="7"/>
    </i>
    <i>
      <x v="8"/>
    </i>
    <i>
      <x v="9"/>
    </i>
    <i>
      <x v="10"/>
    </i>
    <i t="grand">
      <x/>
    </i>
  </rowItems>
  <colItems count="1">
    <i/>
  </colItems>
  <dataFields count="1">
    <dataField name="Count of show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6"/>
          </reference>
        </references>
      </pivotArea>
    </chartFormat>
    <chartFormat chart="0" format="8">
      <pivotArea type="data" outline="0" fieldPosition="0">
        <references count="2">
          <reference field="4294967294" count="1" selected="0">
            <x v="0"/>
          </reference>
          <reference field="9" count="1" selected="0">
            <x v="7"/>
          </reference>
        </references>
      </pivotArea>
    </chartFormat>
    <chartFormat chart="0" format="9">
      <pivotArea type="data" outline="0" fieldPosition="0">
        <references count="2">
          <reference field="4294967294" count="1" selected="0">
            <x v="0"/>
          </reference>
          <reference field="9" count="1" selected="0">
            <x v="8"/>
          </reference>
        </references>
      </pivotArea>
    </chartFormat>
    <chartFormat chart="0" format="10">
      <pivotArea type="data" outline="0" fieldPosition="0">
        <references count="2">
          <reference field="4294967294" count="1" selected="0">
            <x v="0"/>
          </reference>
          <reference field="9" count="1" selected="0">
            <x v="9"/>
          </reference>
        </references>
      </pivotArea>
    </chartFormat>
    <chartFormat chart="0" format="11">
      <pivotArea type="data" outline="0" fieldPosition="0">
        <references count="2">
          <reference field="4294967294" count="1" selected="0">
            <x v="0"/>
          </reference>
          <reference field="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351C77-7F02-40C5-9285-485817432F15}" autoFormatId="16" applyNumberFormats="0" applyBorderFormats="0" applyFontFormats="0" applyPatternFormats="0" applyAlignmentFormats="0" applyWidthHeightFormats="0">
  <queryTableRefresh nextId="17">
    <queryTableFields count="16">
      <queryTableField id="1" name="show_id" tableColumnId="1"/>
      <queryTableField id="2" name="title" tableColumnId="2"/>
      <queryTableField id="3" name="type" tableColumnId="3"/>
      <queryTableField id="4" name="director" tableColumnId="4"/>
      <queryTableField id="5" name="country" tableColumnId="5"/>
      <queryTableField id="6" name="date_added" tableColumnId="6"/>
      <queryTableField id="7" name="release_year" tableColumnId="7"/>
      <queryTableField id="8" name="rating" tableColumnId="8"/>
      <queryTableField id="9" name="duration" tableColumnId="9"/>
      <queryTableField id="10" name="genre" tableColumnId="10"/>
      <queryTableField id="11" name="imdb_rating" tableColumnId="11"/>
      <queryTableField id="12" name="views" tableColumnId="12"/>
      <queryTableField id="13" name="watch_hours" tableColumnId="13"/>
      <queryTableField id="14" name="completion_rate" tableColumnId="14"/>
      <queryTableField id="15" name="language" tableColumnId="15"/>
      <queryTableField id="16" name="device_type"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BDEBCF-FB0F-41BC-ADED-4BA9FF979FFB}" name="Netflix_Cleaned" displayName="Netflix_Cleaned" ref="A1:P2001" tableType="queryTable" totalsRowShown="0">
  <autoFilter ref="A1:P2001" xr:uid="{E2BDEBCF-FB0F-41BC-ADED-4BA9FF979FFB}"/>
  <sortState xmlns:xlrd2="http://schemas.microsoft.com/office/spreadsheetml/2017/richdata2" ref="A2:P2001">
    <sortCondition ref="F1:F2001"/>
  </sortState>
  <tableColumns count="16">
    <tableColumn id="1" xr3:uid="{4C02976C-057E-4F17-BBF0-6D7308B1BCA5}" uniqueName="1" name="show_id" queryTableFieldId="1" dataDxfId="11"/>
    <tableColumn id="2" xr3:uid="{325E6723-1478-4FD0-AA6B-750910519612}" uniqueName="2" name="title" queryTableFieldId="2" dataDxfId="10"/>
    <tableColumn id="3" xr3:uid="{9D16B5C0-D66C-44AA-A5D1-27C91631E252}" uniqueName="3" name="type" queryTableFieldId="3" dataDxfId="9"/>
    <tableColumn id="4" xr3:uid="{79A30977-FC47-4F9B-8F87-FC0CE7897D6F}" uniqueName="4" name="director" queryTableFieldId="4" dataDxfId="8"/>
    <tableColumn id="5" xr3:uid="{BD9AE53F-2C5F-4C1C-B676-4A2C34C02483}" uniqueName="5" name="country" queryTableFieldId="5" dataDxfId="7"/>
    <tableColumn id="6" xr3:uid="{EBDA16F9-AEA6-47CA-A7B2-FFBB5703B483}" uniqueName="6" name="date_added" queryTableFieldId="6" dataDxfId="6"/>
    <tableColumn id="7" xr3:uid="{26482F1A-F5D3-46CE-BAD3-7BF5BB611667}" uniqueName="7" name="release_year" queryTableFieldId="7"/>
    <tableColumn id="8" xr3:uid="{72E01E0E-7C73-4DFB-8C0F-00D7DCBD8EA5}" uniqueName="8" name="rating" queryTableFieldId="8" dataDxfId="5"/>
    <tableColumn id="9" xr3:uid="{8B1B7D5C-7844-42C2-91A2-021689B6832A}" uniqueName="9" name="duration" queryTableFieldId="9" dataDxfId="4"/>
    <tableColumn id="10" xr3:uid="{D43D2E93-6625-4E16-BD2A-5570B8FB21E6}" uniqueName="10" name="genre" queryTableFieldId="10" dataDxfId="3"/>
    <tableColumn id="11" xr3:uid="{EB091927-A8B1-48BC-8AB0-688B0C4151CD}" uniqueName="11" name="imdb_rating" queryTableFieldId="11"/>
    <tableColumn id="12" xr3:uid="{B31899FA-EAF4-4B36-93D4-E3111AD0593D}" uniqueName="12" name="views" queryTableFieldId="12"/>
    <tableColumn id="13" xr3:uid="{3273F56D-729E-4807-9698-21CC809BB003}" uniqueName="13" name="watch_hours" queryTableFieldId="13"/>
    <tableColumn id="14" xr3:uid="{1CEED838-D42E-4B2E-865D-4DBAC4D586AF}" uniqueName="14" name="completion_rate" queryTableFieldId="14"/>
    <tableColumn id="15" xr3:uid="{58212BAF-AFA8-48C3-94D6-EA851B808266}" uniqueName="15" name="language" queryTableFieldId="15" dataDxfId="2"/>
    <tableColumn id="16" xr3:uid="{DDE8C029-B881-42F7-A72D-4117140D4141}" uniqueName="16" name="device_type" queryTableFieldId="16"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B07F2D-77DF-441A-AA9B-BB6F5031FEC5}" name="Table2" displayName="Table2" ref="A1:P2001" totalsRowShown="0">
  <autoFilter ref="A1:P2001" xr:uid="{D7B07F2D-77DF-441A-AA9B-BB6F5031FEC5}"/>
  <tableColumns count="16">
    <tableColumn id="1" xr3:uid="{63D74A73-4AB4-4CCE-A56B-9172C598641B}" name="show_id"/>
    <tableColumn id="2" xr3:uid="{8A1C1212-DDA5-4A55-BDDE-326DEA15D2CC}" name="title"/>
    <tableColumn id="3" xr3:uid="{30416AC6-5E7B-4333-92AC-B02007844C72}" name="type"/>
    <tableColumn id="4" xr3:uid="{A8C2FB47-C224-42E3-A94A-FD0BB759036D}" name="director"/>
    <tableColumn id="5" xr3:uid="{ABA8461A-60BB-4057-86AF-7C6EA220A063}" name="country"/>
    <tableColumn id="6" xr3:uid="{A7F3B77E-C745-40CF-BEE7-0ED41FB3FBCA}" name="date_added" dataDxfId="0"/>
    <tableColumn id="7" xr3:uid="{7FD121F5-5F23-4816-AFEC-6A632F227167}" name="release_year"/>
    <tableColumn id="8" xr3:uid="{45065DA0-BFCE-470E-B38A-EB6E7A518C08}" name="rating"/>
    <tableColumn id="9" xr3:uid="{73358BA2-1637-4C41-8469-818951CB0552}" name="duration"/>
    <tableColumn id="10" xr3:uid="{CBC74F49-B166-4BDC-80EC-9EA737B1FBA1}" name="genre"/>
    <tableColumn id="11" xr3:uid="{7F66C41E-776F-463C-B17D-C4C5BEC3C3F1}" name="imdb_rating"/>
    <tableColumn id="12" xr3:uid="{846CF075-B2E9-441F-BDDC-01DE9638716C}" name="views"/>
    <tableColumn id="13" xr3:uid="{3645032A-760C-403F-AA85-0831B2C1D61F}" name="watch_hours"/>
    <tableColumn id="14" xr3:uid="{ABB03DF3-1EEB-4158-B9BF-33D9BDE5E21B}" name="completion_rate"/>
    <tableColumn id="15" xr3:uid="{8490E85A-F158-4E64-B715-67BD2F2A0542}" name="language"/>
    <tableColumn id="16" xr3:uid="{6F7B39C5-25ED-4C46-B22A-859CE430587A}" name="device_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E506-70F7-46B4-B733-BB2BEB4A8FD6}">
  <dimension ref="A1:P2001"/>
  <sheetViews>
    <sheetView topLeftCell="A42" workbookViewId="0">
      <selection activeCell="G15" sqref="G15"/>
    </sheetView>
  </sheetViews>
  <sheetFormatPr defaultRowHeight="14.5" x14ac:dyDescent="0.35"/>
  <cols>
    <col min="1" max="1" width="9.90625" bestFit="1" customWidth="1"/>
    <col min="2" max="2" width="21.36328125" bestFit="1" customWidth="1"/>
    <col min="3" max="3" width="8.26953125" bestFit="1" customWidth="1"/>
    <col min="4" max="4" width="9.6328125" bestFit="1" customWidth="1"/>
    <col min="5" max="5" width="13.54296875" bestFit="1" customWidth="1"/>
    <col min="6" max="6" width="12.90625" bestFit="1" customWidth="1"/>
    <col min="7" max="7" width="13.54296875" bestFit="1" customWidth="1"/>
    <col min="8" max="8" width="8.26953125" bestFit="1" customWidth="1"/>
    <col min="9" max="9" width="10.1796875" bestFit="1" customWidth="1"/>
    <col min="10" max="10" width="11.7265625" bestFit="1" customWidth="1"/>
    <col min="11" max="11" width="13.08984375" bestFit="1" customWidth="1"/>
    <col min="12" max="12" width="8.81640625" bestFit="1" customWidth="1"/>
    <col min="13" max="13" width="13.7265625" bestFit="1" customWidth="1"/>
    <col min="14" max="14" width="16.81640625" bestFit="1" customWidth="1"/>
    <col min="15" max="15" width="10.6328125" bestFit="1" customWidth="1"/>
    <col min="16" max="16" width="13.0898437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3731</v>
      </c>
      <c r="B2" t="s">
        <v>3732</v>
      </c>
      <c r="C2" t="s">
        <v>84</v>
      </c>
      <c r="D2" t="s">
        <v>90</v>
      </c>
      <c r="E2" t="s">
        <v>113</v>
      </c>
      <c r="F2" s="1">
        <v>42006</v>
      </c>
      <c r="G2">
        <v>2009</v>
      </c>
      <c r="H2" t="s">
        <v>63</v>
      </c>
      <c r="I2" t="s">
        <v>4226</v>
      </c>
      <c r="J2" t="s">
        <v>4178</v>
      </c>
      <c r="K2">
        <v>6.1</v>
      </c>
      <c r="L2">
        <v>11696413</v>
      </c>
      <c r="M2">
        <v>4178111</v>
      </c>
      <c r="N2">
        <v>86</v>
      </c>
      <c r="O2" t="s">
        <v>4178</v>
      </c>
      <c r="P2" t="s">
        <v>32</v>
      </c>
    </row>
    <row r="3" spans="1:16" x14ac:dyDescent="0.35">
      <c r="A3" t="s">
        <v>3916</v>
      </c>
      <c r="B3" t="s">
        <v>3917</v>
      </c>
      <c r="C3" t="s">
        <v>84</v>
      </c>
      <c r="D3" t="s">
        <v>19</v>
      </c>
      <c r="E3" t="s">
        <v>99</v>
      </c>
      <c r="F3" s="1">
        <v>42006</v>
      </c>
      <c r="G3">
        <v>2007</v>
      </c>
      <c r="H3" t="s">
        <v>114</v>
      </c>
      <c r="I3" t="s">
        <v>4189</v>
      </c>
      <c r="J3" t="s">
        <v>96</v>
      </c>
      <c r="K3">
        <v>8.6</v>
      </c>
      <c r="L3">
        <v>22873377</v>
      </c>
      <c r="M3">
        <v>2592354</v>
      </c>
      <c r="N3">
        <v>77</v>
      </c>
      <c r="O3" t="s">
        <v>104</v>
      </c>
      <c r="P3" t="s">
        <v>32</v>
      </c>
    </row>
    <row r="4" spans="1:16" x14ac:dyDescent="0.35">
      <c r="A4" t="s">
        <v>2385</v>
      </c>
      <c r="B4" t="s">
        <v>2384</v>
      </c>
      <c r="C4" t="s">
        <v>53</v>
      </c>
      <c r="D4" t="s">
        <v>54</v>
      </c>
      <c r="E4" t="s">
        <v>80</v>
      </c>
      <c r="F4" s="1">
        <v>42008</v>
      </c>
      <c r="G4">
        <v>2019</v>
      </c>
      <c r="H4" t="s">
        <v>121</v>
      </c>
      <c r="I4" t="s">
        <v>95</v>
      </c>
      <c r="J4" t="s">
        <v>133</v>
      </c>
      <c r="K4">
        <v>7.8</v>
      </c>
      <c r="L4">
        <v>6266416</v>
      </c>
      <c r="M4">
        <v>31721</v>
      </c>
      <c r="N4">
        <v>62</v>
      </c>
      <c r="O4" t="s">
        <v>31</v>
      </c>
      <c r="P4" t="s">
        <v>4181</v>
      </c>
    </row>
    <row r="5" spans="1:16" x14ac:dyDescent="0.35">
      <c r="A5" t="s">
        <v>3208</v>
      </c>
      <c r="B5" t="s">
        <v>3209</v>
      </c>
      <c r="C5" t="s">
        <v>4178</v>
      </c>
      <c r="D5" t="s">
        <v>90</v>
      </c>
      <c r="E5" t="s">
        <v>45</v>
      </c>
      <c r="F5" s="1">
        <v>42012</v>
      </c>
      <c r="G5">
        <v>2005</v>
      </c>
      <c r="H5" t="s">
        <v>107</v>
      </c>
      <c r="I5" t="s">
        <v>39</v>
      </c>
      <c r="J5" t="s">
        <v>72</v>
      </c>
      <c r="K5">
        <v>5.4</v>
      </c>
      <c r="L5">
        <v>13622289</v>
      </c>
      <c r="M5">
        <v>170900</v>
      </c>
      <c r="N5">
        <v>120</v>
      </c>
      <c r="O5" t="s">
        <v>91</v>
      </c>
      <c r="P5" t="s">
        <v>4181</v>
      </c>
    </row>
    <row r="6" spans="1:16" x14ac:dyDescent="0.35">
      <c r="A6" t="s">
        <v>848</v>
      </c>
      <c r="B6" t="s">
        <v>849</v>
      </c>
      <c r="C6" t="s">
        <v>84</v>
      </c>
      <c r="D6" t="s">
        <v>27</v>
      </c>
      <c r="E6" t="s">
        <v>4196</v>
      </c>
      <c r="F6" s="1">
        <v>42014</v>
      </c>
      <c r="G6">
        <v>2001</v>
      </c>
      <c r="H6" t="s">
        <v>81</v>
      </c>
      <c r="I6" t="s">
        <v>4178</v>
      </c>
      <c r="J6" t="s">
        <v>23</v>
      </c>
      <c r="K6">
        <v>9.4</v>
      </c>
      <c r="L6">
        <v>5015694</v>
      </c>
      <c r="M6">
        <v>1311782</v>
      </c>
      <c r="N6">
        <v>94</v>
      </c>
      <c r="O6" t="s">
        <v>4178</v>
      </c>
      <c r="P6" t="s">
        <v>32</v>
      </c>
    </row>
    <row r="7" spans="1:16" x14ac:dyDescent="0.35">
      <c r="A7" t="s">
        <v>2018</v>
      </c>
      <c r="B7" t="s">
        <v>2019</v>
      </c>
      <c r="C7" t="s">
        <v>84</v>
      </c>
      <c r="D7" t="s">
        <v>27</v>
      </c>
      <c r="E7" t="s">
        <v>113</v>
      </c>
      <c r="F7" s="1">
        <v>42017</v>
      </c>
      <c r="G7">
        <v>2000</v>
      </c>
      <c r="H7" t="s">
        <v>107</v>
      </c>
      <c r="I7" t="s">
        <v>4203</v>
      </c>
      <c r="J7" t="s">
        <v>133</v>
      </c>
      <c r="K7">
        <v>8</v>
      </c>
      <c r="L7">
        <v>22506651</v>
      </c>
      <c r="M7">
        <v>788111</v>
      </c>
      <c r="N7">
        <v>80</v>
      </c>
      <c r="O7" t="s">
        <v>123</v>
      </c>
      <c r="P7" t="s">
        <v>32</v>
      </c>
    </row>
    <row r="8" spans="1:16" x14ac:dyDescent="0.35">
      <c r="A8" t="s">
        <v>145</v>
      </c>
      <c r="B8" t="s">
        <v>146</v>
      </c>
      <c r="C8" t="s">
        <v>84</v>
      </c>
      <c r="D8" t="s">
        <v>19</v>
      </c>
      <c r="E8" t="s">
        <v>69</v>
      </c>
      <c r="F8" s="1">
        <v>42019</v>
      </c>
      <c r="G8">
        <v>2010</v>
      </c>
      <c r="H8" t="s">
        <v>21</v>
      </c>
      <c r="I8" t="s">
        <v>4192</v>
      </c>
      <c r="J8" t="s">
        <v>23</v>
      </c>
      <c r="K8">
        <v>9.3000000000000007</v>
      </c>
      <c r="L8">
        <v>12499697</v>
      </c>
      <c r="M8">
        <v>546069</v>
      </c>
      <c r="N8">
        <v>95</v>
      </c>
      <c r="O8" t="s">
        <v>4178</v>
      </c>
      <c r="P8" t="s">
        <v>87</v>
      </c>
    </row>
    <row r="9" spans="1:16" x14ac:dyDescent="0.35">
      <c r="A9" t="s">
        <v>2400</v>
      </c>
      <c r="B9" t="s">
        <v>2401</v>
      </c>
      <c r="C9" t="s">
        <v>84</v>
      </c>
      <c r="D9" t="s">
        <v>61</v>
      </c>
      <c r="E9" t="s">
        <v>80</v>
      </c>
      <c r="F9" s="1">
        <v>42023</v>
      </c>
      <c r="G9">
        <v>2017</v>
      </c>
      <c r="H9" t="s">
        <v>107</v>
      </c>
      <c r="I9" t="s">
        <v>4290</v>
      </c>
      <c r="J9" t="s">
        <v>23</v>
      </c>
      <c r="K9">
        <v>8.6999999999999993</v>
      </c>
      <c r="L9">
        <v>4111341</v>
      </c>
      <c r="M9">
        <v>2376505</v>
      </c>
      <c r="N9">
        <v>75</v>
      </c>
      <c r="O9" t="s">
        <v>91</v>
      </c>
      <c r="P9" t="s">
        <v>4178</v>
      </c>
    </row>
    <row r="10" spans="1:16" x14ac:dyDescent="0.35">
      <c r="A10" t="s">
        <v>1251</v>
      </c>
      <c r="B10" t="s">
        <v>1252</v>
      </c>
      <c r="C10" t="s">
        <v>4178</v>
      </c>
      <c r="D10" t="s">
        <v>75</v>
      </c>
      <c r="E10" t="s">
        <v>45</v>
      </c>
      <c r="F10" s="1">
        <v>42025</v>
      </c>
      <c r="G10">
        <v>2004</v>
      </c>
      <c r="H10" t="s">
        <v>46</v>
      </c>
      <c r="I10" t="s">
        <v>71</v>
      </c>
      <c r="J10" t="s">
        <v>57</v>
      </c>
      <c r="K10">
        <v>9.6999999999999993</v>
      </c>
      <c r="L10">
        <v>14472973</v>
      </c>
      <c r="M10">
        <v>1876016</v>
      </c>
      <c r="N10">
        <v>76</v>
      </c>
      <c r="O10" t="s">
        <v>65</v>
      </c>
      <c r="P10" t="s">
        <v>32</v>
      </c>
    </row>
    <row r="11" spans="1:16" x14ac:dyDescent="0.35">
      <c r="A11" t="s">
        <v>2103</v>
      </c>
      <c r="B11" t="s">
        <v>4342</v>
      </c>
      <c r="C11" t="s">
        <v>84</v>
      </c>
      <c r="D11" t="s">
        <v>4178</v>
      </c>
      <c r="E11" t="s">
        <v>131</v>
      </c>
      <c r="F11" s="1">
        <v>42026</v>
      </c>
      <c r="G11">
        <v>2014</v>
      </c>
      <c r="H11" t="s">
        <v>107</v>
      </c>
      <c r="I11" t="s">
        <v>4286</v>
      </c>
      <c r="J11" t="s">
        <v>103</v>
      </c>
      <c r="K11">
        <v>8</v>
      </c>
      <c r="L11">
        <v>20717797</v>
      </c>
      <c r="M11">
        <v>956685</v>
      </c>
      <c r="N11">
        <v>55</v>
      </c>
      <c r="O11" t="s">
        <v>65</v>
      </c>
      <c r="P11" t="s">
        <v>87</v>
      </c>
    </row>
    <row r="12" spans="1:16" x14ac:dyDescent="0.35">
      <c r="A12" t="s">
        <v>1725</v>
      </c>
      <c r="B12" t="s">
        <v>1726</v>
      </c>
      <c r="C12" t="s">
        <v>84</v>
      </c>
      <c r="D12" t="s">
        <v>4178</v>
      </c>
      <c r="E12" t="s">
        <v>4178</v>
      </c>
      <c r="F12" s="1">
        <v>42027</v>
      </c>
      <c r="G12">
        <v>2019</v>
      </c>
      <c r="H12" t="s">
        <v>121</v>
      </c>
      <c r="I12" t="s">
        <v>4213</v>
      </c>
      <c r="J12" t="s">
        <v>48</v>
      </c>
      <c r="K12">
        <v>5.7</v>
      </c>
      <c r="L12">
        <v>14562402</v>
      </c>
      <c r="M12">
        <v>1818568</v>
      </c>
      <c r="N12">
        <v>88</v>
      </c>
      <c r="O12" t="s">
        <v>24</v>
      </c>
      <c r="P12" t="s">
        <v>87</v>
      </c>
    </row>
    <row r="13" spans="1:16" x14ac:dyDescent="0.35">
      <c r="A13" t="s">
        <v>3383</v>
      </c>
      <c r="B13" t="s">
        <v>3384</v>
      </c>
      <c r="C13" t="s">
        <v>53</v>
      </c>
      <c r="D13" t="s">
        <v>75</v>
      </c>
      <c r="E13" t="s">
        <v>45</v>
      </c>
      <c r="F13" s="1">
        <v>42031</v>
      </c>
      <c r="G13">
        <v>2021</v>
      </c>
      <c r="H13" t="s">
        <v>107</v>
      </c>
      <c r="I13" t="s">
        <v>39</v>
      </c>
      <c r="J13" t="s">
        <v>72</v>
      </c>
      <c r="K13">
        <v>8.8000000000000007</v>
      </c>
      <c r="L13">
        <v>11654736</v>
      </c>
      <c r="M13">
        <v>4988492</v>
      </c>
      <c r="N13">
        <v>78</v>
      </c>
      <c r="O13" t="s">
        <v>58</v>
      </c>
      <c r="P13" t="s">
        <v>50</v>
      </c>
    </row>
    <row r="14" spans="1:16" x14ac:dyDescent="0.35">
      <c r="A14" t="s">
        <v>3834</v>
      </c>
      <c r="B14" t="s">
        <v>3835</v>
      </c>
      <c r="C14" t="s">
        <v>84</v>
      </c>
      <c r="D14" t="s">
        <v>19</v>
      </c>
      <c r="E14" t="s">
        <v>20</v>
      </c>
      <c r="F14" s="1">
        <v>42031</v>
      </c>
      <c r="G14">
        <v>2025</v>
      </c>
      <c r="H14" t="s">
        <v>121</v>
      </c>
      <c r="I14" t="s">
        <v>4188</v>
      </c>
      <c r="J14" t="s">
        <v>48</v>
      </c>
      <c r="K14">
        <v>4.8</v>
      </c>
      <c r="L14">
        <v>24851251</v>
      </c>
      <c r="M14">
        <v>2201601</v>
      </c>
      <c r="N14">
        <v>94</v>
      </c>
      <c r="O14" t="s">
        <v>49</v>
      </c>
      <c r="P14" t="s">
        <v>4178</v>
      </c>
    </row>
    <row r="15" spans="1:16" x14ac:dyDescent="0.35">
      <c r="A15" t="s">
        <v>3478</v>
      </c>
      <c r="B15" t="s">
        <v>3479</v>
      </c>
      <c r="C15" t="s">
        <v>4178</v>
      </c>
      <c r="D15" t="s">
        <v>19</v>
      </c>
      <c r="E15" t="s">
        <v>45</v>
      </c>
      <c r="F15" s="1">
        <v>42032</v>
      </c>
      <c r="G15">
        <v>2012</v>
      </c>
      <c r="H15" t="s">
        <v>4178</v>
      </c>
      <c r="I15" t="s">
        <v>56</v>
      </c>
      <c r="J15" t="s">
        <v>72</v>
      </c>
      <c r="K15">
        <v>5.4</v>
      </c>
      <c r="L15">
        <v>8519546</v>
      </c>
      <c r="M15">
        <v>469975</v>
      </c>
      <c r="N15">
        <v>55</v>
      </c>
      <c r="O15" t="s">
        <v>91</v>
      </c>
      <c r="P15" t="s">
        <v>4181</v>
      </c>
    </row>
    <row r="16" spans="1:16" x14ac:dyDescent="0.35">
      <c r="A16" t="s">
        <v>2788</v>
      </c>
      <c r="B16" t="s">
        <v>2789</v>
      </c>
      <c r="C16" t="s">
        <v>53</v>
      </c>
      <c r="D16" t="s">
        <v>90</v>
      </c>
      <c r="E16" t="s">
        <v>4178</v>
      </c>
      <c r="F16" s="1">
        <v>42033</v>
      </c>
      <c r="G16">
        <v>2004</v>
      </c>
      <c r="H16" t="s">
        <v>46</v>
      </c>
      <c r="I16" t="s">
        <v>136</v>
      </c>
      <c r="J16" t="s">
        <v>57</v>
      </c>
      <c r="K16">
        <v>8.6999999999999993</v>
      </c>
      <c r="L16">
        <v>15143335</v>
      </c>
      <c r="M16">
        <v>888285</v>
      </c>
      <c r="N16">
        <v>94</v>
      </c>
      <c r="O16" t="s">
        <v>91</v>
      </c>
      <c r="P16" t="s">
        <v>50</v>
      </c>
    </row>
    <row r="17" spans="1:16" x14ac:dyDescent="0.35">
      <c r="A17" t="s">
        <v>2235</v>
      </c>
      <c r="B17" t="s">
        <v>2236</v>
      </c>
      <c r="C17" t="s">
        <v>53</v>
      </c>
      <c r="D17" t="s">
        <v>68</v>
      </c>
      <c r="E17" t="s">
        <v>99</v>
      </c>
      <c r="F17" s="1">
        <v>42041</v>
      </c>
      <c r="G17">
        <v>2002</v>
      </c>
      <c r="H17" t="s">
        <v>85</v>
      </c>
      <c r="I17" t="s">
        <v>162</v>
      </c>
      <c r="J17" t="s">
        <v>133</v>
      </c>
      <c r="K17">
        <v>9</v>
      </c>
      <c r="L17">
        <v>4263353</v>
      </c>
      <c r="M17">
        <v>4796814</v>
      </c>
      <c r="N17">
        <v>76</v>
      </c>
      <c r="O17" t="s">
        <v>24</v>
      </c>
      <c r="P17" t="s">
        <v>4178</v>
      </c>
    </row>
    <row r="18" spans="1:16" x14ac:dyDescent="0.35">
      <c r="A18" t="s">
        <v>2734</v>
      </c>
      <c r="B18" t="s">
        <v>2735</v>
      </c>
      <c r="C18" t="s">
        <v>84</v>
      </c>
      <c r="D18" t="s">
        <v>4178</v>
      </c>
      <c r="E18" t="s">
        <v>80</v>
      </c>
      <c r="F18" s="1">
        <v>42043</v>
      </c>
      <c r="G18">
        <v>2004</v>
      </c>
      <c r="H18" t="s">
        <v>114</v>
      </c>
      <c r="I18" t="s">
        <v>4230</v>
      </c>
      <c r="J18" t="s">
        <v>57</v>
      </c>
      <c r="K18">
        <v>7.4</v>
      </c>
      <c r="L18">
        <v>18594524</v>
      </c>
      <c r="M18">
        <v>1317245</v>
      </c>
      <c r="N18">
        <v>55</v>
      </c>
      <c r="O18" t="s">
        <v>41</v>
      </c>
      <c r="P18" t="s">
        <v>4178</v>
      </c>
    </row>
    <row r="19" spans="1:16" x14ac:dyDescent="0.35">
      <c r="A19" t="s">
        <v>3719</v>
      </c>
      <c r="B19" t="s">
        <v>3720</v>
      </c>
      <c r="C19" t="s">
        <v>53</v>
      </c>
      <c r="D19" t="s">
        <v>61</v>
      </c>
      <c r="E19" t="s">
        <v>113</v>
      </c>
      <c r="F19" s="1">
        <v>42043</v>
      </c>
      <c r="G19">
        <v>2023</v>
      </c>
      <c r="H19" t="s">
        <v>107</v>
      </c>
      <c r="I19" t="s">
        <v>162</v>
      </c>
      <c r="J19" t="s">
        <v>153</v>
      </c>
      <c r="K19">
        <v>8</v>
      </c>
      <c r="L19">
        <v>966522</v>
      </c>
      <c r="M19">
        <v>4689509</v>
      </c>
      <c r="N19">
        <v>54</v>
      </c>
      <c r="O19" t="s">
        <v>123</v>
      </c>
      <c r="P19" t="s">
        <v>50</v>
      </c>
    </row>
    <row r="20" spans="1:16" x14ac:dyDescent="0.35">
      <c r="A20" t="s">
        <v>2509</v>
      </c>
      <c r="B20" t="s">
        <v>2510</v>
      </c>
      <c r="C20" t="s">
        <v>53</v>
      </c>
      <c r="D20" t="s">
        <v>75</v>
      </c>
      <c r="E20" t="s">
        <v>20</v>
      </c>
      <c r="F20" s="1">
        <v>42044</v>
      </c>
      <c r="G20">
        <v>2015</v>
      </c>
      <c r="H20" t="s">
        <v>4178</v>
      </c>
      <c r="I20" t="s">
        <v>136</v>
      </c>
      <c r="J20" t="s">
        <v>30</v>
      </c>
      <c r="K20">
        <v>4.7</v>
      </c>
      <c r="L20">
        <v>19072292</v>
      </c>
      <c r="M20">
        <v>420205</v>
      </c>
      <c r="N20">
        <v>100</v>
      </c>
      <c r="O20" t="s">
        <v>123</v>
      </c>
      <c r="P20" t="s">
        <v>87</v>
      </c>
    </row>
    <row r="21" spans="1:16" x14ac:dyDescent="0.35">
      <c r="A21" t="s">
        <v>4049</v>
      </c>
      <c r="B21" t="s">
        <v>4050</v>
      </c>
      <c r="C21" t="s">
        <v>4178</v>
      </c>
      <c r="D21" t="s">
        <v>4178</v>
      </c>
      <c r="E21" t="s">
        <v>45</v>
      </c>
      <c r="F21" s="1">
        <v>42050</v>
      </c>
      <c r="G21">
        <v>2023</v>
      </c>
      <c r="H21" t="s">
        <v>107</v>
      </c>
      <c r="I21" t="s">
        <v>64</v>
      </c>
      <c r="J21" t="s">
        <v>133</v>
      </c>
      <c r="K21">
        <v>9</v>
      </c>
      <c r="L21">
        <v>18696691</v>
      </c>
      <c r="M21">
        <v>4138561</v>
      </c>
      <c r="N21">
        <v>72</v>
      </c>
      <c r="O21" t="s">
        <v>31</v>
      </c>
      <c r="P21" t="s">
        <v>50</v>
      </c>
    </row>
    <row r="22" spans="1:16" x14ac:dyDescent="0.35">
      <c r="A22" t="s">
        <v>2971</v>
      </c>
      <c r="B22" t="s">
        <v>2972</v>
      </c>
      <c r="C22" t="s">
        <v>84</v>
      </c>
      <c r="D22" t="s">
        <v>68</v>
      </c>
      <c r="E22" t="s">
        <v>131</v>
      </c>
      <c r="F22" s="1">
        <v>42051</v>
      </c>
      <c r="G22">
        <v>2010</v>
      </c>
      <c r="H22" t="s">
        <v>46</v>
      </c>
      <c r="I22" t="s">
        <v>4233</v>
      </c>
      <c r="J22" t="s">
        <v>40</v>
      </c>
      <c r="K22">
        <v>8.5</v>
      </c>
      <c r="L22">
        <v>7428817</v>
      </c>
      <c r="M22">
        <v>3071364</v>
      </c>
      <c r="N22">
        <v>77</v>
      </c>
      <c r="O22" t="s">
        <v>4178</v>
      </c>
      <c r="P22" t="s">
        <v>4181</v>
      </c>
    </row>
    <row r="23" spans="1:16" x14ac:dyDescent="0.35">
      <c r="A23" t="s">
        <v>349</v>
      </c>
      <c r="B23" t="s">
        <v>350</v>
      </c>
      <c r="C23" t="s">
        <v>84</v>
      </c>
      <c r="D23" t="s">
        <v>94</v>
      </c>
      <c r="E23" t="s">
        <v>4178</v>
      </c>
      <c r="F23" s="1">
        <v>42055</v>
      </c>
      <c r="G23">
        <v>2026</v>
      </c>
      <c r="H23" t="s">
        <v>107</v>
      </c>
      <c r="I23" t="s">
        <v>4227</v>
      </c>
      <c r="J23" t="s">
        <v>30</v>
      </c>
      <c r="K23">
        <v>9.1999999999999993</v>
      </c>
      <c r="L23">
        <v>2275794</v>
      </c>
      <c r="M23">
        <v>2038826</v>
      </c>
      <c r="N23">
        <v>83</v>
      </c>
      <c r="O23" t="s">
        <v>4178</v>
      </c>
      <c r="P23" t="s">
        <v>4181</v>
      </c>
    </row>
    <row r="24" spans="1:16" x14ac:dyDescent="0.35">
      <c r="A24" t="s">
        <v>778</v>
      </c>
      <c r="B24" t="s">
        <v>779</v>
      </c>
      <c r="C24" t="s">
        <v>4178</v>
      </c>
      <c r="D24" t="s">
        <v>156</v>
      </c>
      <c r="E24" t="s">
        <v>113</v>
      </c>
      <c r="F24" s="1">
        <v>42055</v>
      </c>
      <c r="G24">
        <v>2012</v>
      </c>
      <c r="H24" t="s">
        <v>85</v>
      </c>
      <c r="I24" t="s">
        <v>95</v>
      </c>
      <c r="J24" t="s">
        <v>133</v>
      </c>
      <c r="K24">
        <v>8.3000000000000007</v>
      </c>
      <c r="L24">
        <v>13176545</v>
      </c>
      <c r="M24">
        <v>1309717</v>
      </c>
      <c r="N24">
        <v>72</v>
      </c>
      <c r="O24" t="s">
        <v>91</v>
      </c>
      <c r="P24" t="s">
        <v>50</v>
      </c>
    </row>
    <row r="25" spans="1:16" x14ac:dyDescent="0.35">
      <c r="A25" t="s">
        <v>227</v>
      </c>
      <c r="B25" t="s">
        <v>228</v>
      </c>
      <c r="C25" t="s">
        <v>4178</v>
      </c>
      <c r="D25" t="s">
        <v>54</v>
      </c>
      <c r="E25" t="s">
        <v>4178</v>
      </c>
      <c r="F25" s="1">
        <v>42057</v>
      </c>
      <c r="G25">
        <v>2013</v>
      </c>
      <c r="H25" t="s">
        <v>81</v>
      </c>
      <c r="I25" t="s">
        <v>162</v>
      </c>
      <c r="J25" t="s">
        <v>48</v>
      </c>
      <c r="K25">
        <v>6.6</v>
      </c>
      <c r="L25">
        <v>18975118</v>
      </c>
      <c r="M25">
        <v>1440032</v>
      </c>
      <c r="N25">
        <v>41</v>
      </c>
      <c r="O25" t="s">
        <v>104</v>
      </c>
      <c r="P25" t="s">
        <v>87</v>
      </c>
    </row>
    <row r="26" spans="1:16" x14ac:dyDescent="0.35">
      <c r="A26" t="s">
        <v>3608</v>
      </c>
      <c r="B26" t="s">
        <v>3609</v>
      </c>
      <c r="C26" t="s">
        <v>53</v>
      </c>
      <c r="D26" t="s">
        <v>156</v>
      </c>
      <c r="E26" t="s">
        <v>62</v>
      </c>
      <c r="F26" s="1">
        <v>42058</v>
      </c>
      <c r="G26">
        <v>2007</v>
      </c>
      <c r="H26" t="s">
        <v>85</v>
      </c>
      <c r="I26" t="s">
        <v>95</v>
      </c>
      <c r="J26" t="s">
        <v>103</v>
      </c>
      <c r="K26">
        <v>6.8</v>
      </c>
      <c r="L26">
        <v>23698324</v>
      </c>
      <c r="M26">
        <v>3744315</v>
      </c>
      <c r="N26">
        <v>60</v>
      </c>
      <c r="O26" t="s">
        <v>49</v>
      </c>
      <c r="P26" t="s">
        <v>4178</v>
      </c>
    </row>
    <row r="27" spans="1:16" x14ac:dyDescent="0.35">
      <c r="A27" t="s">
        <v>1401</v>
      </c>
      <c r="B27" t="s">
        <v>1402</v>
      </c>
      <c r="C27" t="s">
        <v>84</v>
      </c>
      <c r="D27" t="s">
        <v>36</v>
      </c>
      <c r="E27" t="s">
        <v>55</v>
      </c>
      <c r="F27" s="1">
        <v>42061</v>
      </c>
      <c r="G27">
        <v>2024</v>
      </c>
      <c r="H27" t="s">
        <v>38</v>
      </c>
      <c r="I27" t="s">
        <v>4210</v>
      </c>
      <c r="J27" t="s">
        <v>40</v>
      </c>
      <c r="K27">
        <v>5.6</v>
      </c>
      <c r="L27">
        <v>5696166</v>
      </c>
      <c r="M27">
        <v>1686969</v>
      </c>
      <c r="N27">
        <v>46</v>
      </c>
      <c r="O27" t="s">
        <v>91</v>
      </c>
      <c r="P27" t="s">
        <v>4181</v>
      </c>
    </row>
    <row r="28" spans="1:16" x14ac:dyDescent="0.35">
      <c r="A28" t="s">
        <v>2247</v>
      </c>
      <c r="B28" t="s">
        <v>2248</v>
      </c>
      <c r="C28" t="s">
        <v>84</v>
      </c>
      <c r="D28" t="s">
        <v>4178</v>
      </c>
      <c r="E28" t="s">
        <v>37</v>
      </c>
      <c r="F28" s="1">
        <v>42061</v>
      </c>
      <c r="G28">
        <v>2010</v>
      </c>
      <c r="H28" t="s">
        <v>114</v>
      </c>
      <c r="I28" t="s">
        <v>4286</v>
      </c>
      <c r="J28" t="s">
        <v>153</v>
      </c>
      <c r="K28">
        <v>8.4</v>
      </c>
      <c r="L28">
        <v>14089422</v>
      </c>
      <c r="M28">
        <v>3509590</v>
      </c>
      <c r="N28">
        <v>69</v>
      </c>
      <c r="O28" t="s">
        <v>65</v>
      </c>
      <c r="P28" t="s">
        <v>50</v>
      </c>
    </row>
    <row r="29" spans="1:16" x14ac:dyDescent="0.35">
      <c r="A29" t="s">
        <v>3735</v>
      </c>
      <c r="B29" t="s">
        <v>3736</v>
      </c>
      <c r="C29" t="s">
        <v>84</v>
      </c>
      <c r="D29" t="s">
        <v>94</v>
      </c>
      <c r="E29" t="s">
        <v>80</v>
      </c>
      <c r="F29" s="1">
        <v>42062</v>
      </c>
      <c r="G29">
        <v>2023</v>
      </c>
      <c r="H29" t="s">
        <v>107</v>
      </c>
      <c r="I29" t="s">
        <v>4241</v>
      </c>
      <c r="J29" t="s">
        <v>4178</v>
      </c>
      <c r="K29">
        <v>8.9</v>
      </c>
      <c r="L29">
        <v>22157823</v>
      </c>
      <c r="M29">
        <v>1837388</v>
      </c>
      <c r="N29">
        <v>74</v>
      </c>
      <c r="O29" t="s">
        <v>4178</v>
      </c>
      <c r="P29" t="s">
        <v>4178</v>
      </c>
    </row>
    <row r="30" spans="1:16" x14ac:dyDescent="0.35">
      <c r="A30" t="s">
        <v>2221</v>
      </c>
      <c r="B30" t="s">
        <v>2222</v>
      </c>
      <c r="C30" t="s">
        <v>84</v>
      </c>
      <c r="D30" t="s">
        <v>36</v>
      </c>
      <c r="E30" t="s">
        <v>45</v>
      </c>
      <c r="F30" s="1">
        <v>42065</v>
      </c>
      <c r="G30">
        <v>2020</v>
      </c>
      <c r="H30" t="s">
        <v>114</v>
      </c>
      <c r="I30" t="s">
        <v>4309</v>
      </c>
      <c r="J30" t="s">
        <v>40</v>
      </c>
      <c r="K30">
        <v>6.2</v>
      </c>
      <c r="L30">
        <v>3420898</v>
      </c>
      <c r="M30">
        <v>3566520</v>
      </c>
      <c r="N30">
        <v>72</v>
      </c>
      <c r="O30" t="s">
        <v>31</v>
      </c>
      <c r="P30" t="s">
        <v>4178</v>
      </c>
    </row>
    <row r="31" spans="1:16" x14ac:dyDescent="0.35">
      <c r="A31" t="s">
        <v>1643</v>
      </c>
      <c r="B31" t="s">
        <v>1644</v>
      </c>
      <c r="C31" t="s">
        <v>53</v>
      </c>
      <c r="D31" t="s">
        <v>4178</v>
      </c>
      <c r="E31" t="s">
        <v>45</v>
      </c>
      <c r="F31" s="1">
        <v>42068</v>
      </c>
      <c r="G31">
        <v>2011</v>
      </c>
      <c r="H31" t="s">
        <v>85</v>
      </c>
      <c r="I31" t="s">
        <v>136</v>
      </c>
      <c r="J31" t="s">
        <v>133</v>
      </c>
      <c r="K31">
        <v>8.1999999999999993</v>
      </c>
      <c r="L31">
        <v>18572246</v>
      </c>
      <c r="M31">
        <v>4716830</v>
      </c>
      <c r="N31">
        <v>66</v>
      </c>
      <c r="O31" t="s">
        <v>65</v>
      </c>
      <c r="P31" t="s">
        <v>32</v>
      </c>
    </row>
    <row r="32" spans="1:16" x14ac:dyDescent="0.35">
      <c r="A32" t="s">
        <v>4105</v>
      </c>
      <c r="B32" t="s">
        <v>4106</v>
      </c>
      <c r="C32" t="s">
        <v>84</v>
      </c>
      <c r="D32" t="s">
        <v>54</v>
      </c>
      <c r="E32" t="s">
        <v>45</v>
      </c>
      <c r="F32" s="1">
        <v>42068</v>
      </c>
      <c r="G32">
        <v>2010</v>
      </c>
      <c r="H32" t="s">
        <v>46</v>
      </c>
      <c r="I32" t="s">
        <v>4286</v>
      </c>
      <c r="J32" t="s">
        <v>96</v>
      </c>
      <c r="K32">
        <v>5.6</v>
      </c>
      <c r="L32">
        <v>3159030</v>
      </c>
      <c r="M32">
        <v>1578794</v>
      </c>
      <c r="N32">
        <v>58</v>
      </c>
      <c r="O32" t="s">
        <v>58</v>
      </c>
      <c r="P32" t="s">
        <v>32</v>
      </c>
    </row>
    <row r="33" spans="1:16" x14ac:dyDescent="0.35">
      <c r="A33" t="s">
        <v>1465</v>
      </c>
      <c r="B33" t="s">
        <v>1466</v>
      </c>
      <c r="C33" t="s">
        <v>53</v>
      </c>
      <c r="D33" t="s">
        <v>94</v>
      </c>
      <c r="E33" t="s">
        <v>4178</v>
      </c>
      <c r="F33" s="1">
        <v>42070</v>
      </c>
      <c r="G33">
        <v>2020</v>
      </c>
      <c r="H33" t="s">
        <v>121</v>
      </c>
      <c r="I33" t="s">
        <v>71</v>
      </c>
      <c r="J33" t="s">
        <v>153</v>
      </c>
      <c r="K33">
        <v>7.8</v>
      </c>
      <c r="L33">
        <v>21353788</v>
      </c>
      <c r="M33">
        <v>1224990</v>
      </c>
      <c r="N33">
        <v>120</v>
      </c>
      <c r="O33" t="s">
        <v>24</v>
      </c>
      <c r="P33" t="s">
        <v>4178</v>
      </c>
    </row>
    <row r="34" spans="1:16" x14ac:dyDescent="0.35">
      <c r="A34" t="s">
        <v>3575</v>
      </c>
      <c r="B34" t="s">
        <v>3576</v>
      </c>
      <c r="C34" t="s">
        <v>53</v>
      </c>
      <c r="D34" t="s">
        <v>90</v>
      </c>
      <c r="E34" t="s">
        <v>45</v>
      </c>
      <c r="F34" s="1">
        <v>42071</v>
      </c>
      <c r="G34">
        <v>2013</v>
      </c>
      <c r="H34" t="s">
        <v>114</v>
      </c>
      <c r="I34" t="s">
        <v>95</v>
      </c>
      <c r="J34" t="s">
        <v>72</v>
      </c>
      <c r="K34">
        <v>9</v>
      </c>
      <c r="L34">
        <v>5499883</v>
      </c>
      <c r="M34">
        <v>3304857</v>
      </c>
      <c r="N34">
        <v>99</v>
      </c>
      <c r="O34" t="s">
        <v>91</v>
      </c>
      <c r="P34" t="s">
        <v>4178</v>
      </c>
    </row>
    <row r="35" spans="1:16" x14ac:dyDescent="0.35">
      <c r="A35" t="s">
        <v>3636</v>
      </c>
      <c r="B35" t="s">
        <v>3637</v>
      </c>
      <c r="C35" t="s">
        <v>84</v>
      </c>
      <c r="D35" t="s">
        <v>36</v>
      </c>
      <c r="E35" t="s">
        <v>62</v>
      </c>
      <c r="F35" s="1">
        <v>42073</v>
      </c>
      <c r="G35">
        <v>2009</v>
      </c>
      <c r="H35" t="s">
        <v>46</v>
      </c>
      <c r="I35" t="s">
        <v>4325</v>
      </c>
      <c r="J35" t="s">
        <v>103</v>
      </c>
      <c r="K35">
        <v>6.8</v>
      </c>
      <c r="L35">
        <v>22041282</v>
      </c>
      <c r="M35">
        <v>4192007</v>
      </c>
      <c r="N35">
        <v>58</v>
      </c>
      <c r="O35" t="s">
        <v>41</v>
      </c>
      <c r="P35" t="s">
        <v>87</v>
      </c>
    </row>
    <row r="36" spans="1:16" x14ac:dyDescent="0.35">
      <c r="A36" t="s">
        <v>944</v>
      </c>
      <c r="B36" t="s">
        <v>945</v>
      </c>
      <c r="C36" t="s">
        <v>84</v>
      </c>
      <c r="D36" t="s">
        <v>19</v>
      </c>
      <c r="E36" t="s">
        <v>99</v>
      </c>
      <c r="F36" s="1">
        <v>42076</v>
      </c>
      <c r="G36">
        <v>2017</v>
      </c>
      <c r="H36" t="s">
        <v>4178</v>
      </c>
      <c r="I36" t="s">
        <v>4270</v>
      </c>
      <c r="J36" t="s">
        <v>30</v>
      </c>
      <c r="K36">
        <v>4.9000000000000004</v>
      </c>
      <c r="L36">
        <v>12219797</v>
      </c>
      <c r="M36">
        <v>4198527</v>
      </c>
      <c r="N36">
        <v>40</v>
      </c>
      <c r="O36" t="s">
        <v>31</v>
      </c>
      <c r="P36" t="s">
        <v>4178</v>
      </c>
    </row>
    <row r="37" spans="1:16" x14ac:dyDescent="0.35">
      <c r="A37" t="s">
        <v>453</v>
      </c>
      <c r="B37" t="s">
        <v>454</v>
      </c>
      <c r="C37" t="s">
        <v>84</v>
      </c>
      <c r="D37" t="s">
        <v>90</v>
      </c>
      <c r="E37" t="s">
        <v>62</v>
      </c>
      <c r="F37" s="1">
        <v>42082</v>
      </c>
      <c r="G37">
        <v>2023</v>
      </c>
      <c r="H37" t="s">
        <v>81</v>
      </c>
      <c r="I37" t="s">
        <v>4188</v>
      </c>
      <c r="J37" t="s">
        <v>72</v>
      </c>
      <c r="K37">
        <v>6.1</v>
      </c>
      <c r="L37">
        <v>13012003</v>
      </c>
      <c r="M37">
        <v>3858874</v>
      </c>
      <c r="N37">
        <v>54</v>
      </c>
      <c r="O37" t="s">
        <v>104</v>
      </c>
      <c r="P37" t="s">
        <v>4178</v>
      </c>
    </row>
    <row r="38" spans="1:16" x14ac:dyDescent="0.35">
      <c r="A38" t="s">
        <v>3922</v>
      </c>
      <c r="B38" t="s">
        <v>3923</v>
      </c>
      <c r="C38" t="s">
        <v>84</v>
      </c>
      <c r="D38" t="s">
        <v>4178</v>
      </c>
      <c r="E38" t="s">
        <v>4196</v>
      </c>
      <c r="F38" s="1">
        <v>42087</v>
      </c>
      <c r="G38">
        <v>2013</v>
      </c>
      <c r="H38" t="s">
        <v>4178</v>
      </c>
      <c r="I38" t="s">
        <v>4275</v>
      </c>
      <c r="J38" t="s">
        <v>40</v>
      </c>
      <c r="K38">
        <v>5.2</v>
      </c>
      <c r="L38">
        <v>1744701</v>
      </c>
      <c r="M38">
        <v>44519</v>
      </c>
      <c r="N38">
        <v>52</v>
      </c>
      <c r="O38" t="s">
        <v>24</v>
      </c>
      <c r="P38" t="s">
        <v>4181</v>
      </c>
    </row>
    <row r="39" spans="1:16" x14ac:dyDescent="0.35">
      <c r="A39" t="s">
        <v>3347</v>
      </c>
      <c r="B39" t="s">
        <v>3348</v>
      </c>
      <c r="C39" t="s">
        <v>84</v>
      </c>
      <c r="D39" t="s">
        <v>61</v>
      </c>
      <c r="E39" t="s">
        <v>20</v>
      </c>
      <c r="F39" s="1">
        <v>42096</v>
      </c>
      <c r="G39">
        <v>2008</v>
      </c>
      <c r="H39" t="s">
        <v>107</v>
      </c>
      <c r="I39" t="s">
        <v>4325</v>
      </c>
      <c r="J39" t="s">
        <v>30</v>
      </c>
      <c r="K39">
        <v>5.6</v>
      </c>
      <c r="L39">
        <v>19819829</v>
      </c>
      <c r="M39">
        <v>721065</v>
      </c>
      <c r="N39">
        <v>90</v>
      </c>
      <c r="O39" t="s">
        <v>58</v>
      </c>
      <c r="P39" t="s">
        <v>4178</v>
      </c>
    </row>
    <row r="40" spans="1:16" x14ac:dyDescent="0.35">
      <c r="A40" t="s">
        <v>1804</v>
      </c>
      <c r="B40" t="s">
        <v>1805</v>
      </c>
      <c r="C40" t="s">
        <v>4178</v>
      </c>
      <c r="D40" t="s">
        <v>68</v>
      </c>
      <c r="E40" t="s">
        <v>37</v>
      </c>
      <c r="F40" s="1">
        <v>42100</v>
      </c>
      <c r="G40">
        <v>2007</v>
      </c>
      <c r="H40" t="s">
        <v>114</v>
      </c>
      <c r="I40" t="s">
        <v>136</v>
      </c>
      <c r="J40" t="s">
        <v>48</v>
      </c>
      <c r="K40">
        <v>6.9</v>
      </c>
      <c r="L40">
        <v>85280</v>
      </c>
      <c r="M40">
        <v>2875284</v>
      </c>
      <c r="N40">
        <v>52</v>
      </c>
      <c r="O40" t="s">
        <v>41</v>
      </c>
      <c r="P40" t="s">
        <v>32</v>
      </c>
    </row>
    <row r="41" spans="1:16" x14ac:dyDescent="0.35">
      <c r="A41" t="s">
        <v>509</v>
      </c>
      <c r="B41" t="s">
        <v>510</v>
      </c>
      <c r="C41" t="s">
        <v>53</v>
      </c>
      <c r="D41" t="s">
        <v>4178</v>
      </c>
      <c r="E41" t="s">
        <v>69</v>
      </c>
      <c r="F41" s="1">
        <v>42101</v>
      </c>
      <c r="G41">
        <v>2026</v>
      </c>
      <c r="H41" t="s">
        <v>107</v>
      </c>
      <c r="I41" t="s">
        <v>118</v>
      </c>
      <c r="J41" t="s">
        <v>30</v>
      </c>
      <c r="K41">
        <v>5.9</v>
      </c>
      <c r="L41">
        <v>2354362</v>
      </c>
      <c r="M41">
        <v>4602527</v>
      </c>
      <c r="N41">
        <v>78</v>
      </c>
      <c r="O41" t="s">
        <v>58</v>
      </c>
      <c r="P41" t="s">
        <v>87</v>
      </c>
    </row>
    <row r="42" spans="1:16" x14ac:dyDescent="0.35">
      <c r="A42" t="s">
        <v>3626</v>
      </c>
      <c r="B42" t="s">
        <v>3627</v>
      </c>
      <c r="C42" t="s">
        <v>53</v>
      </c>
      <c r="D42" t="s">
        <v>36</v>
      </c>
      <c r="E42" t="s">
        <v>62</v>
      </c>
      <c r="F42" s="1">
        <v>42108</v>
      </c>
      <c r="G42">
        <v>2002</v>
      </c>
      <c r="H42" t="s">
        <v>21</v>
      </c>
      <c r="I42" t="s">
        <v>95</v>
      </c>
      <c r="J42" t="s">
        <v>103</v>
      </c>
      <c r="K42">
        <v>5.3</v>
      </c>
      <c r="L42">
        <v>10592042</v>
      </c>
      <c r="M42">
        <v>4630441</v>
      </c>
      <c r="N42">
        <v>100</v>
      </c>
      <c r="O42" t="s">
        <v>91</v>
      </c>
      <c r="P42" t="s">
        <v>32</v>
      </c>
    </row>
    <row r="43" spans="1:16" x14ac:dyDescent="0.35">
      <c r="A43" t="s">
        <v>2336</v>
      </c>
      <c r="B43" t="s">
        <v>2337</v>
      </c>
      <c r="C43" t="s">
        <v>84</v>
      </c>
      <c r="D43" t="s">
        <v>75</v>
      </c>
      <c r="E43" t="s">
        <v>131</v>
      </c>
      <c r="F43" s="1">
        <v>42110</v>
      </c>
      <c r="G43">
        <v>2001</v>
      </c>
      <c r="H43" t="s">
        <v>38</v>
      </c>
      <c r="I43" t="s">
        <v>4336</v>
      </c>
      <c r="J43" t="s">
        <v>133</v>
      </c>
      <c r="K43">
        <v>5.2</v>
      </c>
      <c r="L43">
        <v>2900450</v>
      </c>
      <c r="M43">
        <v>4185485</v>
      </c>
      <c r="N43">
        <v>76</v>
      </c>
      <c r="O43" t="s">
        <v>123</v>
      </c>
      <c r="P43" t="s">
        <v>87</v>
      </c>
    </row>
    <row r="44" spans="1:16" x14ac:dyDescent="0.35">
      <c r="A44" t="s">
        <v>2894</v>
      </c>
      <c r="B44" t="s">
        <v>2895</v>
      </c>
      <c r="C44" t="s">
        <v>84</v>
      </c>
      <c r="D44" t="s">
        <v>27</v>
      </c>
      <c r="E44" t="s">
        <v>4196</v>
      </c>
      <c r="F44" s="1">
        <v>42112</v>
      </c>
      <c r="G44">
        <v>2003</v>
      </c>
      <c r="H44" t="s">
        <v>63</v>
      </c>
      <c r="I44" t="s">
        <v>4220</v>
      </c>
      <c r="J44" t="s">
        <v>103</v>
      </c>
      <c r="K44">
        <v>5.0999999999999996</v>
      </c>
      <c r="L44">
        <v>8626400</v>
      </c>
      <c r="M44">
        <v>2391233</v>
      </c>
      <c r="N44">
        <v>57</v>
      </c>
      <c r="O44" t="s">
        <v>58</v>
      </c>
      <c r="P44" t="s">
        <v>4181</v>
      </c>
    </row>
    <row r="45" spans="1:16" x14ac:dyDescent="0.35">
      <c r="A45" t="s">
        <v>3705</v>
      </c>
      <c r="B45" t="s">
        <v>3706</v>
      </c>
      <c r="C45" t="s">
        <v>84</v>
      </c>
      <c r="D45" t="s">
        <v>94</v>
      </c>
      <c r="E45" t="s">
        <v>99</v>
      </c>
      <c r="F45" s="1">
        <v>42112</v>
      </c>
      <c r="G45">
        <v>2003</v>
      </c>
      <c r="H45" t="s">
        <v>63</v>
      </c>
      <c r="I45" t="s">
        <v>4292</v>
      </c>
      <c r="J45" t="s">
        <v>4178</v>
      </c>
      <c r="K45">
        <v>7.8</v>
      </c>
      <c r="L45">
        <v>1631051</v>
      </c>
      <c r="M45">
        <v>1845959</v>
      </c>
      <c r="N45">
        <v>90</v>
      </c>
      <c r="O45" t="s">
        <v>31</v>
      </c>
      <c r="P45" t="s">
        <v>4178</v>
      </c>
    </row>
    <row r="46" spans="1:16" x14ac:dyDescent="0.35">
      <c r="A46" t="s">
        <v>4061</v>
      </c>
      <c r="B46" t="s">
        <v>4062</v>
      </c>
      <c r="C46" t="s">
        <v>53</v>
      </c>
      <c r="D46" t="s">
        <v>36</v>
      </c>
      <c r="E46" t="s">
        <v>80</v>
      </c>
      <c r="F46" s="1">
        <v>42112</v>
      </c>
      <c r="G46">
        <v>2005</v>
      </c>
      <c r="H46" t="s">
        <v>107</v>
      </c>
      <c r="I46" t="s">
        <v>95</v>
      </c>
      <c r="J46" t="s">
        <v>72</v>
      </c>
      <c r="K46">
        <v>7.5</v>
      </c>
      <c r="L46">
        <v>2969749</v>
      </c>
      <c r="M46">
        <v>848740</v>
      </c>
      <c r="N46">
        <v>40</v>
      </c>
      <c r="O46" t="s">
        <v>123</v>
      </c>
      <c r="P46" t="s">
        <v>87</v>
      </c>
    </row>
    <row r="47" spans="1:16" x14ac:dyDescent="0.35">
      <c r="A47" t="s">
        <v>2070</v>
      </c>
      <c r="B47" t="s">
        <v>2071</v>
      </c>
      <c r="C47" t="s">
        <v>84</v>
      </c>
      <c r="D47" t="s">
        <v>36</v>
      </c>
      <c r="E47" t="s">
        <v>45</v>
      </c>
      <c r="F47" s="1">
        <v>42113</v>
      </c>
      <c r="G47">
        <v>2032</v>
      </c>
      <c r="H47" t="s">
        <v>21</v>
      </c>
      <c r="I47" t="s">
        <v>4214</v>
      </c>
      <c r="J47" t="s">
        <v>72</v>
      </c>
      <c r="K47">
        <v>8.9</v>
      </c>
      <c r="L47">
        <v>7446810</v>
      </c>
      <c r="M47">
        <v>4598301</v>
      </c>
      <c r="N47">
        <v>85</v>
      </c>
      <c r="O47" t="s">
        <v>31</v>
      </c>
      <c r="P47" t="s">
        <v>32</v>
      </c>
    </row>
    <row r="48" spans="1:16" x14ac:dyDescent="0.35">
      <c r="A48" t="s">
        <v>2950</v>
      </c>
      <c r="B48" t="s">
        <v>2951</v>
      </c>
      <c r="C48" t="s">
        <v>53</v>
      </c>
      <c r="D48" t="s">
        <v>68</v>
      </c>
      <c r="E48" t="s">
        <v>99</v>
      </c>
      <c r="F48" s="1">
        <v>42113</v>
      </c>
      <c r="G48">
        <v>2016</v>
      </c>
      <c r="H48" t="s">
        <v>121</v>
      </c>
      <c r="I48" t="s">
        <v>95</v>
      </c>
      <c r="J48" t="s">
        <v>72</v>
      </c>
      <c r="K48">
        <v>5.2</v>
      </c>
      <c r="L48">
        <v>16957117</v>
      </c>
      <c r="M48">
        <v>4240208</v>
      </c>
      <c r="N48">
        <v>78</v>
      </c>
      <c r="O48" t="s">
        <v>65</v>
      </c>
      <c r="P48" t="s">
        <v>32</v>
      </c>
    </row>
    <row r="49" spans="1:16" x14ac:dyDescent="0.35">
      <c r="A49" t="s">
        <v>3222</v>
      </c>
      <c r="B49" t="s">
        <v>3223</v>
      </c>
      <c r="C49" t="s">
        <v>53</v>
      </c>
      <c r="D49" t="s">
        <v>90</v>
      </c>
      <c r="E49" t="s">
        <v>99</v>
      </c>
      <c r="F49" s="1">
        <v>42115</v>
      </c>
      <c r="G49">
        <v>2008</v>
      </c>
      <c r="H49" t="s">
        <v>63</v>
      </c>
      <c r="I49" t="s">
        <v>162</v>
      </c>
      <c r="J49" t="s">
        <v>57</v>
      </c>
      <c r="K49">
        <v>5.7</v>
      </c>
      <c r="L49">
        <v>18339176</v>
      </c>
      <c r="M49">
        <v>4041616</v>
      </c>
      <c r="N49">
        <v>86</v>
      </c>
      <c r="O49" t="s">
        <v>31</v>
      </c>
      <c r="P49" t="s">
        <v>32</v>
      </c>
    </row>
    <row r="50" spans="1:16" x14ac:dyDescent="0.35">
      <c r="A50" t="s">
        <v>1047</v>
      </c>
      <c r="B50" t="s">
        <v>1048</v>
      </c>
      <c r="C50" t="s">
        <v>53</v>
      </c>
      <c r="D50" t="s">
        <v>68</v>
      </c>
      <c r="E50" t="s">
        <v>4196</v>
      </c>
      <c r="F50" s="1">
        <v>42116</v>
      </c>
      <c r="G50">
        <v>2025</v>
      </c>
      <c r="H50" t="s">
        <v>107</v>
      </c>
      <c r="I50" t="s">
        <v>64</v>
      </c>
      <c r="J50" t="s">
        <v>4178</v>
      </c>
      <c r="K50">
        <v>4.5999999999999996</v>
      </c>
      <c r="L50">
        <v>17570099</v>
      </c>
      <c r="M50">
        <v>4107126</v>
      </c>
      <c r="N50">
        <v>96</v>
      </c>
      <c r="O50" t="s">
        <v>41</v>
      </c>
      <c r="P50" t="s">
        <v>4181</v>
      </c>
    </row>
    <row r="51" spans="1:16" x14ac:dyDescent="0.35">
      <c r="A51" t="s">
        <v>2487</v>
      </c>
      <c r="B51" t="s">
        <v>2488</v>
      </c>
      <c r="C51" t="s">
        <v>84</v>
      </c>
      <c r="D51" t="s">
        <v>36</v>
      </c>
      <c r="E51" t="s">
        <v>4178</v>
      </c>
      <c r="F51" s="1">
        <v>42119</v>
      </c>
      <c r="G51">
        <v>2009</v>
      </c>
      <c r="H51" t="s">
        <v>21</v>
      </c>
      <c r="I51" t="s">
        <v>4234</v>
      </c>
      <c r="J51" t="s">
        <v>153</v>
      </c>
      <c r="K51">
        <v>4.7</v>
      </c>
      <c r="L51">
        <v>753435</v>
      </c>
      <c r="M51">
        <v>4581311</v>
      </c>
      <c r="N51">
        <v>97</v>
      </c>
      <c r="O51" t="s">
        <v>123</v>
      </c>
      <c r="P51" t="s">
        <v>4178</v>
      </c>
    </row>
    <row r="52" spans="1:16" x14ac:dyDescent="0.35">
      <c r="A52" t="s">
        <v>1743</v>
      </c>
      <c r="B52" t="s">
        <v>1744</v>
      </c>
      <c r="C52" t="s">
        <v>84</v>
      </c>
      <c r="D52" t="s">
        <v>61</v>
      </c>
      <c r="E52" t="s">
        <v>45</v>
      </c>
      <c r="F52" s="1">
        <v>42120</v>
      </c>
      <c r="G52">
        <v>2017</v>
      </c>
      <c r="H52" t="s">
        <v>21</v>
      </c>
      <c r="I52" t="s">
        <v>4309</v>
      </c>
      <c r="J52" t="s">
        <v>23</v>
      </c>
      <c r="K52">
        <v>6.7</v>
      </c>
      <c r="L52">
        <v>1917807</v>
      </c>
      <c r="M52">
        <v>4162483</v>
      </c>
      <c r="N52">
        <v>80</v>
      </c>
      <c r="O52" t="s">
        <v>65</v>
      </c>
      <c r="P52" t="s">
        <v>4178</v>
      </c>
    </row>
    <row r="53" spans="1:16" x14ac:dyDescent="0.35">
      <c r="A53" t="s">
        <v>2585</v>
      </c>
      <c r="B53" t="s">
        <v>2586</v>
      </c>
      <c r="C53" t="s">
        <v>84</v>
      </c>
      <c r="D53" t="s">
        <v>61</v>
      </c>
      <c r="E53" t="s">
        <v>113</v>
      </c>
      <c r="F53" s="1">
        <v>42120</v>
      </c>
      <c r="G53">
        <v>2003</v>
      </c>
      <c r="H53" t="s">
        <v>38</v>
      </c>
      <c r="I53" t="s">
        <v>4206</v>
      </c>
      <c r="J53" t="s">
        <v>57</v>
      </c>
      <c r="K53">
        <v>11.2</v>
      </c>
      <c r="L53">
        <v>1517249</v>
      </c>
      <c r="M53">
        <v>2615199</v>
      </c>
      <c r="N53">
        <v>64</v>
      </c>
      <c r="O53" t="s">
        <v>24</v>
      </c>
      <c r="P53" t="s">
        <v>4178</v>
      </c>
    </row>
    <row r="54" spans="1:16" x14ac:dyDescent="0.35">
      <c r="A54" t="s">
        <v>3277</v>
      </c>
      <c r="B54" t="s">
        <v>3278</v>
      </c>
      <c r="C54" t="s">
        <v>84</v>
      </c>
      <c r="D54" t="s">
        <v>4178</v>
      </c>
      <c r="E54" t="s">
        <v>99</v>
      </c>
      <c r="F54" s="1">
        <v>42123</v>
      </c>
      <c r="G54">
        <v>2025</v>
      </c>
      <c r="H54" t="s">
        <v>81</v>
      </c>
      <c r="I54" t="s">
        <v>4214</v>
      </c>
      <c r="J54" t="s">
        <v>103</v>
      </c>
      <c r="K54">
        <v>4.5999999999999996</v>
      </c>
      <c r="L54">
        <v>5187677</v>
      </c>
      <c r="M54">
        <v>3919596</v>
      </c>
      <c r="N54">
        <v>66</v>
      </c>
      <c r="O54" t="s">
        <v>104</v>
      </c>
      <c r="P54" t="s">
        <v>32</v>
      </c>
    </row>
    <row r="55" spans="1:16" x14ac:dyDescent="0.35">
      <c r="A55" t="s">
        <v>3721</v>
      </c>
      <c r="B55" t="s">
        <v>3722</v>
      </c>
      <c r="C55" t="s">
        <v>84</v>
      </c>
      <c r="D55" t="s">
        <v>61</v>
      </c>
      <c r="E55" t="s">
        <v>99</v>
      </c>
      <c r="F55" s="1">
        <v>42125</v>
      </c>
      <c r="G55">
        <v>2004</v>
      </c>
      <c r="H55" t="s">
        <v>81</v>
      </c>
      <c r="I55" t="s">
        <v>4189</v>
      </c>
      <c r="J55" t="s">
        <v>30</v>
      </c>
      <c r="K55">
        <v>7.6</v>
      </c>
      <c r="L55">
        <v>7015488</v>
      </c>
      <c r="M55">
        <v>2470424</v>
      </c>
      <c r="N55">
        <v>45</v>
      </c>
      <c r="O55" t="s">
        <v>91</v>
      </c>
      <c r="P55" t="s">
        <v>4181</v>
      </c>
    </row>
    <row r="56" spans="1:16" x14ac:dyDescent="0.35">
      <c r="A56" t="s">
        <v>2237</v>
      </c>
      <c r="B56" t="s">
        <v>2238</v>
      </c>
      <c r="C56" t="s">
        <v>53</v>
      </c>
      <c r="D56" t="s">
        <v>156</v>
      </c>
      <c r="E56" t="s">
        <v>45</v>
      </c>
      <c r="F56" s="1">
        <v>42127</v>
      </c>
      <c r="G56">
        <v>2010</v>
      </c>
      <c r="H56" t="s">
        <v>46</v>
      </c>
      <c r="I56" t="s">
        <v>71</v>
      </c>
      <c r="J56" t="s">
        <v>133</v>
      </c>
      <c r="K56">
        <v>6.9</v>
      </c>
      <c r="L56">
        <v>11838947</v>
      </c>
      <c r="M56">
        <v>487725</v>
      </c>
      <c r="N56">
        <v>67</v>
      </c>
      <c r="O56" t="s">
        <v>24</v>
      </c>
      <c r="P56" t="s">
        <v>4178</v>
      </c>
    </row>
    <row r="57" spans="1:16" x14ac:dyDescent="0.35">
      <c r="A57" t="s">
        <v>2902</v>
      </c>
      <c r="B57" t="s">
        <v>2903</v>
      </c>
      <c r="C57" t="s">
        <v>53</v>
      </c>
      <c r="D57" t="s">
        <v>75</v>
      </c>
      <c r="E57" t="s">
        <v>69</v>
      </c>
      <c r="F57" s="1">
        <v>42130</v>
      </c>
      <c r="G57">
        <v>2003</v>
      </c>
      <c r="H57" t="s">
        <v>21</v>
      </c>
      <c r="I57" t="s">
        <v>118</v>
      </c>
      <c r="J57" t="s">
        <v>23</v>
      </c>
      <c r="K57">
        <v>9.6999999999999993</v>
      </c>
      <c r="L57">
        <v>20366092</v>
      </c>
      <c r="M57">
        <v>82308</v>
      </c>
      <c r="N57">
        <v>120</v>
      </c>
      <c r="O57" t="s">
        <v>41</v>
      </c>
      <c r="P57" t="s">
        <v>4181</v>
      </c>
    </row>
    <row r="58" spans="1:16" x14ac:dyDescent="0.35">
      <c r="A58" t="s">
        <v>4127</v>
      </c>
      <c r="B58" t="s">
        <v>4128</v>
      </c>
      <c r="C58" t="s">
        <v>4178</v>
      </c>
      <c r="D58" t="s">
        <v>68</v>
      </c>
      <c r="E58" t="s">
        <v>4178</v>
      </c>
      <c r="F58" s="1">
        <v>42130</v>
      </c>
      <c r="G58">
        <v>2003</v>
      </c>
      <c r="H58" t="s">
        <v>107</v>
      </c>
      <c r="I58" t="s">
        <v>56</v>
      </c>
      <c r="J58" t="s">
        <v>30</v>
      </c>
      <c r="K58">
        <v>4.8</v>
      </c>
      <c r="L58">
        <v>523302</v>
      </c>
      <c r="M58">
        <v>3088430</v>
      </c>
      <c r="N58">
        <v>46</v>
      </c>
      <c r="O58" t="s">
        <v>58</v>
      </c>
      <c r="P58" t="s">
        <v>87</v>
      </c>
    </row>
    <row r="59" spans="1:16" x14ac:dyDescent="0.35">
      <c r="A59" t="s">
        <v>2093</v>
      </c>
      <c r="B59" t="s">
        <v>4341</v>
      </c>
      <c r="C59" t="s">
        <v>84</v>
      </c>
      <c r="D59" t="s">
        <v>19</v>
      </c>
      <c r="E59" t="s">
        <v>4196</v>
      </c>
      <c r="F59" s="1">
        <v>42132</v>
      </c>
      <c r="G59">
        <v>2023</v>
      </c>
      <c r="H59" t="s">
        <v>38</v>
      </c>
      <c r="I59" t="s">
        <v>4294</v>
      </c>
      <c r="J59" t="s">
        <v>57</v>
      </c>
      <c r="K59">
        <v>9.1999999999999993</v>
      </c>
      <c r="L59">
        <v>9024614</v>
      </c>
      <c r="M59">
        <v>3669507</v>
      </c>
      <c r="N59">
        <v>76</v>
      </c>
      <c r="O59" t="s">
        <v>31</v>
      </c>
      <c r="P59" t="s">
        <v>32</v>
      </c>
    </row>
    <row r="60" spans="1:16" x14ac:dyDescent="0.35">
      <c r="A60" t="s">
        <v>3648</v>
      </c>
      <c r="B60" t="s">
        <v>3649</v>
      </c>
      <c r="C60" t="s">
        <v>53</v>
      </c>
      <c r="D60" t="s">
        <v>4178</v>
      </c>
      <c r="E60" t="s">
        <v>80</v>
      </c>
      <c r="F60" s="1">
        <v>42142</v>
      </c>
      <c r="G60">
        <v>2005</v>
      </c>
      <c r="H60" t="s">
        <v>121</v>
      </c>
      <c r="I60" t="s">
        <v>136</v>
      </c>
      <c r="J60" t="s">
        <v>153</v>
      </c>
      <c r="K60">
        <v>6.2</v>
      </c>
      <c r="L60">
        <v>6971775</v>
      </c>
      <c r="M60">
        <v>4497218</v>
      </c>
      <c r="N60">
        <v>41</v>
      </c>
      <c r="O60" t="s">
        <v>58</v>
      </c>
      <c r="P60" t="s">
        <v>50</v>
      </c>
    </row>
    <row r="61" spans="1:16" x14ac:dyDescent="0.35">
      <c r="A61" t="s">
        <v>3567</v>
      </c>
      <c r="B61" t="s">
        <v>3568</v>
      </c>
      <c r="C61" t="s">
        <v>84</v>
      </c>
      <c r="D61" t="s">
        <v>54</v>
      </c>
      <c r="E61" t="s">
        <v>20</v>
      </c>
      <c r="F61" s="1">
        <v>42143</v>
      </c>
      <c r="G61">
        <v>2019</v>
      </c>
      <c r="H61" t="s">
        <v>85</v>
      </c>
      <c r="I61" t="s">
        <v>4185</v>
      </c>
      <c r="J61" t="s">
        <v>40</v>
      </c>
      <c r="K61">
        <v>9.4</v>
      </c>
      <c r="L61">
        <v>22279115</v>
      </c>
      <c r="M61">
        <v>1431706</v>
      </c>
      <c r="N61">
        <v>47</v>
      </c>
      <c r="O61" t="s">
        <v>104</v>
      </c>
      <c r="P61" t="s">
        <v>50</v>
      </c>
    </row>
    <row r="62" spans="1:16" x14ac:dyDescent="0.35">
      <c r="A62" t="s">
        <v>2006</v>
      </c>
      <c r="B62" t="s">
        <v>2007</v>
      </c>
      <c r="C62" t="s">
        <v>84</v>
      </c>
      <c r="D62" t="s">
        <v>90</v>
      </c>
      <c r="E62" t="s">
        <v>28</v>
      </c>
      <c r="F62" s="1">
        <v>42146</v>
      </c>
      <c r="G62">
        <v>2003</v>
      </c>
      <c r="H62" t="s">
        <v>21</v>
      </c>
      <c r="I62" t="s">
        <v>4287</v>
      </c>
      <c r="J62" t="s">
        <v>96</v>
      </c>
      <c r="K62">
        <v>4.7</v>
      </c>
      <c r="L62">
        <v>16483860</v>
      </c>
      <c r="M62">
        <v>2879994</v>
      </c>
      <c r="N62">
        <v>85</v>
      </c>
      <c r="O62" t="s">
        <v>91</v>
      </c>
      <c r="P62" t="s">
        <v>50</v>
      </c>
    </row>
    <row r="63" spans="1:16" x14ac:dyDescent="0.35">
      <c r="A63" t="s">
        <v>895</v>
      </c>
      <c r="B63" t="s">
        <v>896</v>
      </c>
      <c r="C63" t="s">
        <v>4178</v>
      </c>
      <c r="D63" t="s">
        <v>68</v>
      </c>
      <c r="E63" t="s">
        <v>69</v>
      </c>
      <c r="F63" s="1">
        <v>42151</v>
      </c>
      <c r="G63">
        <v>2003</v>
      </c>
      <c r="H63" t="s">
        <v>107</v>
      </c>
      <c r="I63" t="s">
        <v>56</v>
      </c>
      <c r="J63" t="s">
        <v>30</v>
      </c>
      <c r="K63">
        <v>5.0999999999999996</v>
      </c>
      <c r="L63">
        <v>19781938</v>
      </c>
      <c r="M63">
        <v>3533246</v>
      </c>
      <c r="N63">
        <v>61</v>
      </c>
      <c r="O63" t="s">
        <v>41</v>
      </c>
      <c r="P63" t="s">
        <v>32</v>
      </c>
    </row>
    <row r="64" spans="1:16" x14ac:dyDescent="0.35">
      <c r="A64" t="s">
        <v>3563</v>
      </c>
      <c r="B64" t="s">
        <v>3564</v>
      </c>
      <c r="C64" t="s">
        <v>4178</v>
      </c>
      <c r="D64" t="s">
        <v>75</v>
      </c>
      <c r="E64" t="s">
        <v>62</v>
      </c>
      <c r="F64" s="1">
        <v>42152</v>
      </c>
      <c r="G64">
        <v>2025</v>
      </c>
      <c r="H64" t="s">
        <v>85</v>
      </c>
      <c r="I64" t="s">
        <v>95</v>
      </c>
      <c r="J64" t="s">
        <v>57</v>
      </c>
      <c r="K64">
        <v>5.9</v>
      </c>
      <c r="L64">
        <v>9951298</v>
      </c>
      <c r="M64">
        <v>4072686</v>
      </c>
      <c r="N64">
        <v>69</v>
      </c>
      <c r="O64" t="s">
        <v>4178</v>
      </c>
      <c r="P64" t="s">
        <v>4178</v>
      </c>
    </row>
    <row r="65" spans="1:16" x14ac:dyDescent="0.35">
      <c r="A65" t="s">
        <v>4036</v>
      </c>
      <c r="B65" t="s">
        <v>4037</v>
      </c>
      <c r="C65" t="s">
        <v>4178</v>
      </c>
      <c r="D65" t="s">
        <v>19</v>
      </c>
      <c r="E65" t="s">
        <v>99</v>
      </c>
      <c r="F65" s="1">
        <v>42152</v>
      </c>
      <c r="G65">
        <v>2017</v>
      </c>
      <c r="H65" t="s">
        <v>107</v>
      </c>
      <c r="I65" t="s">
        <v>95</v>
      </c>
      <c r="J65" t="s">
        <v>72</v>
      </c>
      <c r="K65">
        <v>5.4</v>
      </c>
      <c r="L65">
        <v>4215881</v>
      </c>
      <c r="M65">
        <v>4174784</v>
      </c>
      <c r="N65">
        <v>41</v>
      </c>
      <c r="O65" t="s">
        <v>58</v>
      </c>
      <c r="P65" t="s">
        <v>4178</v>
      </c>
    </row>
    <row r="66" spans="1:16" x14ac:dyDescent="0.35">
      <c r="A66" t="s">
        <v>2422</v>
      </c>
      <c r="B66" t="s">
        <v>2423</v>
      </c>
      <c r="C66" t="s">
        <v>4178</v>
      </c>
      <c r="D66" t="s">
        <v>36</v>
      </c>
      <c r="E66" t="s">
        <v>131</v>
      </c>
      <c r="F66" s="1">
        <v>42153</v>
      </c>
      <c r="G66">
        <v>2017</v>
      </c>
      <c r="H66" t="s">
        <v>107</v>
      </c>
      <c r="I66" t="s">
        <v>4178</v>
      </c>
      <c r="J66" t="s">
        <v>48</v>
      </c>
      <c r="K66">
        <v>8.5</v>
      </c>
      <c r="L66">
        <v>6278755</v>
      </c>
      <c r="M66">
        <v>4696463</v>
      </c>
      <c r="N66">
        <v>60</v>
      </c>
      <c r="O66" t="s">
        <v>31</v>
      </c>
      <c r="P66" t="s">
        <v>4181</v>
      </c>
    </row>
    <row r="67" spans="1:16" x14ac:dyDescent="0.35">
      <c r="A67" t="s">
        <v>2332</v>
      </c>
      <c r="B67" t="s">
        <v>2333</v>
      </c>
      <c r="C67" t="s">
        <v>84</v>
      </c>
      <c r="D67" t="s">
        <v>4178</v>
      </c>
      <c r="E67" t="s">
        <v>4196</v>
      </c>
      <c r="F67" s="1">
        <v>42158</v>
      </c>
      <c r="G67">
        <v>2008</v>
      </c>
      <c r="H67" t="s">
        <v>121</v>
      </c>
      <c r="I67" t="s">
        <v>4275</v>
      </c>
      <c r="J67" t="s">
        <v>30</v>
      </c>
      <c r="K67">
        <v>6.9</v>
      </c>
      <c r="L67">
        <v>7859772</v>
      </c>
      <c r="M67">
        <v>363587</v>
      </c>
      <c r="N67">
        <v>54</v>
      </c>
      <c r="O67" t="s">
        <v>31</v>
      </c>
      <c r="P67" t="s">
        <v>50</v>
      </c>
    </row>
    <row r="68" spans="1:16" x14ac:dyDescent="0.35">
      <c r="A68" t="s">
        <v>2677</v>
      </c>
      <c r="B68" t="s">
        <v>2678</v>
      </c>
      <c r="C68" t="s">
        <v>84</v>
      </c>
      <c r="D68" t="s">
        <v>94</v>
      </c>
      <c r="E68" t="s">
        <v>37</v>
      </c>
      <c r="F68" s="1">
        <v>42159</v>
      </c>
      <c r="G68">
        <v>2005</v>
      </c>
      <c r="H68" t="s">
        <v>63</v>
      </c>
      <c r="I68" t="s">
        <v>4242</v>
      </c>
      <c r="J68" t="s">
        <v>23</v>
      </c>
      <c r="K68">
        <v>7.9</v>
      </c>
      <c r="L68">
        <v>13155121</v>
      </c>
      <c r="M68">
        <v>3882245</v>
      </c>
      <c r="N68">
        <v>60</v>
      </c>
      <c r="O68" t="s">
        <v>65</v>
      </c>
      <c r="P68" t="s">
        <v>50</v>
      </c>
    </row>
    <row r="69" spans="1:16" x14ac:dyDescent="0.35">
      <c r="A69" t="s">
        <v>3906</v>
      </c>
      <c r="B69" t="s">
        <v>3907</v>
      </c>
      <c r="C69" t="s">
        <v>53</v>
      </c>
      <c r="D69" t="s">
        <v>90</v>
      </c>
      <c r="E69" t="s">
        <v>4178</v>
      </c>
      <c r="F69" s="1">
        <v>42160</v>
      </c>
      <c r="G69">
        <v>2006</v>
      </c>
      <c r="H69" t="s">
        <v>38</v>
      </c>
      <c r="I69" t="s">
        <v>39</v>
      </c>
      <c r="J69" t="s">
        <v>153</v>
      </c>
      <c r="K69">
        <v>6.3</v>
      </c>
      <c r="L69">
        <v>14832670</v>
      </c>
      <c r="M69">
        <v>3868274</v>
      </c>
      <c r="N69">
        <v>74</v>
      </c>
      <c r="O69" t="s">
        <v>41</v>
      </c>
      <c r="P69" t="s">
        <v>87</v>
      </c>
    </row>
    <row r="70" spans="1:16" x14ac:dyDescent="0.35">
      <c r="A70" t="s">
        <v>732</v>
      </c>
      <c r="B70" t="s">
        <v>733</v>
      </c>
      <c r="C70" t="s">
        <v>84</v>
      </c>
      <c r="D70" t="s">
        <v>75</v>
      </c>
      <c r="E70" t="s">
        <v>113</v>
      </c>
      <c r="F70" s="1">
        <v>42163</v>
      </c>
      <c r="G70">
        <v>2011</v>
      </c>
      <c r="H70" t="s">
        <v>63</v>
      </c>
      <c r="I70" t="s">
        <v>4243</v>
      </c>
      <c r="J70" t="s">
        <v>133</v>
      </c>
      <c r="K70">
        <v>11.2</v>
      </c>
      <c r="L70">
        <v>7474259</v>
      </c>
      <c r="M70">
        <v>684603</v>
      </c>
      <c r="N70">
        <v>75</v>
      </c>
      <c r="O70" t="s">
        <v>31</v>
      </c>
      <c r="P70" t="s">
        <v>4178</v>
      </c>
    </row>
    <row r="71" spans="1:16" x14ac:dyDescent="0.35">
      <c r="A71" t="s">
        <v>1427</v>
      </c>
      <c r="B71" t="s">
        <v>1426</v>
      </c>
      <c r="C71" t="s">
        <v>84</v>
      </c>
      <c r="D71" t="s">
        <v>19</v>
      </c>
      <c r="E71" t="s">
        <v>99</v>
      </c>
      <c r="F71" s="1">
        <v>42163</v>
      </c>
      <c r="G71">
        <v>2006</v>
      </c>
      <c r="H71" t="s">
        <v>46</v>
      </c>
      <c r="I71" t="s">
        <v>4267</v>
      </c>
      <c r="J71" t="s">
        <v>72</v>
      </c>
      <c r="K71">
        <v>7.4</v>
      </c>
      <c r="L71">
        <v>21691448</v>
      </c>
      <c r="M71">
        <v>4772925</v>
      </c>
      <c r="N71">
        <v>49</v>
      </c>
      <c r="O71" t="s">
        <v>65</v>
      </c>
      <c r="P71" t="s">
        <v>50</v>
      </c>
    </row>
    <row r="72" spans="1:16" x14ac:dyDescent="0.35">
      <c r="A72" t="s">
        <v>1758</v>
      </c>
      <c r="B72" t="s">
        <v>1759</v>
      </c>
      <c r="C72" t="s">
        <v>84</v>
      </c>
      <c r="D72" t="s">
        <v>61</v>
      </c>
      <c r="E72" t="s">
        <v>80</v>
      </c>
      <c r="F72" s="1">
        <v>42163</v>
      </c>
      <c r="G72">
        <v>2008</v>
      </c>
      <c r="H72" t="s">
        <v>38</v>
      </c>
      <c r="I72" t="s">
        <v>4297</v>
      </c>
      <c r="J72" t="s">
        <v>153</v>
      </c>
      <c r="K72">
        <v>6.3</v>
      </c>
      <c r="L72">
        <v>17991357</v>
      </c>
      <c r="M72">
        <v>4827131</v>
      </c>
      <c r="N72">
        <v>78</v>
      </c>
      <c r="O72" t="s">
        <v>123</v>
      </c>
      <c r="P72" t="s">
        <v>4181</v>
      </c>
    </row>
    <row r="73" spans="1:16" x14ac:dyDescent="0.35">
      <c r="A73" t="s">
        <v>3224</v>
      </c>
      <c r="B73" t="s">
        <v>3225</v>
      </c>
      <c r="C73" t="s">
        <v>53</v>
      </c>
      <c r="D73" t="s">
        <v>90</v>
      </c>
      <c r="E73" t="s">
        <v>131</v>
      </c>
      <c r="F73" s="1">
        <v>42169</v>
      </c>
      <c r="G73">
        <v>2013</v>
      </c>
      <c r="H73" t="s">
        <v>107</v>
      </c>
      <c r="I73" t="s">
        <v>71</v>
      </c>
      <c r="J73" t="s">
        <v>72</v>
      </c>
      <c r="K73">
        <v>8.1999999999999993</v>
      </c>
      <c r="L73">
        <v>7054279</v>
      </c>
      <c r="M73">
        <v>2747427</v>
      </c>
      <c r="N73">
        <v>70</v>
      </c>
      <c r="O73" t="s">
        <v>123</v>
      </c>
      <c r="P73" t="s">
        <v>87</v>
      </c>
    </row>
    <row r="74" spans="1:16" x14ac:dyDescent="0.35">
      <c r="A74" t="s">
        <v>3804</v>
      </c>
      <c r="B74" t="s">
        <v>3805</v>
      </c>
      <c r="C74" t="s">
        <v>84</v>
      </c>
      <c r="D74" t="s">
        <v>75</v>
      </c>
      <c r="E74" t="s">
        <v>20</v>
      </c>
      <c r="F74" s="1">
        <v>42169</v>
      </c>
      <c r="G74">
        <v>2025</v>
      </c>
      <c r="H74" t="s">
        <v>38</v>
      </c>
      <c r="I74" t="s">
        <v>4297</v>
      </c>
      <c r="J74" t="s">
        <v>133</v>
      </c>
      <c r="K74">
        <v>7.2</v>
      </c>
      <c r="L74">
        <v>3968966</v>
      </c>
      <c r="M74">
        <v>1370206</v>
      </c>
      <c r="N74">
        <v>42</v>
      </c>
      <c r="O74" t="s">
        <v>49</v>
      </c>
      <c r="P74" t="s">
        <v>32</v>
      </c>
    </row>
    <row r="75" spans="1:16" x14ac:dyDescent="0.35">
      <c r="A75" t="s">
        <v>1796</v>
      </c>
      <c r="B75" t="s">
        <v>1797</v>
      </c>
      <c r="C75" t="s">
        <v>84</v>
      </c>
      <c r="D75" t="s">
        <v>75</v>
      </c>
      <c r="E75" t="s">
        <v>20</v>
      </c>
      <c r="F75" s="1">
        <v>42172</v>
      </c>
      <c r="G75">
        <v>2024</v>
      </c>
      <c r="H75" t="s">
        <v>107</v>
      </c>
      <c r="I75" t="s">
        <v>4286</v>
      </c>
      <c r="J75" t="s">
        <v>72</v>
      </c>
      <c r="K75">
        <v>6.4</v>
      </c>
      <c r="L75">
        <v>1207989</v>
      </c>
      <c r="M75">
        <v>1662965</v>
      </c>
      <c r="N75">
        <v>72</v>
      </c>
      <c r="O75" t="s">
        <v>91</v>
      </c>
      <c r="P75" t="s">
        <v>32</v>
      </c>
    </row>
    <row r="76" spans="1:16" x14ac:dyDescent="0.35">
      <c r="A76" t="s">
        <v>3954</v>
      </c>
      <c r="B76" t="s">
        <v>3955</v>
      </c>
      <c r="C76" t="s">
        <v>4178</v>
      </c>
      <c r="D76" t="s">
        <v>61</v>
      </c>
      <c r="E76" t="s">
        <v>113</v>
      </c>
      <c r="F76" s="1">
        <v>42173</v>
      </c>
      <c r="G76">
        <v>2021</v>
      </c>
      <c r="H76" t="s">
        <v>4178</v>
      </c>
      <c r="I76" t="s">
        <v>162</v>
      </c>
      <c r="J76" t="s">
        <v>96</v>
      </c>
      <c r="K76">
        <v>7.7</v>
      </c>
      <c r="L76">
        <v>20350514</v>
      </c>
      <c r="M76">
        <v>2510093</v>
      </c>
      <c r="N76">
        <v>75</v>
      </c>
      <c r="O76" t="s">
        <v>49</v>
      </c>
      <c r="P76" t="s">
        <v>87</v>
      </c>
    </row>
    <row r="77" spans="1:16" x14ac:dyDescent="0.35">
      <c r="A77" t="s">
        <v>1365</v>
      </c>
      <c r="B77" t="s">
        <v>1366</v>
      </c>
      <c r="C77" t="s">
        <v>4178</v>
      </c>
      <c r="D77" t="s">
        <v>19</v>
      </c>
      <c r="E77" t="s">
        <v>62</v>
      </c>
      <c r="F77" s="1">
        <v>42177</v>
      </c>
      <c r="G77">
        <v>2003</v>
      </c>
      <c r="H77" t="s">
        <v>21</v>
      </c>
      <c r="I77" t="s">
        <v>71</v>
      </c>
      <c r="J77" t="s">
        <v>103</v>
      </c>
      <c r="K77">
        <v>8.6</v>
      </c>
      <c r="L77">
        <v>13670383</v>
      </c>
      <c r="M77">
        <v>24283</v>
      </c>
      <c r="N77">
        <v>49</v>
      </c>
      <c r="O77" t="s">
        <v>58</v>
      </c>
      <c r="P77" t="s">
        <v>50</v>
      </c>
    </row>
    <row r="78" spans="1:16" x14ac:dyDescent="0.35">
      <c r="A78" t="s">
        <v>1611</v>
      </c>
      <c r="B78" t="s">
        <v>1612</v>
      </c>
      <c r="C78" t="s">
        <v>84</v>
      </c>
      <c r="D78" t="s">
        <v>68</v>
      </c>
      <c r="E78" t="s">
        <v>131</v>
      </c>
      <c r="F78" s="1">
        <v>42179</v>
      </c>
      <c r="G78">
        <v>2005</v>
      </c>
      <c r="H78" t="s">
        <v>46</v>
      </c>
      <c r="I78" t="s">
        <v>4309</v>
      </c>
      <c r="J78" t="s">
        <v>4178</v>
      </c>
      <c r="K78">
        <v>5.5</v>
      </c>
      <c r="L78">
        <v>12535454</v>
      </c>
      <c r="M78">
        <v>4584613</v>
      </c>
      <c r="N78">
        <v>70</v>
      </c>
      <c r="O78" t="s">
        <v>65</v>
      </c>
      <c r="P78" t="s">
        <v>4178</v>
      </c>
    </row>
    <row r="79" spans="1:16" x14ac:dyDescent="0.35">
      <c r="A79" t="s">
        <v>1615</v>
      </c>
      <c r="B79" t="s">
        <v>1616</v>
      </c>
      <c r="C79" t="s">
        <v>84</v>
      </c>
      <c r="D79" t="s">
        <v>68</v>
      </c>
      <c r="E79" t="s">
        <v>55</v>
      </c>
      <c r="F79" s="1">
        <v>42179</v>
      </c>
      <c r="G79">
        <v>2005</v>
      </c>
      <c r="H79" t="s">
        <v>121</v>
      </c>
      <c r="I79" t="s">
        <v>4216</v>
      </c>
      <c r="J79" t="s">
        <v>48</v>
      </c>
      <c r="K79">
        <v>7.2</v>
      </c>
      <c r="L79">
        <v>8490152</v>
      </c>
      <c r="M79">
        <v>4119602</v>
      </c>
      <c r="N79">
        <v>84</v>
      </c>
      <c r="O79" t="s">
        <v>91</v>
      </c>
      <c r="P79" t="s">
        <v>50</v>
      </c>
    </row>
    <row r="80" spans="1:16" x14ac:dyDescent="0.35">
      <c r="A80" t="s">
        <v>1860</v>
      </c>
      <c r="B80" t="s">
        <v>1861</v>
      </c>
      <c r="C80" t="s">
        <v>84</v>
      </c>
      <c r="D80" t="s">
        <v>4178</v>
      </c>
      <c r="E80" t="s">
        <v>4178</v>
      </c>
      <c r="F80" s="1">
        <v>42179</v>
      </c>
      <c r="G80">
        <v>2000</v>
      </c>
      <c r="H80" t="s">
        <v>81</v>
      </c>
      <c r="I80" t="s">
        <v>4321</v>
      </c>
      <c r="J80" t="s">
        <v>133</v>
      </c>
      <c r="K80">
        <v>8.1999999999999993</v>
      </c>
      <c r="L80">
        <v>2567630</v>
      </c>
      <c r="M80">
        <v>1757799</v>
      </c>
      <c r="N80">
        <v>50</v>
      </c>
      <c r="O80" t="s">
        <v>104</v>
      </c>
      <c r="P80" t="s">
        <v>4181</v>
      </c>
    </row>
    <row r="81" spans="1:16" x14ac:dyDescent="0.35">
      <c r="A81" t="s">
        <v>2026</v>
      </c>
      <c r="B81" t="s">
        <v>2027</v>
      </c>
      <c r="C81" t="s">
        <v>84</v>
      </c>
      <c r="D81" t="s">
        <v>4178</v>
      </c>
      <c r="E81" t="s">
        <v>4178</v>
      </c>
      <c r="F81" s="1">
        <v>42181</v>
      </c>
      <c r="G81">
        <v>2018</v>
      </c>
      <c r="H81" t="s">
        <v>107</v>
      </c>
      <c r="I81" t="s">
        <v>4284</v>
      </c>
      <c r="J81" t="s">
        <v>133</v>
      </c>
      <c r="K81">
        <v>8.1</v>
      </c>
      <c r="L81">
        <v>4437264</v>
      </c>
      <c r="M81">
        <v>2167265</v>
      </c>
      <c r="N81">
        <v>86</v>
      </c>
      <c r="O81" t="s">
        <v>65</v>
      </c>
      <c r="P81" t="s">
        <v>50</v>
      </c>
    </row>
    <row r="82" spans="1:16" x14ac:dyDescent="0.35">
      <c r="A82" t="s">
        <v>1174</v>
      </c>
      <c r="B82" t="s">
        <v>1175</v>
      </c>
      <c r="C82" t="s">
        <v>84</v>
      </c>
      <c r="D82" t="s">
        <v>156</v>
      </c>
      <c r="E82" t="s">
        <v>4178</v>
      </c>
      <c r="F82" s="1">
        <v>42189</v>
      </c>
      <c r="G82">
        <v>2016</v>
      </c>
      <c r="H82" t="s">
        <v>107</v>
      </c>
      <c r="I82" t="s">
        <v>4292</v>
      </c>
      <c r="J82" t="s">
        <v>48</v>
      </c>
      <c r="K82">
        <v>5.5</v>
      </c>
      <c r="L82">
        <v>13804259</v>
      </c>
      <c r="M82">
        <v>589672</v>
      </c>
      <c r="N82">
        <v>93</v>
      </c>
      <c r="O82" t="s">
        <v>41</v>
      </c>
      <c r="P82" t="s">
        <v>32</v>
      </c>
    </row>
    <row r="83" spans="1:16" x14ac:dyDescent="0.35">
      <c r="A83" t="s">
        <v>2850</v>
      </c>
      <c r="B83" t="s">
        <v>2851</v>
      </c>
      <c r="C83" t="s">
        <v>84</v>
      </c>
      <c r="D83" t="s">
        <v>36</v>
      </c>
      <c r="E83" t="s">
        <v>4178</v>
      </c>
      <c r="F83" s="1">
        <v>42189</v>
      </c>
      <c r="G83">
        <v>2025</v>
      </c>
      <c r="H83" t="s">
        <v>114</v>
      </c>
      <c r="I83" t="s">
        <v>4281</v>
      </c>
      <c r="J83" t="s">
        <v>96</v>
      </c>
      <c r="K83">
        <v>6.4</v>
      </c>
      <c r="L83">
        <v>16669266</v>
      </c>
      <c r="M83">
        <v>3638274</v>
      </c>
      <c r="N83">
        <v>94</v>
      </c>
      <c r="O83" t="s">
        <v>24</v>
      </c>
      <c r="P83" t="s">
        <v>87</v>
      </c>
    </row>
    <row r="84" spans="1:16" x14ac:dyDescent="0.35">
      <c r="A84" t="s">
        <v>1559</v>
      </c>
      <c r="B84" t="s">
        <v>1560</v>
      </c>
      <c r="C84" t="s">
        <v>53</v>
      </c>
      <c r="D84" t="s">
        <v>61</v>
      </c>
      <c r="E84" t="s">
        <v>45</v>
      </c>
      <c r="F84" s="1">
        <v>42191</v>
      </c>
      <c r="G84">
        <v>2024</v>
      </c>
      <c r="H84" t="s">
        <v>121</v>
      </c>
      <c r="I84" t="s">
        <v>136</v>
      </c>
      <c r="J84" t="s">
        <v>103</v>
      </c>
      <c r="K84">
        <v>8.9</v>
      </c>
      <c r="L84">
        <v>7264137</v>
      </c>
      <c r="M84">
        <v>2689505</v>
      </c>
      <c r="N84">
        <v>86</v>
      </c>
      <c r="O84" t="s">
        <v>24</v>
      </c>
      <c r="P84" t="s">
        <v>32</v>
      </c>
    </row>
    <row r="85" spans="1:16" x14ac:dyDescent="0.35">
      <c r="A85" t="s">
        <v>2219</v>
      </c>
      <c r="B85" t="s">
        <v>2220</v>
      </c>
      <c r="C85" t="s">
        <v>53</v>
      </c>
      <c r="D85" t="s">
        <v>90</v>
      </c>
      <c r="E85" t="s">
        <v>37</v>
      </c>
      <c r="F85" s="1">
        <v>42192</v>
      </c>
      <c r="G85">
        <v>2015</v>
      </c>
      <c r="H85" t="s">
        <v>81</v>
      </c>
      <c r="I85" t="s">
        <v>71</v>
      </c>
      <c r="J85" t="s">
        <v>96</v>
      </c>
      <c r="K85">
        <v>8.3000000000000007</v>
      </c>
      <c r="L85">
        <v>15713261</v>
      </c>
      <c r="M85">
        <v>4356555</v>
      </c>
      <c r="N85">
        <v>46</v>
      </c>
      <c r="O85" t="s">
        <v>49</v>
      </c>
      <c r="P85" t="s">
        <v>4181</v>
      </c>
    </row>
    <row r="86" spans="1:16" x14ac:dyDescent="0.35">
      <c r="A86" t="s">
        <v>2493</v>
      </c>
      <c r="B86" t="s">
        <v>2494</v>
      </c>
      <c r="C86" t="s">
        <v>84</v>
      </c>
      <c r="D86" t="s">
        <v>90</v>
      </c>
      <c r="E86" t="s">
        <v>20</v>
      </c>
      <c r="F86" s="1">
        <v>42195</v>
      </c>
      <c r="G86">
        <v>2025</v>
      </c>
      <c r="H86" t="s">
        <v>107</v>
      </c>
      <c r="I86" t="s">
        <v>4209</v>
      </c>
      <c r="J86" t="s">
        <v>4178</v>
      </c>
      <c r="K86">
        <v>6.5</v>
      </c>
      <c r="L86">
        <v>15926570</v>
      </c>
      <c r="M86">
        <v>923908</v>
      </c>
      <c r="N86">
        <v>69</v>
      </c>
      <c r="O86" t="s">
        <v>65</v>
      </c>
      <c r="P86" t="s">
        <v>32</v>
      </c>
    </row>
    <row r="87" spans="1:16" x14ac:dyDescent="0.35">
      <c r="A87" t="s">
        <v>2036</v>
      </c>
      <c r="B87" t="s">
        <v>2037</v>
      </c>
      <c r="C87" t="s">
        <v>53</v>
      </c>
      <c r="D87" t="s">
        <v>4178</v>
      </c>
      <c r="E87" t="s">
        <v>37</v>
      </c>
      <c r="F87" s="1">
        <v>42197</v>
      </c>
      <c r="G87">
        <v>2010</v>
      </c>
      <c r="H87" t="s">
        <v>38</v>
      </c>
      <c r="I87" t="s">
        <v>56</v>
      </c>
      <c r="J87" t="s">
        <v>96</v>
      </c>
      <c r="K87">
        <v>5.9</v>
      </c>
      <c r="L87">
        <v>8049591</v>
      </c>
      <c r="M87">
        <v>2470601</v>
      </c>
      <c r="N87">
        <v>45</v>
      </c>
      <c r="O87" t="s">
        <v>41</v>
      </c>
      <c r="P87" t="s">
        <v>4178</v>
      </c>
    </row>
    <row r="88" spans="1:16" x14ac:dyDescent="0.35">
      <c r="A88" t="s">
        <v>1172</v>
      </c>
      <c r="B88" t="s">
        <v>1173</v>
      </c>
      <c r="C88" t="s">
        <v>53</v>
      </c>
      <c r="D88" t="s">
        <v>4178</v>
      </c>
      <c r="E88" t="s">
        <v>80</v>
      </c>
      <c r="F88" s="1">
        <v>42199</v>
      </c>
      <c r="G88">
        <v>2016</v>
      </c>
      <c r="H88" t="s">
        <v>85</v>
      </c>
      <c r="I88" t="s">
        <v>162</v>
      </c>
      <c r="J88" t="s">
        <v>57</v>
      </c>
      <c r="K88">
        <v>5.7</v>
      </c>
      <c r="L88">
        <v>19069893</v>
      </c>
      <c r="M88">
        <v>4687025</v>
      </c>
      <c r="N88">
        <v>86</v>
      </c>
      <c r="O88" t="s">
        <v>4178</v>
      </c>
      <c r="P88" t="s">
        <v>4181</v>
      </c>
    </row>
    <row r="89" spans="1:16" x14ac:dyDescent="0.35">
      <c r="A89" t="s">
        <v>3317</v>
      </c>
      <c r="B89" t="s">
        <v>3318</v>
      </c>
      <c r="C89" t="s">
        <v>84</v>
      </c>
      <c r="D89" t="s">
        <v>68</v>
      </c>
      <c r="E89" t="s">
        <v>45</v>
      </c>
      <c r="F89" s="1">
        <v>42199</v>
      </c>
      <c r="G89">
        <v>2017</v>
      </c>
      <c r="H89" t="s">
        <v>114</v>
      </c>
      <c r="I89" t="s">
        <v>4208</v>
      </c>
      <c r="J89" t="s">
        <v>96</v>
      </c>
      <c r="K89">
        <v>9.4</v>
      </c>
      <c r="L89">
        <v>747525</v>
      </c>
      <c r="M89">
        <v>1678280</v>
      </c>
      <c r="N89">
        <v>59</v>
      </c>
      <c r="O89" t="s">
        <v>4178</v>
      </c>
      <c r="P89" t="s">
        <v>4178</v>
      </c>
    </row>
    <row r="90" spans="1:16" x14ac:dyDescent="0.35">
      <c r="A90" t="s">
        <v>2621</v>
      </c>
      <c r="B90" t="s">
        <v>2622</v>
      </c>
      <c r="C90" t="s">
        <v>4178</v>
      </c>
      <c r="D90" t="s">
        <v>94</v>
      </c>
      <c r="E90" t="s">
        <v>131</v>
      </c>
      <c r="F90" s="1">
        <v>42201</v>
      </c>
      <c r="G90">
        <v>2022</v>
      </c>
      <c r="H90" t="s">
        <v>38</v>
      </c>
      <c r="I90" t="s">
        <v>64</v>
      </c>
      <c r="J90" t="s">
        <v>133</v>
      </c>
      <c r="K90">
        <v>7.2</v>
      </c>
      <c r="L90">
        <v>9150001</v>
      </c>
      <c r="M90">
        <v>1012717</v>
      </c>
      <c r="N90">
        <v>56</v>
      </c>
      <c r="O90" t="s">
        <v>41</v>
      </c>
      <c r="P90" t="s">
        <v>50</v>
      </c>
    </row>
    <row r="91" spans="1:16" x14ac:dyDescent="0.35">
      <c r="A91" t="s">
        <v>959</v>
      </c>
      <c r="B91" t="s">
        <v>960</v>
      </c>
      <c r="C91" t="s">
        <v>53</v>
      </c>
      <c r="D91" t="s">
        <v>54</v>
      </c>
      <c r="E91" t="s">
        <v>131</v>
      </c>
      <c r="F91" s="1">
        <v>42206</v>
      </c>
      <c r="G91">
        <v>2006</v>
      </c>
      <c r="H91" t="s">
        <v>85</v>
      </c>
      <c r="I91" t="s">
        <v>39</v>
      </c>
      <c r="J91" t="s">
        <v>30</v>
      </c>
      <c r="K91">
        <v>6.2</v>
      </c>
      <c r="L91">
        <v>19508257</v>
      </c>
      <c r="M91">
        <v>1223545</v>
      </c>
      <c r="N91">
        <v>71</v>
      </c>
      <c r="O91" t="s">
        <v>123</v>
      </c>
      <c r="P91" t="s">
        <v>4181</v>
      </c>
    </row>
    <row r="92" spans="1:16" x14ac:dyDescent="0.35">
      <c r="A92" t="s">
        <v>2408</v>
      </c>
      <c r="B92" t="s">
        <v>2409</v>
      </c>
      <c r="C92" t="s">
        <v>53</v>
      </c>
      <c r="D92" t="s">
        <v>19</v>
      </c>
      <c r="E92" t="s">
        <v>99</v>
      </c>
      <c r="F92" s="1">
        <v>42206</v>
      </c>
      <c r="G92">
        <v>2014</v>
      </c>
      <c r="H92" t="s">
        <v>107</v>
      </c>
      <c r="I92" t="s">
        <v>162</v>
      </c>
      <c r="J92" t="s">
        <v>96</v>
      </c>
      <c r="K92">
        <v>9.5</v>
      </c>
      <c r="L92">
        <v>9014162</v>
      </c>
      <c r="M92">
        <v>1533954</v>
      </c>
      <c r="N92">
        <v>66</v>
      </c>
      <c r="O92" t="s">
        <v>91</v>
      </c>
      <c r="P92" t="s">
        <v>50</v>
      </c>
    </row>
    <row r="93" spans="1:16" x14ac:dyDescent="0.35">
      <c r="A93" t="s">
        <v>3417</v>
      </c>
      <c r="B93" t="s">
        <v>3418</v>
      </c>
      <c r="C93" t="s">
        <v>84</v>
      </c>
      <c r="D93" t="s">
        <v>156</v>
      </c>
      <c r="E93" t="s">
        <v>80</v>
      </c>
      <c r="F93" s="1">
        <v>42208</v>
      </c>
      <c r="G93">
        <v>2015</v>
      </c>
      <c r="H93" t="s">
        <v>85</v>
      </c>
      <c r="I93" t="s">
        <v>4276</v>
      </c>
      <c r="J93" t="s">
        <v>48</v>
      </c>
      <c r="K93">
        <v>6.2</v>
      </c>
      <c r="L93">
        <v>17157249</v>
      </c>
      <c r="M93">
        <v>3258241</v>
      </c>
      <c r="N93">
        <v>66</v>
      </c>
      <c r="O93" t="s">
        <v>58</v>
      </c>
      <c r="P93" t="s">
        <v>32</v>
      </c>
    </row>
    <row r="94" spans="1:16" x14ac:dyDescent="0.35">
      <c r="A94" t="s">
        <v>4069</v>
      </c>
      <c r="B94" t="s">
        <v>4070</v>
      </c>
      <c r="C94" t="s">
        <v>4178</v>
      </c>
      <c r="D94" t="s">
        <v>94</v>
      </c>
      <c r="E94" t="s">
        <v>4196</v>
      </c>
      <c r="F94" s="1">
        <v>42209</v>
      </c>
      <c r="G94">
        <v>2017</v>
      </c>
      <c r="H94" t="s">
        <v>107</v>
      </c>
      <c r="I94" t="s">
        <v>56</v>
      </c>
      <c r="J94" t="s">
        <v>30</v>
      </c>
      <c r="K94">
        <v>6.2</v>
      </c>
      <c r="L94">
        <v>23136641</v>
      </c>
      <c r="M94">
        <v>2960387</v>
      </c>
      <c r="N94">
        <v>79</v>
      </c>
      <c r="O94" t="s">
        <v>91</v>
      </c>
      <c r="P94" t="s">
        <v>4178</v>
      </c>
    </row>
    <row r="95" spans="1:16" x14ac:dyDescent="0.35">
      <c r="A95" t="s">
        <v>2014</v>
      </c>
      <c r="B95" t="s">
        <v>2015</v>
      </c>
      <c r="C95" t="s">
        <v>4178</v>
      </c>
      <c r="D95" t="s">
        <v>4178</v>
      </c>
      <c r="E95" t="s">
        <v>4178</v>
      </c>
      <c r="F95" s="1">
        <v>42210</v>
      </c>
      <c r="G95">
        <v>2026</v>
      </c>
      <c r="H95" t="s">
        <v>46</v>
      </c>
      <c r="I95" t="s">
        <v>136</v>
      </c>
      <c r="J95" t="s">
        <v>133</v>
      </c>
      <c r="K95">
        <v>6.6</v>
      </c>
      <c r="L95">
        <v>1272641</v>
      </c>
      <c r="M95">
        <v>252957</v>
      </c>
      <c r="N95">
        <v>45</v>
      </c>
      <c r="O95" t="s">
        <v>49</v>
      </c>
      <c r="P95" t="s">
        <v>4181</v>
      </c>
    </row>
    <row r="96" spans="1:16" x14ac:dyDescent="0.35">
      <c r="A96" t="s">
        <v>3775</v>
      </c>
      <c r="B96" t="s">
        <v>3776</v>
      </c>
      <c r="C96" t="s">
        <v>4178</v>
      </c>
      <c r="D96" t="s">
        <v>27</v>
      </c>
      <c r="E96" t="s">
        <v>28</v>
      </c>
      <c r="F96" s="1">
        <v>42211</v>
      </c>
      <c r="G96">
        <v>2018</v>
      </c>
      <c r="H96" t="s">
        <v>4178</v>
      </c>
      <c r="I96" t="s">
        <v>136</v>
      </c>
      <c r="J96" t="s">
        <v>103</v>
      </c>
      <c r="K96">
        <v>7.1</v>
      </c>
      <c r="L96">
        <v>1628385</v>
      </c>
      <c r="M96">
        <v>1879613</v>
      </c>
      <c r="N96">
        <v>53</v>
      </c>
      <c r="O96" t="s">
        <v>65</v>
      </c>
      <c r="P96" t="s">
        <v>4178</v>
      </c>
    </row>
    <row r="97" spans="1:16" x14ac:dyDescent="0.35">
      <c r="A97" t="s">
        <v>1127</v>
      </c>
      <c r="B97" t="s">
        <v>1128</v>
      </c>
      <c r="C97" t="s">
        <v>53</v>
      </c>
      <c r="D97" t="s">
        <v>36</v>
      </c>
      <c r="E97" t="s">
        <v>131</v>
      </c>
      <c r="F97" s="1">
        <v>42212</v>
      </c>
      <c r="G97">
        <v>2018</v>
      </c>
      <c r="H97" t="s">
        <v>107</v>
      </c>
      <c r="I97" t="s">
        <v>162</v>
      </c>
      <c r="J97" t="s">
        <v>133</v>
      </c>
      <c r="K97">
        <v>6.8</v>
      </c>
      <c r="L97">
        <v>19434219</v>
      </c>
      <c r="M97">
        <v>3897593</v>
      </c>
      <c r="N97">
        <v>49</v>
      </c>
      <c r="O97" t="s">
        <v>4178</v>
      </c>
      <c r="P97" t="s">
        <v>4181</v>
      </c>
    </row>
    <row r="98" spans="1:16" x14ac:dyDescent="0.35">
      <c r="A98" t="s">
        <v>1698</v>
      </c>
      <c r="B98" t="s">
        <v>1699</v>
      </c>
      <c r="C98" t="s">
        <v>84</v>
      </c>
      <c r="D98" t="s">
        <v>75</v>
      </c>
      <c r="E98" t="s">
        <v>80</v>
      </c>
      <c r="F98" s="1">
        <v>42213</v>
      </c>
      <c r="G98">
        <v>2008</v>
      </c>
      <c r="H98" t="s">
        <v>114</v>
      </c>
      <c r="I98" t="s">
        <v>4242</v>
      </c>
      <c r="J98" t="s">
        <v>40</v>
      </c>
      <c r="K98">
        <v>8</v>
      </c>
      <c r="L98">
        <v>10875396</v>
      </c>
      <c r="M98">
        <v>997598</v>
      </c>
      <c r="N98">
        <v>47</v>
      </c>
      <c r="O98" t="s">
        <v>65</v>
      </c>
      <c r="P98" t="s">
        <v>4178</v>
      </c>
    </row>
    <row r="99" spans="1:16" x14ac:dyDescent="0.35">
      <c r="A99" t="s">
        <v>3470</v>
      </c>
      <c r="B99" t="s">
        <v>4380</v>
      </c>
      <c r="C99" t="s">
        <v>53</v>
      </c>
      <c r="D99" t="s">
        <v>36</v>
      </c>
      <c r="E99" t="s">
        <v>62</v>
      </c>
      <c r="F99" s="1">
        <v>42213</v>
      </c>
      <c r="G99">
        <v>2013</v>
      </c>
      <c r="H99" t="s">
        <v>21</v>
      </c>
      <c r="I99" t="s">
        <v>118</v>
      </c>
      <c r="J99" t="s">
        <v>40</v>
      </c>
      <c r="K99">
        <v>5.8</v>
      </c>
      <c r="L99">
        <v>1645024</v>
      </c>
      <c r="M99">
        <v>1335384</v>
      </c>
      <c r="N99">
        <v>52</v>
      </c>
      <c r="O99" t="s">
        <v>65</v>
      </c>
      <c r="P99" t="s">
        <v>32</v>
      </c>
    </row>
    <row r="100" spans="1:16" x14ac:dyDescent="0.35">
      <c r="A100" t="s">
        <v>2577</v>
      </c>
      <c r="B100" t="s">
        <v>4360</v>
      </c>
      <c r="C100" t="s">
        <v>4178</v>
      </c>
      <c r="D100" t="s">
        <v>4178</v>
      </c>
      <c r="E100" t="s">
        <v>99</v>
      </c>
      <c r="F100" s="1">
        <v>42214</v>
      </c>
      <c r="G100">
        <v>2018</v>
      </c>
      <c r="H100" t="s">
        <v>21</v>
      </c>
      <c r="I100" t="s">
        <v>136</v>
      </c>
      <c r="J100" t="s">
        <v>23</v>
      </c>
      <c r="K100">
        <v>6.6</v>
      </c>
      <c r="L100">
        <v>17578256</v>
      </c>
      <c r="M100">
        <v>1871950</v>
      </c>
      <c r="N100">
        <v>75</v>
      </c>
      <c r="O100" t="s">
        <v>4178</v>
      </c>
      <c r="P100" t="s">
        <v>4178</v>
      </c>
    </row>
    <row r="101" spans="1:16" x14ac:dyDescent="0.35">
      <c r="A101" t="s">
        <v>1737</v>
      </c>
      <c r="B101" t="s">
        <v>1738</v>
      </c>
      <c r="C101" t="s">
        <v>84</v>
      </c>
      <c r="D101" t="s">
        <v>94</v>
      </c>
      <c r="E101" t="s">
        <v>113</v>
      </c>
      <c r="F101" s="1">
        <v>42215</v>
      </c>
      <c r="G101">
        <v>2023</v>
      </c>
      <c r="H101" t="s">
        <v>4178</v>
      </c>
      <c r="I101" t="s">
        <v>4211</v>
      </c>
      <c r="J101" t="s">
        <v>23</v>
      </c>
      <c r="K101">
        <v>6.7</v>
      </c>
      <c r="L101">
        <v>11243709</v>
      </c>
      <c r="M101">
        <v>1329549</v>
      </c>
      <c r="N101">
        <v>96</v>
      </c>
      <c r="O101" t="s">
        <v>31</v>
      </c>
      <c r="P101" t="s">
        <v>87</v>
      </c>
    </row>
    <row r="102" spans="1:16" x14ac:dyDescent="0.35">
      <c r="A102" t="s">
        <v>3373</v>
      </c>
      <c r="B102" t="s">
        <v>4377</v>
      </c>
      <c r="C102" t="s">
        <v>53</v>
      </c>
      <c r="D102" t="s">
        <v>54</v>
      </c>
      <c r="E102" t="s">
        <v>131</v>
      </c>
      <c r="F102" s="1">
        <v>42215</v>
      </c>
      <c r="G102">
        <v>2004</v>
      </c>
      <c r="H102" t="s">
        <v>121</v>
      </c>
      <c r="I102" t="s">
        <v>56</v>
      </c>
      <c r="J102" t="s">
        <v>48</v>
      </c>
      <c r="K102">
        <v>8.9</v>
      </c>
      <c r="L102">
        <v>496408</v>
      </c>
      <c r="M102">
        <v>1570933</v>
      </c>
      <c r="N102">
        <v>50</v>
      </c>
      <c r="O102" t="s">
        <v>49</v>
      </c>
      <c r="P102" t="s">
        <v>32</v>
      </c>
    </row>
    <row r="103" spans="1:16" x14ac:dyDescent="0.35">
      <c r="A103" t="s">
        <v>501</v>
      </c>
      <c r="B103" t="s">
        <v>502</v>
      </c>
      <c r="C103" t="s">
        <v>84</v>
      </c>
      <c r="D103" t="s">
        <v>68</v>
      </c>
      <c r="E103" t="s">
        <v>28</v>
      </c>
      <c r="F103" s="1">
        <v>42216</v>
      </c>
      <c r="G103">
        <v>2013</v>
      </c>
      <c r="H103" t="s">
        <v>4178</v>
      </c>
      <c r="I103" t="s">
        <v>4233</v>
      </c>
      <c r="J103" t="s">
        <v>72</v>
      </c>
      <c r="K103">
        <v>7.1</v>
      </c>
      <c r="L103">
        <v>12097677</v>
      </c>
      <c r="M103">
        <v>2328675</v>
      </c>
      <c r="N103">
        <v>93</v>
      </c>
      <c r="O103" t="s">
        <v>4178</v>
      </c>
      <c r="P103" t="s">
        <v>32</v>
      </c>
    </row>
    <row r="104" spans="1:16" x14ac:dyDescent="0.35">
      <c r="A104" t="s">
        <v>3387</v>
      </c>
      <c r="B104" t="s">
        <v>4379</v>
      </c>
      <c r="C104" t="s">
        <v>53</v>
      </c>
      <c r="D104" t="s">
        <v>75</v>
      </c>
      <c r="E104" t="s">
        <v>4196</v>
      </c>
      <c r="F104" s="1">
        <v>42216</v>
      </c>
      <c r="G104">
        <v>2021</v>
      </c>
      <c r="H104" t="s">
        <v>63</v>
      </c>
      <c r="I104" t="s">
        <v>118</v>
      </c>
      <c r="J104" t="s">
        <v>23</v>
      </c>
      <c r="K104">
        <v>5</v>
      </c>
      <c r="L104">
        <v>16687428</v>
      </c>
      <c r="M104">
        <v>4977569</v>
      </c>
      <c r="N104">
        <v>97</v>
      </c>
      <c r="O104" t="s">
        <v>31</v>
      </c>
      <c r="P104" t="s">
        <v>4178</v>
      </c>
    </row>
    <row r="105" spans="1:16" x14ac:dyDescent="0.35">
      <c r="A105" t="s">
        <v>2369</v>
      </c>
      <c r="B105" t="s">
        <v>2370</v>
      </c>
      <c r="C105" t="s">
        <v>53</v>
      </c>
      <c r="D105" t="s">
        <v>75</v>
      </c>
      <c r="E105" t="s">
        <v>37</v>
      </c>
      <c r="F105" s="1">
        <v>42221</v>
      </c>
      <c r="G105">
        <v>2002</v>
      </c>
      <c r="H105" t="s">
        <v>81</v>
      </c>
      <c r="I105" t="s">
        <v>64</v>
      </c>
      <c r="J105" t="s">
        <v>72</v>
      </c>
      <c r="K105">
        <v>7.5</v>
      </c>
      <c r="L105">
        <v>4369124</v>
      </c>
      <c r="M105">
        <v>3029412</v>
      </c>
      <c r="N105">
        <v>43</v>
      </c>
      <c r="O105" t="s">
        <v>65</v>
      </c>
      <c r="P105" t="s">
        <v>87</v>
      </c>
    </row>
    <row r="106" spans="1:16" x14ac:dyDescent="0.35">
      <c r="A106" t="s">
        <v>2371</v>
      </c>
      <c r="B106" t="s">
        <v>2372</v>
      </c>
      <c r="C106" t="s">
        <v>84</v>
      </c>
      <c r="D106" t="s">
        <v>19</v>
      </c>
      <c r="E106" t="s">
        <v>4178</v>
      </c>
      <c r="F106" s="1">
        <v>42221</v>
      </c>
      <c r="G106">
        <v>2011</v>
      </c>
      <c r="H106" t="s">
        <v>114</v>
      </c>
      <c r="I106" t="s">
        <v>4203</v>
      </c>
      <c r="J106" t="s">
        <v>57</v>
      </c>
      <c r="K106">
        <v>9</v>
      </c>
      <c r="L106">
        <v>7757091</v>
      </c>
      <c r="M106">
        <v>2429759</v>
      </c>
      <c r="N106">
        <v>41</v>
      </c>
      <c r="O106" t="s">
        <v>58</v>
      </c>
      <c r="P106" t="s">
        <v>87</v>
      </c>
    </row>
    <row r="107" spans="1:16" x14ac:dyDescent="0.35">
      <c r="A107" t="s">
        <v>2457</v>
      </c>
      <c r="B107" t="s">
        <v>2458</v>
      </c>
      <c r="C107" t="s">
        <v>53</v>
      </c>
      <c r="D107" t="s">
        <v>36</v>
      </c>
      <c r="E107" t="s">
        <v>113</v>
      </c>
      <c r="F107" s="1">
        <v>42223</v>
      </c>
      <c r="G107">
        <v>2026</v>
      </c>
      <c r="H107" t="s">
        <v>21</v>
      </c>
      <c r="I107" t="s">
        <v>162</v>
      </c>
      <c r="J107" t="s">
        <v>48</v>
      </c>
      <c r="K107">
        <v>8.5</v>
      </c>
      <c r="L107">
        <v>11258432</v>
      </c>
      <c r="M107">
        <v>2005496</v>
      </c>
      <c r="N107">
        <v>81</v>
      </c>
      <c r="O107" t="s">
        <v>65</v>
      </c>
      <c r="P107" t="s">
        <v>4178</v>
      </c>
    </row>
    <row r="108" spans="1:16" x14ac:dyDescent="0.35">
      <c r="A108" t="s">
        <v>657</v>
      </c>
      <c r="B108" t="s">
        <v>658</v>
      </c>
      <c r="C108" t="s">
        <v>84</v>
      </c>
      <c r="D108" t="s">
        <v>4178</v>
      </c>
      <c r="E108" t="s">
        <v>113</v>
      </c>
      <c r="F108" s="1">
        <v>42225</v>
      </c>
      <c r="G108">
        <v>2026</v>
      </c>
      <c r="H108" t="s">
        <v>21</v>
      </c>
      <c r="I108" t="s">
        <v>4199</v>
      </c>
      <c r="J108" t="s">
        <v>133</v>
      </c>
      <c r="K108">
        <v>7.2</v>
      </c>
      <c r="L108">
        <v>22217108</v>
      </c>
      <c r="M108">
        <v>186180</v>
      </c>
      <c r="N108">
        <v>43</v>
      </c>
      <c r="O108" t="s">
        <v>58</v>
      </c>
      <c r="P108" t="s">
        <v>4178</v>
      </c>
    </row>
    <row r="109" spans="1:16" x14ac:dyDescent="0.35">
      <c r="A109" t="s">
        <v>2886</v>
      </c>
      <c r="B109" t="s">
        <v>2887</v>
      </c>
      <c r="C109" t="s">
        <v>84</v>
      </c>
      <c r="D109" t="s">
        <v>75</v>
      </c>
      <c r="E109" t="s">
        <v>113</v>
      </c>
      <c r="F109" s="1">
        <v>42229</v>
      </c>
      <c r="G109">
        <v>2007</v>
      </c>
      <c r="H109" t="s">
        <v>4178</v>
      </c>
      <c r="I109" t="s">
        <v>4264</v>
      </c>
      <c r="J109" t="s">
        <v>30</v>
      </c>
      <c r="K109">
        <v>5.8</v>
      </c>
      <c r="L109">
        <v>16250657</v>
      </c>
      <c r="M109">
        <v>3505801</v>
      </c>
      <c r="N109">
        <v>58</v>
      </c>
      <c r="O109" t="s">
        <v>41</v>
      </c>
      <c r="P109" t="s">
        <v>50</v>
      </c>
    </row>
    <row r="110" spans="1:16" x14ac:dyDescent="0.35">
      <c r="A110" t="s">
        <v>597</v>
      </c>
      <c r="B110" t="s">
        <v>598</v>
      </c>
      <c r="C110" t="s">
        <v>53</v>
      </c>
      <c r="D110" t="s">
        <v>156</v>
      </c>
      <c r="E110" t="s">
        <v>45</v>
      </c>
      <c r="F110" s="1">
        <v>42231</v>
      </c>
      <c r="G110">
        <v>2015</v>
      </c>
      <c r="H110" t="s">
        <v>63</v>
      </c>
      <c r="I110" t="s">
        <v>56</v>
      </c>
      <c r="J110" t="s">
        <v>30</v>
      </c>
      <c r="K110">
        <v>5.4</v>
      </c>
      <c r="L110">
        <v>11472183</v>
      </c>
      <c r="M110">
        <v>1574059</v>
      </c>
      <c r="N110">
        <v>43</v>
      </c>
      <c r="O110" t="s">
        <v>24</v>
      </c>
      <c r="P110" t="s">
        <v>4181</v>
      </c>
    </row>
    <row r="111" spans="1:16" x14ac:dyDescent="0.35">
      <c r="A111" t="s">
        <v>1960</v>
      </c>
      <c r="B111" t="s">
        <v>1961</v>
      </c>
      <c r="C111" t="s">
        <v>84</v>
      </c>
      <c r="D111" t="s">
        <v>27</v>
      </c>
      <c r="E111" t="s">
        <v>80</v>
      </c>
      <c r="F111" s="1">
        <v>42231</v>
      </c>
      <c r="G111">
        <v>2000</v>
      </c>
      <c r="H111" t="s">
        <v>63</v>
      </c>
      <c r="I111" t="s">
        <v>4186</v>
      </c>
      <c r="J111" t="s">
        <v>4178</v>
      </c>
      <c r="K111">
        <v>5.6</v>
      </c>
      <c r="L111">
        <v>1598464</v>
      </c>
      <c r="M111">
        <v>1002925</v>
      </c>
      <c r="N111">
        <v>47</v>
      </c>
      <c r="O111" t="s">
        <v>58</v>
      </c>
      <c r="P111" t="s">
        <v>50</v>
      </c>
    </row>
    <row r="112" spans="1:16" x14ac:dyDescent="0.35">
      <c r="A112" t="s">
        <v>3978</v>
      </c>
      <c r="B112" t="s">
        <v>3979</v>
      </c>
      <c r="C112" t="s">
        <v>53</v>
      </c>
      <c r="D112" t="s">
        <v>54</v>
      </c>
      <c r="E112" t="s">
        <v>99</v>
      </c>
      <c r="F112" s="1">
        <v>42233</v>
      </c>
      <c r="G112">
        <v>2016</v>
      </c>
      <c r="H112" t="s">
        <v>107</v>
      </c>
      <c r="I112" t="s">
        <v>162</v>
      </c>
      <c r="J112" t="s">
        <v>30</v>
      </c>
      <c r="K112">
        <v>7.9</v>
      </c>
      <c r="L112">
        <v>8433497</v>
      </c>
      <c r="M112">
        <v>4249007</v>
      </c>
      <c r="N112">
        <v>95</v>
      </c>
      <c r="O112" t="s">
        <v>91</v>
      </c>
      <c r="P112" t="s">
        <v>4178</v>
      </c>
    </row>
    <row r="113" spans="1:16" x14ac:dyDescent="0.35">
      <c r="A113" t="s">
        <v>3351</v>
      </c>
      <c r="B113" t="s">
        <v>3352</v>
      </c>
      <c r="C113" t="s">
        <v>84</v>
      </c>
      <c r="D113" t="s">
        <v>90</v>
      </c>
      <c r="E113" t="s">
        <v>62</v>
      </c>
      <c r="F113" s="1">
        <v>42242</v>
      </c>
      <c r="G113">
        <v>2023</v>
      </c>
      <c r="H113" t="s">
        <v>81</v>
      </c>
      <c r="I113" t="s">
        <v>4218</v>
      </c>
      <c r="J113" t="s">
        <v>72</v>
      </c>
      <c r="K113">
        <v>6.5</v>
      </c>
      <c r="L113">
        <v>7257710</v>
      </c>
      <c r="M113">
        <v>3849040</v>
      </c>
      <c r="N113">
        <v>83</v>
      </c>
      <c r="O113" t="s">
        <v>58</v>
      </c>
      <c r="P113" t="s">
        <v>50</v>
      </c>
    </row>
    <row r="114" spans="1:16" x14ac:dyDescent="0.35">
      <c r="A114" t="s">
        <v>2513</v>
      </c>
      <c r="B114" t="s">
        <v>2514</v>
      </c>
      <c r="C114" t="s">
        <v>84</v>
      </c>
      <c r="D114" t="s">
        <v>4178</v>
      </c>
      <c r="E114" t="s">
        <v>20</v>
      </c>
      <c r="F114" s="1">
        <v>42247</v>
      </c>
      <c r="G114">
        <v>2009</v>
      </c>
      <c r="H114" t="s">
        <v>63</v>
      </c>
      <c r="I114" t="s">
        <v>4191</v>
      </c>
      <c r="J114" t="s">
        <v>4178</v>
      </c>
      <c r="K114">
        <v>5.8</v>
      </c>
      <c r="L114">
        <v>22072373</v>
      </c>
      <c r="M114">
        <v>3532433</v>
      </c>
      <c r="N114">
        <v>95</v>
      </c>
      <c r="O114" t="s">
        <v>123</v>
      </c>
      <c r="P114" t="s">
        <v>32</v>
      </c>
    </row>
    <row r="115" spans="1:16" x14ac:dyDescent="0.35">
      <c r="A115" t="s">
        <v>1313</v>
      </c>
      <c r="B115" t="s">
        <v>1314</v>
      </c>
      <c r="C115" t="s">
        <v>84</v>
      </c>
      <c r="D115" t="s">
        <v>156</v>
      </c>
      <c r="E115" t="s">
        <v>69</v>
      </c>
      <c r="F115" s="1">
        <v>42249</v>
      </c>
      <c r="G115">
        <v>2022</v>
      </c>
      <c r="H115" t="s">
        <v>4178</v>
      </c>
      <c r="I115" t="s">
        <v>4299</v>
      </c>
      <c r="J115" t="s">
        <v>103</v>
      </c>
      <c r="K115">
        <v>5.2</v>
      </c>
      <c r="L115">
        <v>15380493</v>
      </c>
      <c r="M115">
        <v>3618379</v>
      </c>
      <c r="N115">
        <v>64</v>
      </c>
      <c r="O115" t="s">
        <v>65</v>
      </c>
      <c r="P115" t="s">
        <v>32</v>
      </c>
    </row>
    <row r="116" spans="1:16" x14ac:dyDescent="0.35">
      <c r="A116" t="s">
        <v>316</v>
      </c>
      <c r="B116" t="s">
        <v>317</v>
      </c>
      <c r="C116" t="s">
        <v>53</v>
      </c>
      <c r="D116" t="s">
        <v>75</v>
      </c>
      <c r="E116" t="s">
        <v>28</v>
      </c>
      <c r="F116" s="1">
        <v>42251</v>
      </c>
      <c r="G116">
        <v>2032</v>
      </c>
      <c r="H116" t="s">
        <v>81</v>
      </c>
      <c r="I116" t="s">
        <v>95</v>
      </c>
      <c r="J116" t="s">
        <v>30</v>
      </c>
      <c r="K116">
        <v>7</v>
      </c>
      <c r="L116">
        <v>14915292</v>
      </c>
      <c r="M116">
        <v>863890</v>
      </c>
      <c r="N116">
        <v>46</v>
      </c>
      <c r="O116" t="s">
        <v>91</v>
      </c>
      <c r="P116" t="s">
        <v>87</v>
      </c>
    </row>
    <row r="117" spans="1:16" x14ac:dyDescent="0.35">
      <c r="A117" t="s">
        <v>1832</v>
      </c>
      <c r="B117" t="s">
        <v>4328</v>
      </c>
      <c r="C117" t="s">
        <v>84</v>
      </c>
      <c r="D117" t="s">
        <v>54</v>
      </c>
      <c r="E117" t="s">
        <v>4196</v>
      </c>
      <c r="F117" s="1">
        <v>42252</v>
      </c>
      <c r="G117">
        <v>2005</v>
      </c>
      <c r="H117" t="s">
        <v>81</v>
      </c>
      <c r="I117" t="s">
        <v>4178</v>
      </c>
      <c r="J117" t="s">
        <v>23</v>
      </c>
      <c r="K117">
        <v>9.1</v>
      </c>
      <c r="L117">
        <v>22857462</v>
      </c>
      <c r="M117">
        <v>2860164</v>
      </c>
      <c r="N117">
        <v>60</v>
      </c>
      <c r="O117" t="s">
        <v>49</v>
      </c>
      <c r="P117" t="s">
        <v>50</v>
      </c>
    </row>
    <row r="118" spans="1:16" x14ac:dyDescent="0.35">
      <c r="A118" t="s">
        <v>1932</v>
      </c>
      <c r="B118" t="s">
        <v>4335</v>
      </c>
      <c r="C118" t="s">
        <v>4178</v>
      </c>
      <c r="D118" t="s">
        <v>75</v>
      </c>
      <c r="E118" t="s">
        <v>4178</v>
      </c>
      <c r="F118" s="1">
        <v>42253</v>
      </c>
      <c r="G118">
        <v>2007</v>
      </c>
      <c r="H118" t="s">
        <v>114</v>
      </c>
      <c r="I118" t="s">
        <v>56</v>
      </c>
      <c r="J118" t="s">
        <v>57</v>
      </c>
      <c r="K118">
        <v>7.5</v>
      </c>
      <c r="L118">
        <v>19983263</v>
      </c>
      <c r="M118">
        <v>4811542</v>
      </c>
      <c r="N118">
        <v>97</v>
      </c>
      <c r="O118" t="s">
        <v>49</v>
      </c>
      <c r="P118" t="s">
        <v>32</v>
      </c>
    </row>
    <row r="119" spans="1:16" x14ac:dyDescent="0.35">
      <c r="A119" t="s">
        <v>3064</v>
      </c>
      <c r="B119" t="s">
        <v>3065</v>
      </c>
      <c r="C119" t="s">
        <v>4178</v>
      </c>
      <c r="D119" t="s">
        <v>36</v>
      </c>
      <c r="E119" t="s">
        <v>4178</v>
      </c>
      <c r="F119" s="1">
        <v>42253</v>
      </c>
      <c r="G119">
        <v>2007</v>
      </c>
      <c r="H119" t="s">
        <v>81</v>
      </c>
      <c r="I119" t="s">
        <v>56</v>
      </c>
      <c r="J119" t="s">
        <v>57</v>
      </c>
      <c r="K119">
        <v>6.2</v>
      </c>
      <c r="L119">
        <v>7910167</v>
      </c>
      <c r="M119">
        <v>4061172</v>
      </c>
      <c r="N119">
        <v>45</v>
      </c>
      <c r="O119" t="s">
        <v>58</v>
      </c>
      <c r="P119" t="s">
        <v>50</v>
      </c>
    </row>
    <row r="120" spans="1:16" x14ac:dyDescent="0.35">
      <c r="A120" t="s">
        <v>1810</v>
      </c>
      <c r="B120" t="s">
        <v>1811</v>
      </c>
      <c r="C120" t="s">
        <v>4178</v>
      </c>
      <c r="D120" t="s">
        <v>75</v>
      </c>
      <c r="E120" t="s">
        <v>20</v>
      </c>
      <c r="F120" s="1">
        <v>42254</v>
      </c>
      <c r="G120">
        <v>2000</v>
      </c>
      <c r="H120" t="s">
        <v>21</v>
      </c>
      <c r="I120" t="s">
        <v>162</v>
      </c>
      <c r="J120" t="s">
        <v>72</v>
      </c>
      <c r="K120">
        <v>8.1</v>
      </c>
      <c r="L120">
        <v>22520890</v>
      </c>
      <c r="M120">
        <v>4014695</v>
      </c>
      <c r="N120">
        <v>88</v>
      </c>
      <c r="O120" t="s">
        <v>58</v>
      </c>
      <c r="P120" t="s">
        <v>4178</v>
      </c>
    </row>
    <row r="121" spans="1:16" x14ac:dyDescent="0.35">
      <c r="A121" t="s">
        <v>1280</v>
      </c>
      <c r="B121" t="s">
        <v>1281</v>
      </c>
      <c r="C121" t="s">
        <v>4178</v>
      </c>
      <c r="D121" t="s">
        <v>94</v>
      </c>
      <c r="E121" t="s">
        <v>131</v>
      </c>
      <c r="F121" s="1">
        <v>42256</v>
      </c>
      <c r="G121">
        <v>2009</v>
      </c>
      <c r="H121" t="s">
        <v>107</v>
      </c>
      <c r="I121" t="s">
        <v>95</v>
      </c>
      <c r="J121" t="s">
        <v>72</v>
      </c>
      <c r="K121">
        <v>7.9</v>
      </c>
      <c r="L121">
        <v>814836</v>
      </c>
      <c r="M121">
        <v>759202</v>
      </c>
      <c r="N121">
        <v>94</v>
      </c>
      <c r="O121" t="s">
        <v>58</v>
      </c>
      <c r="P121" t="s">
        <v>87</v>
      </c>
    </row>
    <row r="122" spans="1:16" x14ac:dyDescent="0.35">
      <c r="A122" t="s">
        <v>2133</v>
      </c>
      <c r="B122" t="s">
        <v>2134</v>
      </c>
      <c r="C122" t="s">
        <v>4178</v>
      </c>
      <c r="D122" t="s">
        <v>4178</v>
      </c>
      <c r="E122" t="s">
        <v>4178</v>
      </c>
      <c r="F122" s="1">
        <v>42256</v>
      </c>
      <c r="G122">
        <v>2008</v>
      </c>
      <c r="H122" t="s">
        <v>85</v>
      </c>
      <c r="I122" t="s">
        <v>56</v>
      </c>
      <c r="J122" t="s">
        <v>72</v>
      </c>
      <c r="K122">
        <v>4.8</v>
      </c>
      <c r="L122">
        <v>18929098</v>
      </c>
      <c r="M122">
        <v>309396</v>
      </c>
      <c r="N122">
        <v>74</v>
      </c>
      <c r="O122" t="s">
        <v>49</v>
      </c>
      <c r="P122" t="s">
        <v>4181</v>
      </c>
    </row>
    <row r="123" spans="1:16" x14ac:dyDescent="0.35">
      <c r="A123" t="s">
        <v>3842</v>
      </c>
      <c r="B123" t="s">
        <v>3843</v>
      </c>
      <c r="C123" t="s">
        <v>53</v>
      </c>
      <c r="D123" t="s">
        <v>90</v>
      </c>
      <c r="E123" t="s">
        <v>113</v>
      </c>
      <c r="F123" s="1">
        <v>42259</v>
      </c>
      <c r="G123">
        <v>2032</v>
      </c>
      <c r="H123" t="s">
        <v>85</v>
      </c>
      <c r="I123" t="s">
        <v>162</v>
      </c>
      <c r="J123" t="s">
        <v>153</v>
      </c>
      <c r="K123">
        <v>8.8000000000000007</v>
      </c>
      <c r="L123">
        <v>22724471</v>
      </c>
      <c r="M123">
        <v>4335407</v>
      </c>
      <c r="N123">
        <v>63</v>
      </c>
      <c r="O123" t="s">
        <v>65</v>
      </c>
      <c r="P123" t="s">
        <v>87</v>
      </c>
    </row>
    <row r="124" spans="1:16" x14ac:dyDescent="0.35">
      <c r="A124" t="s">
        <v>3852</v>
      </c>
      <c r="B124" t="s">
        <v>3853</v>
      </c>
      <c r="C124" t="s">
        <v>53</v>
      </c>
      <c r="D124" t="s">
        <v>36</v>
      </c>
      <c r="E124" t="s">
        <v>99</v>
      </c>
      <c r="F124" s="1">
        <v>42259</v>
      </c>
      <c r="G124">
        <v>2009</v>
      </c>
      <c r="H124" t="s">
        <v>121</v>
      </c>
      <c r="I124" t="s">
        <v>56</v>
      </c>
      <c r="J124" t="s">
        <v>23</v>
      </c>
      <c r="K124">
        <v>9.1</v>
      </c>
      <c r="L124">
        <v>13239891</v>
      </c>
      <c r="M124">
        <v>954666</v>
      </c>
      <c r="N124">
        <v>65</v>
      </c>
      <c r="O124" t="s">
        <v>4178</v>
      </c>
      <c r="P124" t="s">
        <v>4181</v>
      </c>
    </row>
    <row r="125" spans="1:16" x14ac:dyDescent="0.35">
      <c r="A125" t="s">
        <v>2081</v>
      </c>
      <c r="B125" t="s">
        <v>2082</v>
      </c>
      <c r="C125" t="s">
        <v>84</v>
      </c>
      <c r="D125" t="s">
        <v>36</v>
      </c>
      <c r="E125" t="s">
        <v>131</v>
      </c>
      <c r="F125" s="1">
        <v>42261</v>
      </c>
      <c r="G125">
        <v>2011</v>
      </c>
      <c r="H125" t="s">
        <v>114</v>
      </c>
      <c r="I125" t="s">
        <v>4180</v>
      </c>
      <c r="J125" t="s">
        <v>72</v>
      </c>
      <c r="K125">
        <v>8.9</v>
      </c>
      <c r="L125">
        <v>3065982</v>
      </c>
      <c r="M125">
        <v>4770103</v>
      </c>
      <c r="N125">
        <v>120</v>
      </c>
      <c r="O125" t="s">
        <v>41</v>
      </c>
      <c r="P125" t="s">
        <v>87</v>
      </c>
    </row>
    <row r="126" spans="1:16" x14ac:dyDescent="0.35">
      <c r="A126" t="s">
        <v>2204</v>
      </c>
      <c r="B126" t="s">
        <v>2205</v>
      </c>
      <c r="C126" t="s">
        <v>84</v>
      </c>
      <c r="D126" t="s">
        <v>36</v>
      </c>
      <c r="E126" t="s">
        <v>69</v>
      </c>
      <c r="F126" s="1">
        <v>42261</v>
      </c>
      <c r="G126">
        <v>2001</v>
      </c>
      <c r="H126" t="s">
        <v>114</v>
      </c>
      <c r="I126" t="s">
        <v>4192</v>
      </c>
      <c r="J126" t="s">
        <v>103</v>
      </c>
      <c r="K126">
        <v>7.6</v>
      </c>
      <c r="L126">
        <v>16869156</v>
      </c>
      <c r="M126">
        <v>1548189</v>
      </c>
      <c r="N126">
        <v>46</v>
      </c>
      <c r="O126" t="s">
        <v>65</v>
      </c>
      <c r="P126" t="s">
        <v>87</v>
      </c>
    </row>
    <row r="127" spans="1:16" x14ac:dyDescent="0.35">
      <c r="A127" t="s">
        <v>3936</v>
      </c>
      <c r="B127" t="s">
        <v>3937</v>
      </c>
      <c r="C127" t="s">
        <v>84</v>
      </c>
      <c r="D127" t="s">
        <v>4178</v>
      </c>
      <c r="E127" t="s">
        <v>4196</v>
      </c>
      <c r="F127" s="1">
        <v>42264</v>
      </c>
      <c r="G127">
        <v>2019</v>
      </c>
      <c r="H127" t="s">
        <v>121</v>
      </c>
      <c r="I127" t="s">
        <v>4294</v>
      </c>
      <c r="J127" t="s">
        <v>96</v>
      </c>
      <c r="K127">
        <v>7.3</v>
      </c>
      <c r="L127">
        <v>17473861</v>
      </c>
      <c r="M127">
        <v>1585924</v>
      </c>
      <c r="N127">
        <v>64</v>
      </c>
      <c r="O127" t="s">
        <v>123</v>
      </c>
      <c r="P127" t="s">
        <v>50</v>
      </c>
    </row>
    <row r="128" spans="1:16" x14ac:dyDescent="0.35">
      <c r="A128" t="s">
        <v>559</v>
      </c>
      <c r="B128" t="s">
        <v>4253</v>
      </c>
      <c r="C128" t="s">
        <v>84</v>
      </c>
      <c r="D128" t="s">
        <v>4178</v>
      </c>
      <c r="E128" t="s">
        <v>62</v>
      </c>
      <c r="F128" s="1">
        <v>42268</v>
      </c>
      <c r="G128">
        <v>2007</v>
      </c>
      <c r="H128" t="s">
        <v>107</v>
      </c>
      <c r="I128" t="s">
        <v>4210</v>
      </c>
      <c r="J128" t="s">
        <v>96</v>
      </c>
      <c r="K128">
        <v>5.3</v>
      </c>
      <c r="L128">
        <v>10814761</v>
      </c>
      <c r="M128">
        <v>351243</v>
      </c>
      <c r="N128">
        <v>63</v>
      </c>
      <c r="O128" t="s">
        <v>91</v>
      </c>
      <c r="P128" t="s">
        <v>4181</v>
      </c>
    </row>
    <row r="129" spans="1:16" x14ac:dyDescent="0.35">
      <c r="A129" t="s">
        <v>518</v>
      </c>
      <c r="B129" t="s">
        <v>519</v>
      </c>
      <c r="C129" t="s">
        <v>84</v>
      </c>
      <c r="D129" t="s">
        <v>61</v>
      </c>
      <c r="E129" t="s">
        <v>62</v>
      </c>
      <c r="F129" s="1">
        <v>42269</v>
      </c>
      <c r="G129">
        <v>2026</v>
      </c>
      <c r="H129" t="s">
        <v>107</v>
      </c>
      <c r="I129" t="s">
        <v>4238</v>
      </c>
      <c r="J129" t="s">
        <v>23</v>
      </c>
      <c r="K129">
        <v>9.5</v>
      </c>
      <c r="L129">
        <v>17817091</v>
      </c>
      <c r="M129">
        <v>4769519</v>
      </c>
      <c r="N129">
        <v>75</v>
      </c>
      <c r="O129" t="s">
        <v>31</v>
      </c>
      <c r="P129" t="s">
        <v>50</v>
      </c>
    </row>
    <row r="130" spans="1:16" x14ac:dyDescent="0.35">
      <c r="A130" t="s">
        <v>1683</v>
      </c>
      <c r="B130" t="s">
        <v>1684</v>
      </c>
      <c r="C130" t="s">
        <v>84</v>
      </c>
      <c r="D130" t="s">
        <v>36</v>
      </c>
      <c r="E130" t="s">
        <v>99</v>
      </c>
      <c r="F130" s="1">
        <v>42272</v>
      </c>
      <c r="G130">
        <v>2007</v>
      </c>
      <c r="H130" t="s">
        <v>4178</v>
      </c>
      <c r="I130" t="s">
        <v>4258</v>
      </c>
      <c r="J130" t="s">
        <v>103</v>
      </c>
      <c r="K130">
        <v>6.7</v>
      </c>
      <c r="L130">
        <v>18803162</v>
      </c>
      <c r="M130">
        <v>2679091</v>
      </c>
      <c r="N130">
        <v>65</v>
      </c>
      <c r="O130" t="s">
        <v>91</v>
      </c>
      <c r="P130" t="s">
        <v>4178</v>
      </c>
    </row>
    <row r="131" spans="1:16" x14ac:dyDescent="0.35">
      <c r="A131" t="s">
        <v>3151</v>
      </c>
      <c r="B131" t="s">
        <v>3152</v>
      </c>
      <c r="C131" t="s">
        <v>84</v>
      </c>
      <c r="D131" t="s">
        <v>156</v>
      </c>
      <c r="E131" t="s">
        <v>62</v>
      </c>
      <c r="F131" s="1">
        <v>42272</v>
      </c>
      <c r="G131">
        <v>2001</v>
      </c>
      <c r="H131" t="s">
        <v>85</v>
      </c>
      <c r="I131" t="s">
        <v>4272</v>
      </c>
      <c r="J131" t="s">
        <v>153</v>
      </c>
      <c r="K131">
        <v>7.8</v>
      </c>
      <c r="L131">
        <v>3592188</v>
      </c>
      <c r="M131">
        <v>1241400</v>
      </c>
      <c r="N131">
        <v>120</v>
      </c>
      <c r="O131" t="s">
        <v>24</v>
      </c>
      <c r="P131" t="s">
        <v>4181</v>
      </c>
    </row>
    <row r="132" spans="1:16" x14ac:dyDescent="0.35">
      <c r="A132" t="s">
        <v>3101</v>
      </c>
      <c r="B132" t="s">
        <v>3102</v>
      </c>
      <c r="C132" t="s">
        <v>84</v>
      </c>
      <c r="D132" t="s">
        <v>90</v>
      </c>
      <c r="E132" t="s">
        <v>4196</v>
      </c>
      <c r="F132" s="1">
        <v>42274</v>
      </c>
      <c r="G132">
        <v>2032</v>
      </c>
      <c r="H132" t="s">
        <v>21</v>
      </c>
      <c r="I132" t="s">
        <v>4235</v>
      </c>
      <c r="J132" t="s">
        <v>40</v>
      </c>
      <c r="K132">
        <v>7.1</v>
      </c>
      <c r="L132">
        <v>23129966</v>
      </c>
      <c r="M132">
        <v>2686508</v>
      </c>
      <c r="N132">
        <v>96</v>
      </c>
      <c r="O132" t="s">
        <v>31</v>
      </c>
      <c r="P132" t="s">
        <v>32</v>
      </c>
    </row>
    <row r="133" spans="1:16" x14ac:dyDescent="0.35">
      <c r="A133" t="s">
        <v>701</v>
      </c>
      <c r="B133" t="s">
        <v>702</v>
      </c>
      <c r="C133" t="s">
        <v>53</v>
      </c>
      <c r="D133" t="s">
        <v>4178</v>
      </c>
      <c r="E133" t="s">
        <v>69</v>
      </c>
      <c r="F133" s="1">
        <v>42276</v>
      </c>
      <c r="G133">
        <v>2022</v>
      </c>
      <c r="H133" t="s">
        <v>38</v>
      </c>
      <c r="I133" t="s">
        <v>71</v>
      </c>
      <c r="J133" t="s">
        <v>48</v>
      </c>
      <c r="K133">
        <v>4.9000000000000004</v>
      </c>
      <c r="L133">
        <v>17482262</v>
      </c>
      <c r="M133">
        <v>197012</v>
      </c>
      <c r="N133">
        <v>120</v>
      </c>
      <c r="O133" t="s">
        <v>31</v>
      </c>
      <c r="P133" t="s">
        <v>32</v>
      </c>
    </row>
    <row r="134" spans="1:16" x14ac:dyDescent="0.35">
      <c r="A134" t="s">
        <v>1411</v>
      </c>
      <c r="B134" t="s">
        <v>1412</v>
      </c>
      <c r="C134" t="s">
        <v>4178</v>
      </c>
      <c r="D134" t="s">
        <v>54</v>
      </c>
      <c r="E134" t="s">
        <v>28</v>
      </c>
      <c r="F134" s="1">
        <v>42276</v>
      </c>
      <c r="G134">
        <v>2004</v>
      </c>
      <c r="H134" t="s">
        <v>38</v>
      </c>
      <c r="I134" t="s">
        <v>39</v>
      </c>
      <c r="J134" t="s">
        <v>23</v>
      </c>
      <c r="K134">
        <v>7.6</v>
      </c>
      <c r="L134">
        <v>5907024</v>
      </c>
      <c r="M134">
        <v>25698</v>
      </c>
      <c r="N134">
        <v>54</v>
      </c>
      <c r="O134" t="s">
        <v>31</v>
      </c>
      <c r="P134" t="s">
        <v>4178</v>
      </c>
    </row>
    <row r="135" spans="1:16" x14ac:dyDescent="0.35">
      <c r="A135" t="s">
        <v>3675</v>
      </c>
      <c r="B135" t="s">
        <v>3676</v>
      </c>
      <c r="C135" t="s">
        <v>84</v>
      </c>
      <c r="D135" t="s">
        <v>61</v>
      </c>
      <c r="E135" t="s">
        <v>20</v>
      </c>
      <c r="F135" s="1">
        <v>42277</v>
      </c>
      <c r="G135">
        <v>2004</v>
      </c>
      <c r="H135" t="s">
        <v>46</v>
      </c>
      <c r="I135" t="s">
        <v>4324</v>
      </c>
      <c r="J135" t="s">
        <v>133</v>
      </c>
      <c r="K135">
        <v>6.1</v>
      </c>
      <c r="L135">
        <v>23787561</v>
      </c>
      <c r="M135">
        <v>3386699</v>
      </c>
      <c r="N135">
        <v>62</v>
      </c>
      <c r="O135" t="s">
        <v>41</v>
      </c>
      <c r="P135" t="s">
        <v>4178</v>
      </c>
    </row>
    <row r="136" spans="1:16" x14ac:dyDescent="0.35">
      <c r="A136" t="s">
        <v>2109</v>
      </c>
      <c r="B136" t="s">
        <v>2110</v>
      </c>
      <c r="C136" t="s">
        <v>53</v>
      </c>
      <c r="D136" t="s">
        <v>94</v>
      </c>
      <c r="E136" t="s">
        <v>37</v>
      </c>
      <c r="F136" s="1">
        <v>42278</v>
      </c>
      <c r="G136">
        <v>2011</v>
      </c>
      <c r="H136" t="s">
        <v>81</v>
      </c>
      <c r="I136" t="s">
        <v>95</v>
      </c>
      <c r="J136" t="s">
        <v>96</v>
      </c>
      <c r="K136">
        <v>5.3</v>
      </c>
      <c r="L136">
        <v>3178217</v>
      </c>
      <c r="M136">
        <v>402252</v>
      </c>
      <c r="N136">
        <v>93</v>
      </c>
      <c r="O136" t="s">
        <v>58</v>
      </c>
      <c r="P136" t="s">
        <v>4181</v>
      </c>
    </row>
    <row r="137" spans="1:16" x14ac:dyDescent="0.35">
      <c r="A137" t="s">
        <v>4071</v>
      </c>
      <c r="B137" t="s">
        <v>4072</v>
      </c>
      <c r="C137" t="s">
        <v>84</v>
      </c>
      <c r="D137" t="s">
        <v>61</v>
      </c>
      <c r="E137" t="s">
        <v>80</v>
      </c>
      <c r="F137" s="1">
        <v>42284</v>
      </c>
      <c r="G137">
        <v>2006</v>
      </c>
      <c r="H137" t="s">
        <v>46</v>
      </c>
      <c r="I137" t="s">
        <v>4229</v>
      </c>
      <c r="J137" t="s">
        <v>57</v>
      </c>
      <c r="K137">
        <v>7.5</v>
      </c>
      <c r="L137">
        <v>15396512</v>
      </c>
      <c r="M137">
        <v>4658329</v>
      </c>
      <c r="N137">
        <v>76</v>
      </c>
      <c r="O137" t="s">
        <v>104</v>
      </c>
      <c r="P137" t="s">
        <v>87</v>
      </c>
    </row>
    <row r="138" spans="1:16" x14ac:dyDescent="0.35">
      <c r="A138" t="s">
        <v>2533</v>
      </c>
      <c r="B138" t="s">
        <v>2534</v>
      </c>
      <c r="C138" t="s">
        <v>84</v>
      </c>
      <c r="D138" t="s">
        <v>94</v>
      </c>
      <c r="E138" t="s">
        <v>113</v>
      </c>
      <c r="F138" s="1">
        <v>42285</v>
      </c>
      <c r="G138">
        <v>2006</v>
      </c>
      <c r="H138" t="s">
        <v>38</v>
      </c>
      <c r="I138" t="s">
        <v>4180</v>
      </c>
      <c r="J138" t="s">
        <v>48</v>
      </c>
      <c r="K138">
        <v>5.6</v>
      </c>
      <c r="L138">
        <v>23110877</v>
      </c>
      <c r="M138">
        <v>3906196</v>
      </c>
      <c r="N138">
        <v>84</v>
      </c>
      <c r="O138" t="s">
        <v>104</v>
      </c>
      <c r="P138" t="s">
        <v>4178</v>
      </c>
    </row>
    <row r="139" spans="1:16" x14ac:dyDescent="0.35">
      <c r="A139" t="s">
        <v>644</v>
      </c>
      <c r="B139" t="s">
        <v>645</v>
      </c>
      <c r="C139" t="s">
        <v>53</v>
      </c>
      <c r="D139" t="s">
        <v>61</v>
      </c>
      <c r="E139" t="s">
        <v>69</v>
      </c>
      <c r="F139" s="1">
        <v>42286</v>
      </c>
      <c r="G139">
        <v>2019</v>
      </c>
      <c r="H139" t="s">
        <v>107</v>
      </c>
      <c r="I139" t="s">
        <v>162</v>
      </c>
      <c r="J139" t="s">
        <v>133</v>
      </c>
      <c r="K139">
        <v>6.3</v>
      </c>
      <c r="L139">
        <v>6227769</v>
      </c>
      <c r="M139">
        <v>1147111</v>
      </c>
      <c r="N139">
        <v>88</v>
      </c>
      <c r="O139" t="s">
        <v>104</v>
      </c>
      <c r="P139" t="s">
        <v>4181</v>
      </c>
    </row>
    <row r="140" spans="1:16" x14ac:dyDescent="0.35">
      <c r="A140" t="s">
        <v>3407</v>
      </c>
      <c r="B140" t="s">
        <v>3408</v>
      </c>
      <c r="C140" t="s">
        <v>4178</v>
      </c>
      <c r="D140" t="s">
        <v>19</v>
      </c>
      <c r="E140" t="s">
        <v>131</v>
      </c>
      <c r="F140" s="1">
        <v>42288</v>
      </c>
      <c r="G140">
        <v>2017</v>
      </c>
      <c r="H140" t="s">
        <v>21</v>
      </c>
      <c r="I140" t="s">
        <v>39</v>
      </c>
      <c r="J140" t="s">
        <v>30</v>
      </c>
      <c r="K140">
        <v>6.1</v>
      </c>
      <c r="L140">
        <v>20553883</v>
      </c>
      <c r="M140">
        <v>4804365</v>
      </c>
      <c r="N140">
        <v>70</v>
      </c>
      <c r="O140" t="s">
        <v>123</v>
      </c>
      <c r="P140" t="s">
        <v>4181</v>
      </c>
    </row>
    <row r="141" spans="1:16" x14ac:dyDescent="0.35">
      <c r="A141" t="s">
        <v>2424</v>
      </c>
      <c r="B141" t="s">
        <v>2425</v>
      </c>
      <c r="C141" t="s">
        <v>53</v>
      </c>
      <c r="D141" t="s">
        <v>61</v>
      </c>
      <c r="E141" t="s">
        <v>4178</v>
      </c>
      <c r="F141" s="1">
        <v>42290</v>
      </c>
      <c r="G141">
        <v>2012</v>
      </c>
      <c r="H141" t="s">
        <v>85</v>
      </c>
      <c r="I141" t="s">
        <v>71</v>
      </c>
      <c r="J141" t="s">
        <v>153</v>
      </c>
      <c r="K141">
        <v>7.2</v>
      </c>
      <c r="L141">
        <v>8111719</v>
      </c>
      <c r="M141">
        <v>4863494</v>
      </c>
      <c r="N141">
        <v>96</v>
      </c>
      <c r="O141" t="s">
        <v>24</v>
      </c>
      <c r="P141" t="s">
        <v>4181</v>
      </c>
    </row>
    <row r="142" spans="1:16" x14ac:dyDescent="0.35">
      <c r="A142" t="s">
        <v>2991</v>
      </c>
      <c r="B142" t="s">
        <v>2992</v>
      </c>
      <c r="C142" t="s">
        <v>84</v>
      </c>
      <c r="D142" t="s">
        <v>27</v>
      </c>
      <c r="E142" t="s">
        <v>62</v>
      </c>
      <c r="F142" s="1">
        <v>42291</v>
      </c>
      <c r="G142">
        <v>2023</v>
      </c>
      <c r="H142" t="s">
        <v>81</v>
      </c>
      <c r="I142" t="s">
        <v>4225</v>
      </c>
      <c r="J142" t="s">
        <v>30</v>
      </c>
      <c r="K142">
        <v>5.2</v>
      </c>
      <c r="L142">
        <v>21094487</v>
      </c>
      <c r="M142">
        <v>4045391</v>
      </c>
      <c r="N142">
        <v>81</v>
      </c>
      <c r="O142" t="s">
        <v>123</v>
      </c>
      <c r="P142" t="s">
        <v>50</v>
      </c>
    </row>
    <row r="143" spans="1:16" x14ac:dyDescent="0.35">
      <c r="A143" t="s">
        <v>3433</v>
      </c>
      <c r="B143" t="s">
        <v>3434</v>
      </c>
      <c r="C143" t="s">
        <v>53</v>
      </c>
      <c r="D143" t="s">
        <v>27</v>
      </c>
      <c r="E143" t="s">
        <v>69</v>
      </c>
      <c r="F143" s="1">
        <v>42291</v>
      </c>
      <c r="G143">
        <v>2002</v>
      </c>
      <c r="H143" t="s">
        <v>107</v>
      </c>
      <c r="I143" t="s">
        <v>162</v>
      </c>
      <c r="J143" t="s">
        <v>23</v>
      </c>
      <c r="K143">
        <v>7.6</v>
      </c>
      <c r="L143">
        <v>10054895</v>
      </c>
      <c r="M143">
        <v>42331</v>
      </c>
      <c r="N143">
        <v>43</v>
      </c>
      <c r="O143" t="s">
        <v>91</v>
      </c>
      <c r="P143" t="s">
        <v>87</v>
      </c>
    </row>
    <row r="144" spans="1:16" x14ac:dyDescent="0.35">
      <c r="A144" t="s">
        <v>4067</v>
      </c>
      <c r="B144" t="s">
        <v>4068</v>
      </c>
      <c r="C144" t="s">
        <v>53</v>
      </c>
      <c r="D144" t="s">
        <v>94</v>
      </c>
      <c r="E144" t="s">
        <v>4196</v>
      </c>
      <c r="F144" s="1">
        <v>42293</v>
      </c>
      <c r="G144">
        <v>2011</v>
      </c>
      <c r="H144" t="s">
        <v>38</v>
      </c>
      <c r="I144" t="s">
        <v>56</v>
      </c>
      <c r="J144" t="s">
        <v>103</v>
      </c>
      <c r="K144">
        <v>9.5</v>
      </c>
      <c r="L144">
        <v>3897789</v>
      </c>
      <c r="M144">
        <v>1077729</v>
      </c>
      <c r="N144">
        <v>60</v>
      </c>
      <c r="O144" t="s">
        <v>31</v>
      </c>
      <c r="P144" t="s">
        <v>87</v>
      </c>
    </row>
    <row r="145" spans="1:16" x14ac:dyDescent="0.35">
      <c r="A145" t="s">
        <v>3082</v>
      </c>
      <c r="B145" t="s">
        <v>3083</v>
      </c>
      <c r="C145" t="s">
        <v>84</v>
      </c>
      <c r="D145" t="s">
        <v>19</v>
      </c>
      <c r="E145" t="s">
        <v>4178</v>
      </c>
      <c r="F145" s="1">
        <v>42297</v>
      </c>
      <c r="G145">
        <v>2000</v>
      </c>
      <c r="H145" t="s">
        <v>46</v>
      </c>
      <c r="I145" t="s">
        <v>4197</v>
      </c>
      <c r="J145" t="s">
        <v>23</v>
      </c>
      <c r="K145">
        <v>9.3000000000000007</v>
      </c>
      <c r="L145">
        <v>586482</v>
      </c>
      <c r="M145">
        <v>3963433</v>
      </c>
      <c r="N145">
        <v>48</v>
      </c>
      <c r="O145" t="s">
        <v>31</v>
      </c>
      <c r="P145" t="s">
        <v>50</v>
      </c>
    </row>
    <row r="146" spans="1:16" x14ac:dyDescent="0.35">
      <c r="A146" t="s">
        <v>874</v>
      </c>
      <c r="B146" t="s">
        <v>875</v>
      </c>
      <c r="C146" t="s">
        <v>4178</v>
      </c>
      <c r="D146" t="s">
        <v>61</v>
      </c>
      <c r="E146" t="s">
        <v>113</v>
      </c>
      <c r="F146" s="1">
        <v>42304</v>
      </c>
      <c r="G146">
        <v>2006</v>
      </c>
      <c r="H146" t="s">
        <v>114</v>
      </c>
      <c r="I146" t="s">
        <v>162</v>
      </c>
      <c r="J146" t="s">
        <v>72</v>
      </c>
      <c r="K146">
        <v>8.5</v>
      </c>
      <c r="L146">
        <v>10926780</v>
      </c>
      <c r="M146">
        <v>1758179</v>
      </c>
      <c r="N146">
        <v>79</v>
      </c>
      <c r="O146" t="s">
        <v>31</v>
      </c>
      <c r="P146" t="s">
        <v>4178</v>
      </c>
    </row>
    <row r="147" spans="1:16" x14ac:dyDescent="0.35">
      <c r="A147" t="s">
        <v>876</v>
      </c>
      <c r="B147" t="s">
        <v>875</v>
      </c>
      <c r="C147" t="s">
        <v>53</v>
      </c>
      <c r="D147" t="s">
        <v>4178</v>
      </c>
      <c r="E147" t="s">
        <v>4178</v>
      </c>
      <c r="F147" s="1">
        <v>42304</v>
      </c>
      <c r="G147">
        <v>2000</v>
      </c>
      <c r="H147" t="s">
        <v>107</v>
      </c>
      <c r="I147" t="s">
        <v>39</v>
      </c>
      <c r="J147" t="s">
        <v>133</v>
      </c>
      <c r="K147">
        <v>9.6</v>
      </c>
      <c r="L147">
        <v>14141019</v>
      </c>
      <c r="M147">
        <v>3678567</v>
      </c>
      <c r="N147">
        <v>93</v>
      </c>
      <c r="O147" t="s">
        <v>24</v>
      </c>
      <c r="P147" t="s">
        <v>4178</v>
      </c>
    </row>
    <row r="148" spans="1:16" x14ac:dyDescent="0.35">
      <c r="A148" t="s">
        <v>3588</v>
      </c>
      <c r="B148" t="s">
        <v>3589</v>
      </c>
      <c r="C148" t="s">
        <v>53</v>
      </c>
      <c r="D148" t="s">
        <v>27</v>
      </c>
      <c r="E148" t="s">
        <v>99</v>
      </c>
      <c r="F148" s="1">
        <v>42307</v>
      </c>
      <c r="G148">
        <v>2023</v>
      </c>
      <c r="H148" t="s">
        <v>46</v>
      </c>
      <c r="I148" t="s">
        <v>162</v>
      </c>
      <c r="J148" t="s">
        <v>103</v>
      </c>
      <c r="K148">
        <v>5.6</v>
      </c>
      <c r="L148">
        <v>21777738</v>
      </c>
      <c r="M148">
        <v>407163</v>
      </c>
      <c r="N148">
        <v>93</v>
      </c>
      <c r="O148" t="s">
        <v>58</v>
      </c>
      <c r="P148" t="s">
        <v>87</v>
      </c>
    </row>
    <row r="149" spans="1:16" x14ac:dyDescent="0.35">
      <c r="A149" t="s">
        <v>4041</v>
      </c>
      <c r="B149" t="s">
        <v>4042</v>
      </c>
      <c r="C149" t="s">
        <v>84</v>
      </c>
      <c r="D149" t="s">
        <v>90</v>
      </c>
      <c r="E149" t="s">
        <v>62</v>
      </c>
      <c r="F149" s="1">
        <v>42308</v>
      </c>
      <c r="G149">
        <v>2016</v>
      </c>
      <c r="H149" t="s">
        <v>38</v>
      </c>
      <c r="I149" t="s">
        <v>4244</v>
      </c>
      <c r="J149" t="s">
        <v>57</v>
      </c>
      <c r="K149">
        <v>9</v>
      </c>
      <c r="L149">
        <v>3545939</v>
      </c>
      <c r="M149">
        <v>1035647</v>
      </c>
      <c r="N149">
        <v>53</v>
      </c>
      <c r="O149" t="s">
        <v>104</v>
      </c>
      <c r="P149" t="s">
        <v>50</v>
      </c>
    </row>
    <row r="150" spans="1:16" x14ac:dyDescent="0.35">
      <c r="A150" t="s">
        <v>784</v>
      </c>
      <c r="B150" t="s">
        <v>785</v>
      </c>
      <c r="C150" t="s">
        <v>84</v>
      </c>
      <c r="D150" t="s">
        <v>19</v>
      </c>
      <c r="E150" t="s">
        <v>62</v>
      </c>
      <c r="F150" s="1">
        <v>42309</v>
      </c>
      <c r="G150">
        <v>2018</v>
      </c>
      <c r="H150" t="s">
        <v>38</v>
      </c>
      <c r="I150" t="s">
        <v>4204</v>
      </c>
      <c r="J150" t="s">
        <v>72</v>
      </c>
      <c r="K150">
        <v>4.8</v>
      </c>
      <c r="L150">
        <v>2650181</v>
      </c>
      <c r="M150">
        <v>1808831</v>
      </c>
      <c r="N150">
        <v>89</v>
      </c>
      <c r="O150" t="s">
        <v>123</v>
      </c>
      <c r="P150" t="s">
        <v>32</v>
      </c>
    </row>
    <row r="151" spans="1:16" x14ac:dyDescent="0.35">
      <c r="A151" t="s">
        <v>1407</v>
      </c>
      <c r="B151" t="s">
        <v>1408</v>
      </c>
      <c r="C151" t="s">
        <v>4178</v>
      </c>
      <c r="D151" t="s">
        <v>4178</v>
      </c>
      <c r="E151" t="s">
        <v>131</v>
      </c>
      <c r="F151" s="1">
        <v>42315</v>
      </c>
      <c r="G151">
        <v>2010</v>
      </c>
      <c r="H151" t="s">
        <v>46</v>
      </c>
      <c r="I151" t="s">
        <v>118</v>
      </c>
      <c r="J151" t="s">
        <v>133</v>
      </c>
      <c r="K151">
        <v>4.9000000000000004</v>
      </c>
      <c r="L151">
        <v>10057534</v>
      </c>
      <c r="M151">
        <v>1290302</v>
      </c>
      <c r="N151">
        <v>97</v>
      </c>
      <c r="O151" t="s">
        <v>41</v>
      </c>
      <c r="P151" t="s">
        <v>4178</v>
      </c>
    </row>
    <row r="152" spans="1:16" x14ac:dyDescent="0.35">
      <c r="A152" t="s">
        <v>2752</v>
      </c>
      <c r="B152" t="s">
        <v>2753</v>
      </c>
      <c r="C152" t="s">
        <v>53</v>
      </c>
      <c r="D152" t="s">
        <v>94</v>
      </c>
      <c r="E152" t="s">
        <v>45</v>
      </c>
      <c r="F152" s="1">
        <v>42315</v>
      </c>
      <c r="G152">
        <v>2013</v>
      </c>
      <c r="H152" t="s">
        <v>63</v>
      </c>
      <c r="I152" t="s">
        <v>162</v>
      </c>
      <c r="J152" t="s">
        <v>103</v>
      </c>
      <c r="K152">
        <v>5.9</v>
      </c>
      <c r="L152">
        <v>13860624</v>
      </c>
      <c r="M152">
        <v>3949988</v>
      </c>
      <c r="N152">
        <v>99</v>
      </c>
      <c r="O152" t="s">
        <v>91</v>
      </c>
      <c r="P152" t="s">
        <v>87</v>
      </c>
    </row>
    <row r="153" spans="1:16" x14ac:dyDescent="0.35">
      <c r="A153" t="s">
        <v>1866</v>
      </c>
      <c r="B153" t="s">
        <v>1867</v>
      </c>
      <c r="C153" t="s">
        <v>53</v>
      </c>
      <c r="D153" t="s">
        <v>94</v>
      </c>
      <c r="E153" t="s">
        <v>55</v>
      </c>
      <c r="F153" s="1">
        <v>42316</v>
      </c>
      <c r="G153">
        <v>2019</v>
      </c>
      <c r="H153" t="s">
        <v>46</v>
      </c>
      <c r="I153" t="s">
        <v>71</v>
      </c>
      <c r="J153" t="s">
        <v>133</v>
      </c>
      <c r="K153">
        <v>6.9</v>
      </c>
      <c r="L153">
        <v>19330729</v>
      </c>
      <c r="M153">
        <v>3514719</v>
      </c>
      <c r="N153">
        <v>73</v>
      </c>
      <c r="O153" t="s">
        <v>41</v>
      </c>
      <c r="P153" t="s">
        <v>87</v>
      </c>
    </row>
    <row r="154" spans="1:16" x14ac:dyDescent="0.35">
      <c r="A154" t="s">
        <v>190</v>
      </c>
      <c r="B154" t="s">
        <v>191</v>
      </c>
      <c r="C154" t="s">
        <v>84</v>
      </c>
      <c r="D154" t="s">
        <v>61</v>
      </c>
      <c r="E154" t="s">
        <v>37</v>
      </c>
      <c r="F154" s="1">
        <v>42318</v>
      </c>
      <c r="G154">
        <v>2020</v>
      </c>
      <c r="H154" t="s">
        <v>81</v>
      </c>
      <c r="I154" t="s">
        <v>4202</v>
      </c>
      <c r="J154" t="s">
        <v>40</v>
      </c>
      <c r="K154">
        <v>6.5</v>
      </c>
      <c r="L154">
        <v>2625056</v>
      </c>
      <c r="M154">
        <v>1707308</v>
      </c>
      <c r="N154">
        <v>71</v>
      </c>
      <c r="O154" t="s">
        <v>65</v>
      </c>
      <c r="P154" t="s">
        <v>32</v>
      </c>
    </row>
    <row r="155" spans="1:16" x14ac:dyDescent="0.35">
      <c r="A155" t="s">
        <v>3029</v>
      </c>
      <c r="B155" t="s">
        <v>3030</v>
      </c>
      <c r="C155" t="s">
        <v>84</v>
      </c>
      <c r="D155" t="s">
        <v>4178</v>
      </c>
      <c r="E155" t="s">
        <v>113</v>
      </c>
      <c r="F155" s="1">
        <v>42318</v>
      </c>
      <c r="G155">
        <v>2012</v>
      </c>
      <c r="H155" t="s">
        <v>114</v>
      </c>
      <c r="I155" t="s">
        <v>4313</v>
      </c>
      <c r="J155" t="s">
        <v>4178</v>
      </c>
      <c r="K155">
        <v>8.1999999999999993</v>
      </c>
      <c r="L155">
        <v>20932866</v>
      </c>
      <c r="M155">
        <v>3388338</v>
      </c>
      <c r="N155">
        <v>49</v>
      </c>
      <c r="O155" t="s">
        <v>123</v>
      </c>
      <c r="P155" t="s">
        <v>32</v>
      </c>
    </row>
    <row r="156" spans="1:16" x14ac:dyDescent="0.35">
      <c r="A156" t="s">
        <v>468</v>
      </c>
      <c r="B156" t="s">
        <v>469</v>
      </c>
      <c r="C156" t="s">
        <v>53</v>
      </c>
      <c r="D156" t="s">
        <v>19</v>
      </c>
      <c r="E156" t="s">
        <v>4196</v>
      </c>
      <c r="F156" s="1">
        <v>42322</v>
      </c>
      <c r="G156">
        <v>2003</v>
      </c>
      <c r="H156" t="s">
        <v>4178</v>
      </c>
      <c r="I156" t="s">
        <v>136</v>
      </c>
      <c r="J156" t="s">
        <v>72</v>
      </c>
      <c r="K156">
        <v>7.3</v>
      </c>
      <c r="L156">
        <v>11685216</v>
      </c>
      <c r="M156">
        <v>150082</v>
      </c>
      <c r="N156">
        <v>71</v>
      </c>
      <c r="O156" t="s">
        <v>104</v>
      </c>
      <c r="P156" t="s">
        <v>4181</v>
      </c>
    </row>
    <row r="157" spans="1:16" x14ac:dyDescent="0.35">
      <c r="A157" t="s">
        <v>2515</v>
      </c>
      <c r="B157" t="s">
        <v>2516</v>
      </c>
      <c r="C157" t="s">
        <v>53</v>
      </c>
      <c r="D157" t="s">
        <v>94</v>
      </c>
      <c r="E157" t="s">
        <v>113</v>
      </c>
      <c r="F157" s="1">
        <v>42327</v>
      </c>
      <c r="G157">
        <v>2002</v>
      </c>
      <c r="H157" t="s">
        <v>114</v>
      </c>
      <c r="I157" t="s">
        <v>136</v>
      </c>
      <c r="J157" t="s">
        <v>133</v>
      </c>
      <c r="K157">
        <v>9.3000000000000007</v>
      </c>
      <c r="L157">
        <v>7649379</v>
      </c>
      <c r="M157">
        <v>1066031</v>
      </c>
      <c r="N157">
        <v>95</v>
      </c>
      <c r="O157" t="s">
        <v>91</v>
      </c>
      <c r="P157" t="s">
        <v>4178</v>
      </c>
    </row>
    <row r="158" spans="1:16" x14ac:dyDescent="0.35">
      <c r="A158" t="s">
        <v>1143</v>
      </c>
      <c r="B158" t="s">
        <v>1144</v>
      </c>
      <c r="C158" t="s">
        <v>84</v>
      </c>
      <c r="D158" t="s">
        <v>94</v>
      </c>
      <c r="E158" t="s">
        <v>99</v>
      </c>
      <c r="F158" s="1">
        <v>42330</v>
      </c>
      <c r="G158">
        <v>2004</v>
      </c>
      <c r="H158" t="s">
        <v>46</v>
      </c>
      <c r="I158" t="s">
        <v>4189</v>
      </c>
      <c r="J158" t="s">
        <v>48</v>
      </c>
      <c r="K158">
        <v>8.5</v>
      </c>
      <c r="L158">
        <v>14784019</v>
      </c>
      <c r="M158">
        <v>1437567</v>
      </c>
      <c r="N158">
        <v>93</v>
      </c>
      <c r="O158" t="s">
        <v>104</v>
      </c>
      <c r="P158" t="s">
        <v>87</v>
      </c>
    </row>
    <row r="159" spans="1:16" x14ac:dyDescent="0.35">
      <c r="A159" t="s">
        <v>1294</v>
      </c>
      <c r="B159" t="s">
        <v>1295</v>
      </c>
      <c r="C159" t="s">
        <v>84</v>
      </c>
      <c r="D159" t="s">
        <v>4178</v>
      </c>
      <c r="E159" t="s">
        <v>99</v>
      </c>
      <c r="F159" s="1">
        <v>42332</v>
      </c>
      <c r="G159">
        <v>2006</v>
      </c>
      <c r="H159" t="s">
        <v>21</v>
      </c>
      <c r="I159" t="s">
        <v>4277</v>
      </c>
      <c r="J159" t="s">
        <v>72</v>
      </c>
      <c r="K159">
        <v>8</v>
      </c>
      <c r="L159">
        <v>4633503</v>
      </c>
      <c r="M159">
        <v>4556829</v>
      </c>
      <c r="N159">
        <v>68</v>
      </c>
      <c r="O159" t="s">
        <v>24</v>
      </c>
      <c r="P159" t="s">
        <v>4178</v>
      </c>
    </row>
    <row r="160" spans="1:16" x14ac:dyDescent="0.35">
      <c r="A160" t="s">
        <v>1930</v>
      </c>
      <c r="B160" t="s">
        <v>1931</v>
      </c>
      <c r="C160" t="s">
        <v>84</v>
      </c>
      <c r="D160" t="s">
        <v>68</v>
      </c>
      <c r="E160" t="s">
        <v>62</v>
      </c>
      <c r="F160" s="1">
        <v>42332</v>
      </c>
      <c r="G160">
        <v>2026</v>
      </c>
      <c r="H160" t="s">
        <v>121</v>
      </c>
      <c r="I160" t="s">
        <v>4234</v>
      </c>
      <c r="J160" t="s">
        <v>23</v>
      </c>
      <c r="K160">
        <v>9.1</v>
      </c>
      <c r="L160">
        <v>16544920</v>
      </c>
      <c r="M160">
        <v>2575180</v>
      </c>
      <c r="N160">
        <v>65</v>
      </c>
      <c r="O160" t="s">
        <v>58</v>
      </c>
      <c r="P160" t="s">
        <v>32</v>
      </c>
    </row>
    <row r="161" spans="1:16" x14ac:dyDescent="0.35">
      <c r="A161" t="s">
        <v>2288</v>
      </c>
      <c r="B161" t="s">
        <v>2289</v>
      </c>
      <c r="C161" t="s">
        <v>84</v>
      </c>
      <c r="D161" t="s">
        <v>36</v>
      </c>
      <c r="E161" t="s">
        <v>4178</v>
      </c>
      <c r="F161" s="1">
        <v>42335</v>
      </c>
      <c r="G161">
        <v>2032</v>
      </c>
      <c r="H161" t="s">
        <v>21</v>
      </c>
      <c r="I161" t="s">
        <v>4199</v>
      </c>
      <c r="J161" t="s">
        <v>40</v>
      </c>
      <c r="K161">
        <v>8.1999999999999993</v>
      </c>
      <c r="L161">
        <v>13417011</v>
      </c>
      <c r="M161">
        <v>235338</v>
      </c>
      <c r="N161">
        <v>86</v>
      </c>
      <c r="O161" t="s">
        <v>49</v>
      </c>
      <c r="P161" t="s">
        <v>50</v>
      </c>
    </row>
    <row r="162" spans="1:16" x14ac:dyDescent="0.35">
      <c r="A162" t="s">
        <v>362</v>
      </c>
      <c r="B162" t="s">
        <v>363</v>
      </c>
      <c r="C162" t="s">
        <v>84</v>
      </c>
      <c r="D162" t="s">
        <v>36</v>
      </c>
      <c r="E162" t="s">
        <v>20</v>
      </c>
      <c r="F162" s="1">
        <v>42336</v>
      </c>
      <c r="G162">
        <v>2019</v>
      </c>
      <c r="H162" t="s">
        <v>63</v>
      </c>
      <c r="I162" t="s">
        <v>4225</v>
      </c>
      <c r="J162" t="s">
        <v>4178</v>
      </c>
      <c r="K162">
        <v>6.5</v>
      </c>
      <c r="L162">
        <v>10442641</v>
      </c>
      <c r="M162">
        <v>1508194</v>
      </c>
      <c r="N162">
        <v>54</v>
      </c>
      <c r="O162" t="s">
        <v>4178</v>
      </c>
      <c r="P162" t="s">
        <v>32</v>
      </c>
    </row>
    <row r="163" spans="1:16" x14ac:dyDescent="0.35">
      <c r="A163" t="s">
        <v>3039</v>
      </c>
      <c r="B163" t="s">
        <v>3040</v>
      </c>
      <c r="C163" t="s">
        <v>53</v>
      </c>
      <c r="D163" t="s">
        <v>68</v>
      </c>
      <c r="E163" t="s">
        <v>131</v>
      </c>
      <c r="F163" s="1">
        <v>42336</v>
      </c>
      <c r="G163">
        <v>2001</v>
      </c>
      <c r="H163" t="s">
        <v>107</v>
      </c>
      <c r="I163" t="s">
        <v>136</v>
      </c>
      <c r="J163" t="s">
        <v>153</v>
      </c>
      <c r="K163">
        <v>5.4</v>
      </c>
      <c r="L163">
        <v>21301685</v>
      </c>
      <c r="M163">
        <v>3384697</v>
      </c>
      <c r="N163">
        <v>89</v>
      </c>
      <c r="O163" t="s">
        <v>58</v>
      </c>
      <c r="P163" t="s">
        <v>87</v>
      </c>
    </row>
    <row r="164" spans="1:16" x14ac:dyDescent="0.35">
      <c r="A164" t="s">
        <v>2076</v>
      </c>
      <c r="B164" t="s">
        <v>2077</v>
      </c>
      <c r="C164" t="s">
        <v>53</v>
      </c>
      <c r="D164" t="s">
        <v>94</v>
      </c>
      <c r="E164" t="s">
        <v>62</v>
      </c>
      <c r="F164" s="1">
        <v>42341</v>
      </c>
      <c r="G164">
        <v>2023</v>
      </c>
      <c r="H164" t="s">
        <v>21</v>
      </c>
      <c r="I164" t="s">
        <v>136</v>
      </c>
      <c r="J164" t="s">
        <v>23</v>
      </c>
      <c r="K164">
        <v>6</v>
      </c>
      <c r="L164">
        <v>3343458</v>
      </c>
      <c r="M164">
        <v>3780106</v>
      </c>
      <c r="N164">
        <v>96</v>
      </c>
      <c r="O164" t="s">
        <v>24</v>
      </c>
      <c r="P164" t="s">
        <v>50</v>
      </c>
    </row>
    <row r="165" spans="1:16" x14ac:dyDescent="0.35">
      <c r="A165" t="s">
        <v>2910</v>
      </c>
      <c r="B165" t="s">
        <v>2911</v>
      </c>
      <c r="C165" t="s">
        <v>4178</v>
      </c>
      <c r="D165" t="s">
        <v>54</v>
      </c>
      <c r="E165" t="s">
        <v>4178</v>
      </c>
      <c r="F165" s="1">
        <v>42341</v>
      </c>
      <c r="G165">
        <v>2022</v>
      </c>
      <c r="H165" t="s">
        <v>121</v>
      </c>
      <c r="I165" t="s">
        <v>56</v>
      </c>
      <c r="J165" t="s">
        <v>40</v>
      </c>
      <c r="K165">
        <v>8.6</v>
      </c>
      <c r="L165">
        <v>6756414</v>
      </c>
      <c r="M165">
        <v>1148967</v>
      </c>
      <c r="N165">
        <v>67</v>
      </c>
      <c r="O165" t="s">
        <v>41</v>
      </c>
      <c r="P165" t="s">
        <v>32</v>
      </c>
    </row>
    <row r="166" spans="1:16" x14ac:dyDescent="0.35">
      <c r="A166" t="s">
        <v>2210</v>
      </c>
      <c r="B166" t="s">
        <v>2211</v>
      </c>
      <c r="C166" t="s">
        <v>84</v>
      </c>
      <c r="D166" t="s">
        <v>90</v>
      </c>
      <c r="E166" t="s">
        <v>4196</v>
      </c>
      <c r="F166" s="1">
        <v>42342</v>
      </c>
      <c r="G166">
        <v>2005</v>
      </c>
      <c r="H166" t="s">
        <v>63</v>
      </c>
      <c r="I166" t="s">
        <v>4348</v>
      </c>
      <c r="J166" t="s">
        <v>23</v>
      </c>
      <c r="K166">
        <v>5.0999999999999996</v>
      </c>
      <c r="L166">
        <v>7739832</v>
      </c>
      <c r="M166">
        <v>1688759</v>
      </c>
      <c r="N166">
        <v>87</v>
      </c>
      <c r="O166" t="s">
        <v>24</v>
      </c>
      <c r="P166" t="s">
        <v>50</v>
      </c>
    </row>
    <row r="167" spans="1:16" x14ac:dyDescent="0.35">
      <c r="A167" t="s">
        <v>1528</v>
      </c>
      <c r="B167" t="s">
        <v>1529</v>
      </c>
      <c r="C167" t="s">
        <v>53</v>
      </c>
      <c r="D167" t="s">
        <v>4178</v>
      </c>
      <c r="E167" t="s">
        <v>80</v>
      </c>
      <c r="F167" s="1">
        <v>42344</v>
      </c>
      <c r="G167">
        <v>2017</v>
      </c>
      <c r="H167" t="s">
        <v>4178</v>
      </c>
      <c r="I167" t="s">
        <v>162</v>
      </c>
      <c r="J167" t="s">
        <v>133</v>
      </c>
      <c r="K167">
        <v>8.9</v>
      </c>
      <c r="L167">
        <v>5191756</v>
      </c>
      <c r="M167">
        <v>1905556</v>
      </c>
      <c r="N167">
        <v>65</v>
      </c>
      <c r="O167" t="s">
        <v>58</v>
      </c>
      <c r="P167" t="s">
        <v>4181</v>
      </c>
    </row>
    <row r="168" spans="1:16" x14ac:dyDescent="0.35">
      <c r="A168" t="s">
        <v>130</v>
      </c>
      <c r="B168" t="s">
        <v>129</v>
      </c>
      <c r="C168" t="s">
        <v>84</v>
      </c>
      <c r="D168" t="s">
        <v>75</v>
      </c>
      <c r="E168" t="s">
        <v>131</v>
      </c>
      <c r="F168" s="1">
        <v>42346</v>
      </c>
      <c r="G168">
        <v>2009</v>
      </c>
      <c r="H168" t="s">
        <v>121</v>
      </c>
      <c r="I168" t="s">
        <v>4191</v>
      </c>
      <c r="J168" t="s">
        <v>133</v>
      </c>
      <c r="K168">
        <v>7.3</v>
      </c>
      <c r="L168">
        <v>22073504</v>
      </c>
      <c r="M168">
        <v>3268500</v>
      </c>
      <c r="N168">
        <v>86</v>
      </c>
      <c r="O168" t="s">
        <v>49</v>
      </c>
      <c r="P168" t="s">
        <v>4181</v>
      </c>
    </row>
    <row r="169" spans="1:16" x14ac:dyDescent="0.35">
      <c r="A169" t="s">
        <v>4117</v>
      </c>
      <c r="B169" t="s">
        <v>4118</v>
      </c>
      <c r="C169" t="s">
        <v>53</v>
      </c>
      <c r="D169" t="s">
        <v>75</v>
      </c>
      <c r="E169" t="s">
        <v>131</v>
      </c>
      <c r="F169" s="1">
        <v>42347</v>
      </c>
      <c r="G169">
        <v>2013</v>
      </c>
      <c r="H169" t="s">
        <v>63</v>
      </c>
      <c r="I169" t="s">
        <v>136</v>
      </c>
      <c r="J169" t="s">
        <v>133</v>
      </c>
      <c r="K169">
        <v>5.0999999999999996</v>
      </c>
      <c r="L169">
        <v>22326849</v>
      </c>
      <c r="M169">
        <v>3957731</v>
      </c>
      <c r="N169">
        <v>56</v>
      </c>
      <c r="O169" t="s">
        <v>31</v>
      </c>
      <c r="P169" t="s">
        <v>4181</v>
      </c>
    </row>
    <row r="170" spans="1:16" x14ac:dyDescent="0.35">
      <c r="A170" t="s">
        <v>229</v>
      </c>
      <c r="B170" t="s">
        <v>230</v>
      </c>
      <c r="C170" t="s">
        <v>84</v>
      </c>
      <c r="D170" t="s">
        <v>61</v>
      </c>
      <c r="E170" t="s">
        <v>131</v>
      </c>
      <c r="F170" s="1">
        <v>42354</v>
      </c>
      <c r="G170">
        <v>2023</v>
      </c>
      <c r="H170" t="s">
        <v>114</v>
      </c>
      <c r="I170" t="s">
        <v>4210</v>
      </c>
      <c r="J170" t="s">
        <v>30</v>
      </c>
      <c r="K170">
        <v>5.6</v>
      </c>
      <c r="L170">
        <v>17924514</v>
      </c>
      <c r="M170">
        <v>554215</v>
      </c>
      <c r="N170">
        <v>88</v>
      </c>
      <c r="O170" t="s">
        <v>58</v>
      </c>
      <c r="P170" t="s">
        <v>87</v>
      </c>
    </row>
    <row r="171" spans="1:16" x14ac:dyDescent="0.35">
      <c r="A171" t="s">
        <v>1009</v>
      </c>
      <c r="B171" t="s">
        <v>1010</v>
      </c>
      <c r="C171" t="s">
        <v>53</v>
      </c>
      <c r="D171" t="s">
        <v>4178</v>
      </c>
      <c r="E171" t="s">
        <v>69</v>
      </c>
      <c r="F171" s="1">
        <v>42354</v>
      </c>
      <c r="G171">
        <v>2015</v>
      </c>
      <c r="H171" t="s">
        <v>81</v>
      </c>
      <c r="I171" t="s">
        <v>56</v>
      </c>
      <c r="J171" t="s">
        <v>48</v>
      </c>
      <c r="K171">
        <v>6.6</v>
      </c>
      <c r="L171">
        <v>4067652</v>
      </c>
      <c r="M171">
        <v>3058672</v>
      </c>
      <c r="N171">
        <v>98</v>
      </c>
      <c r="O171" t="s">
        <v>24</v>
      </c>
      <c r="P171" t="s">
        <v>4178</v>
      </c>
    </row>
    <row r="172" spans="1:16" x14ac:dyDescent="0.35">
      <c r="A172" t="s">
        <v>899</v>
      </c>
      <c r="B172" t="s">
        <v>900</v>
      </c>
      <c r="C172" t="s">
        <v>53</v>
      </c>
      <c r="D172" t="s">
        <v>4178</v>
      </c>
      <c r="E172" t="s">
        <v>4196</v>
      </c>
      <c r="F172" s="1">
        <v>42357</v>
      </c>
      <c r="G172">
        <v>2011</v>
      </c>
      <c r="H172" t="s">
        <v>38</v>
      </c>
      <c r="I172" t="s">
        <v>4178</v>
      </c>
      <c r="J172" t="s">
        <v>57</v>
      </c>
      <c r="K172">
        <v>8.9</v>
      </c>
      <c r="L172">
        <v>16432546</v>
      </c>
      <c r="M172">
        <v>4061136</v>
      </c>
      <c r="N172">
        <v>96</v>
      </c>
      <c r="O172" t="s">
        <v>91</v>
      </c>
      <c r="P172" t="s">
        <v>32</v>
      </c>
    </row>
    <row r="173" spans="1:16" x14ac:dyDescent="0.35">
      <c r="A173" t="s">
        <v>1798</v>
      </c>
      <c r="B173" t="s">
        <v>1799</v>
      </c>
      <c r="C173" t="s">
        <v>84</v>
      </c>
      <c r="D173" t="s">
        <v>54</v>
      </c>
      <c r="E173" t="s">
        <v>113</v>
      </c>
      <c r="F173" s="1">
        <v>42357</v>
      </c>
      <c r="G173">
        <v>2012</v>
      </c>
      <c r="H173" t="s">
        <v>81</v>
      </c>
      <c r="I173" t="s">
        <v>4188</v>
      </c>
      <c r="J173" t="s">
        <v>153</v>
      </c>
      <c r="K173">
        <v>9.1999999999999993</v>
      </c>
      <c r="L173">
        <v>6384123</v>
      </c>
      <c r="M173">
        <v>1481638</v>
      </c>
      <c r="N173">
        <v>51</v>
      </c>
      <c r="O173" t="s">
        <v>91</v>
      </c>
      <c r="P173" t="s">
        <v>32</v>
      </c>
    </row>
    <row r="174" spans="1:16" x14ac:dyDescent="0.35">
      <c r="A174" t="s">
        <v>540</v>
      </c>
      <c r="B174" t="s">
        <v>541</v>
      </c>
      <c r="C174" t="s">
        <v>84</v>
      </c>
      <c r="D174" t="s">
        <v>68</v>
      </c>
      <c r="E174" t="s">
        <v>55</v>
      </c>
      <c r="F174" s="1">
        <v>42361</v>
      </c>
      <c r="G174">
        <v>2022</v>
      </c>
      <c r="H174" t="s">
        <v>107</v>
      </c>
      <c r="I174" t="s">
        <v>4250</v>
      </c>
      <c r="J174" t="s">
        <v>153</v>
      </c>
      <c r="K174">
        <v>6.7</v>
      </c>
      <c r="L174">
        <v>21772643</v>
      </c>
      <c r="M174">
        <v>1769533</v>
      </c>
      <c r="N174">
        <v>86</v>
      </c>
      <c r="O174" t="s">
        <v>104</v>
      </c>
      <c r="P174" t="s">
        <v>87</v>
      </c>
    </row>
    <row r="175" spans="1:16" x14ac:dyDescent="0.35">
      <c r="A175" t="s">
        <v>400</v>
      </c>
      <c r="B175" t="s">
        <v>401</v>
      </c>
      <c r="C175" t="s">
        <v>84</v>
      </c>
      <c r="D175" t="s">
        <v>36</v>
      </c>
      <c r="E175" t="s">
        <v>131</v>
      </c>
      <c r="F175" s="1">
        <v>42362</v>
      </c>
      <c r="G175">
        <v>2026</v>
      </c>
      <c r="H175" t="s">
        <v>85</v>
      </c>
      <c r="I175" t="s">
        <v>4235</v>
      </c>
      <c r="J175" t="s">
        <v>40</v>
      </c>
      <c r="K175">
        <v>6.6</v>
      </c>
      <c r="L175">
        <v>210926</v>
      </c>
      <c r="M175">
        <v>2815421</v>
      </c>
      <c r="N175">
        <v>61</v>
      </c>
      <c r="O175" t="s">
        <v>31</v>
      </c>
      <c r="P175" t="s">
        <v>87</v>
      </c>
    </row>
    <row r="176" spans="1:16" x14ac:dyDescent="0.35">
      <c r="A176" t="s">
        <v>809</v>
      </c>
      <c r="B176" t="s">
        <v>810</v>
      </c>
      <c r="C176" t="s">
        <v>4178</v>
      </c>
      <c r="D176" t="s">
        <v>156</v>
      </c>
      <c r="E176" t="s">
        <v>80</v>
      </c>
      <c r="F176" s="1">
        <v>42364</v>
      </c>
      <c r="G176">
        <v>2000</v>
      </c>
      <c r="H176" t="s">
        <v>38</v>
      </c>
      <c r="I176" t="s">
        <v>56</v>
      </c>
      <c r="J176" t="s">
        <v>57</v>
      </c>
      <c r="K176">
        <v>8</v>
      </c>
      <c r="L176">
        <v>990483</v>
      </c>
      <c r="M176">
        <v>3444464</v>
      </c>
      <c r="N176">
        <v>57</v>
      </c>
      <c r="O176" t="s">
        <v>65</v>
      </c>
      <c r="P176" t="s">
        <v>87</v>
      </c>
    </row>
    <row r="177" spans="1:16" x14ac:dyDescent="0.35">
      <c r="A177" t="s">
        <v>219</v>
      </c>
      <c r="B177" t="s">
        <v>220</v>
      </c>
      <c r="C177" t="s">
        <v>4178</v>
      </c>
      <c r="D177" t="s">
        <v>68</v>
      </c>
      <c r="E177" t="s">
        <v>131</v>
      </c>
      <c r="F177" s="1">
        <v>42365</v>
      </c>
      <c r="G177">
        <v>2000</v>
      </c>
      <c r="H177" t="s">
        <v>21</v>
      </c>
      <c r="I177" t="s">
        <v>162</v>
      </c>
      <c r="J177" t="s">
        <v>96</v>
      </c>
      <c r="K177">
        <v>8.6</v>
      </c>
      <c r="L177">
        <v>-565</v>
      </c>
      <c r="M177">
        <v>1655721</v>
      </c>
      <c r="N177">
        <v>52</v>
      </c>
      <c r="O177" t="s">
        <v>65</v>
      </c>
      <c r="P177" t="s">
        <v>4178</v>
      </c>
    </row>
    <row r="178" spans="1:16" x14ac:dyDescent="0.35">
      <c r="A178" t="s">
        <v>2258</v>
      </c>
      <c r="B178" t="s">
        <v>2259</v>
      </c>
      <c r="C178" t="s">
        <v>84</v>
      </c>
      <c r="D178" t="s">
        <v>94</v>
      </c>
      <c r="E178" t="s">
        <v>20</v>
      </c>
      <c r="F178" s="1">
        <v>42365</v>
      </c>
      <c r="G178">
        <v>2016</v>
      </c>
      <c r="H178" t="s">
        <v>85</v>
      </c>
      <c r="I178" t="s">
        <v>4289</v>
      </c>
      <c r="J178" t="s">
        <v>48</v>
      </c>
      <c r="K178">
        <v>7.9</v>
      </c>
      <c r="L178">
        <v>12293595</v>
      </c>
      <c r="M178">
        <v>4762011</v>
      </c>
      <c r="N178">
        <v>77</v>
      </c>
      <c r="O178" t="s">
        <v>49</v>
      </c>
      <c r="P178" t="s">
        <v>50</v>
      </c>
    </row>
    <row r="179" spans="1:16" x14ac:dyDescent="0.35">
      <c r="A179" t="s">
        <v>3149</v>
      </c>
      <c r="B179" t="s">
        <v>3150</v>
      </c>
      <c r="C179" t="s">
        <v>84</v>
      </c>
      <c r="D179" t="s">
        <v>19</v>
      </c>
      <c r="E179" t="s">
        <v>28</v>
      </c>
      <c r="F179" s="1">
        <v>42365</v>
      </c>
      <c r="G179">
        <v>2004</v>
      </c>
      <c r="H179" t="s">
        <v>63</v>
      </c>
      <c r="I179" t="s">
        <v>4215</v>
      </c>
      <c r="J179" t="s">
        <v>103</v>
      </c>
      <c r="K179">
        <v>7.5</v>
      </c>
      <c r="L179">
        <v>14798698</v>
      </c>
      <c r="M179">
        <v>3600290</v>
      </c>
      <c r="N179">
        <v>65</v>
      </c>
      <c r="O179" t="s">
        <v>104</v>
      </c>
      <c r="P179" t="s">
        <v>50</v>
      </c>
    </row>
    <row r="180" spans="1:16" x14ac:dyDescent="0.35">
      <c r="A180" t="s">
        <v>2985</v>
      </c>
      <c r="B180" t="s">
        <v>2986</v>
      </c>
      <c r="C180" t="s">
        <v>4178</v>
      </c>
      <c r="D180" t="s">
        <v>36</v>
      </c>
      <c r="E180" t="s">
        <v>4178</v>
      </c>
      <c r="F180" s="1">
        <v>42367</v>
      </c>
      <c r="G180">
        <v>2000</v>
      </c>
      <c r="H180" t="s">
        <v>46</v>
      </c>
      <c r="I180" t="s">
        <v>39</v>
      </c>
      <c r="J180" t="s">
        <v>72</v>
      </c>
      <c r="K180">
        <v>6.9</v>
      </c>
      <c r="L180">
        <v>3921944</v>
      </c>
      <c r="M180">
        <v>2971003</v>
      </c>
      <c r="N180">
        <v>41</v>
      </c>
      <c r="O180" t="s">
        <v>24</v>
      </c>
      <c r="P180" t="s">
        <v>4181</v>
      </c>
    </row>
    <row r="181" spans="1:16" x14ac:dyDescent="0.35">
      <c r="A181" t="s">
        <v>897</v>
      </c>
      <c r="B181" t="s">
        <v>898</v>
      </c>
      <c r="C181" t="s">
        <v>4178</v>
      </c>
      <c r="D181" t="s">
        <v>4178</v>
      </c>
      <c r="E181" t="s">
        <v>99</v>
      </c>
      <c r="F181" s="1">
        <v>42372</v>
      </c>
      <c r="G181">
        <v>2024</v>
      </c>
      <c r="H181" t="s">
        <v>81</v>
      </c>
      <c r="I181" t="s">
        <v>95</v>
      </c>
      <c r="J181" t="s">
        <v>30</v>
      </c>
      <c r="K181">
        <v>9.3000000000000007</v>
      </c>
      <c r="L181">
        <v>15759247</v>
      </c>
      <c r="M181">
        <v>1856108</v>
      </c>
      <c r="N181">
        <v>44</v>
      </c>
      <c r="O181" t="s">
        <v>49</v>
      </c>
      <c r="P181" t="s">
        <v>32</v>
      </c>
    </row>
    <row r="182" spans="1:16" x14ac:dyDescent="0.35">
      <c r="A182" t="s">
        <v>764</v>
      </c>
      <c r="B182" t="s">
        <v>765</v>
      </c>
      <c r="C182" t="s">
        <v>4178</v>
      </c>
      <c r="D182" t="s">
        <v>94</v>
      </c>
      <c r="E182" t="s">
        <v>80</v>
      </c>
      <c r="F182" s="1">
        <v>42374</v>
      </c>
      <c r="G182">
        <v>2021</v>
      </c>
      <c r="H182" t="s">
        <v>114</v>
      </c>
      <c r="I182" t="s">
        <v>95</v>
      </c>
      <c r="J182" t="s">
        <v>133</v>
      </c>
      <c r="K182">
        <v>4.8</v>
      </c>
      <c r="L182">
        <v>1046438</v>
      </c>
      <c r="M182">
        <v>1382796</v>
      </c>
      <c r="N182">
        <v>55</v>
      </c>
      <c r="O182" t="s">
        <v>58</v>
      </c>
      <c r="P182" t="s">
        <v>4181</v>
      </c>
    </row>
    <row r="183" spans="1:16" x14ac:dyDescent="0.35">
      <c r="A183" t="s">
        <v>3677</v>
      </c>
      <c r="B183" t="s">
        <v>3678</v>
      </c>
      <c r="C183" t="s">
        <v>4178</v>
      </c>
      <c r="D183" t="s">
        <v>90</v>
      </c>
      <c r="E183" t="s">
        <v>4178</v>
      </c>
      <c r="F183" s="1">
        <v>42375</v>
      </c>
      <c r="G183">
        <v>2012</v>
      </c>
      <c r="H183" t="s">
        <v>46</v>
      </c>
      <c r="I183" t="s">
        <v>64</v>
      </c>
      <c r="J183" t="s">
        <v>48</v>
      </c>
      <c r="K183">
        <v>6.8</v>
      </c>
      <c r="L183">
        <v>-860</v>
      </c>
      <c r="M183">
        <v>2194407</v>
      </c>
      <c r="N183">
        <v>67</v>
      </c>
      <c r="O183" t="s">
        <v>58</v>
      </c>
      <c r="P183" t="s">
        <v>50</v>
      </c>
    </row>
    <row r="184" spans="1:16" x14ac:dyDescent="0.35">
      <c r="A184" t="s">
        <v>2437</v>
      </c>
      <c r="B184" t="s">
        <v>2438</v>
      </c>
      <c r="C184" t="s">
        <v>53</v>
      </c>
      <c r="D184" t="s">
        <v>75</v>
      </c>
      <c r="E184" t="s">
        <v>4178</v>
      </c>
      <c r="F184" s="1">
        <v>42381</v>
      </c>
      <c r="G184">
        <v>2024</v>
      </c>
      <c r="H184" t="s">
        <v>121</v>
      </c>
      <c r="I184" t="s">
        <v>95</v>
      </c>
      <c r="J184" t="s">
        <v>96</v>
      </c>
      <c r="K184">
        <v>5.7</v>
      </c>
      <c r="L184">
        <v>12370312</v>
      </c>
      <c r="M184">
        <v>2926974</v>
      </c>
      <c r="N184">
        <v>120</v>
      </c>
      <c r="O184" t="s">
        <v>49</v>
      </c>
      <c r="P184" t="s">
        <v>50</v>
      </c>
    </row>
    <row r="185" spans="1:16" x14ac:dyDescent="0.35">
      <c r="A185" t="s">
        <v>1909</v>
      </c>
      <c r="B185" t="s">
        <v>1910</v>
      </c>
      <c r="C185" t="s">
        <v>84</v>
      </c>
      <c r="D185" t="s">
        <v>27</v>
      </c>
      <c r="E185" t="s">
        <v>45</v>
      </c>
      <c r="F185" s="1">
        <v>42382</v>
      </c>
      <c r="G185">
        <v>2010</v>
      </c>
      <c r="H185" t="s">
        <v>114</v>
      </c>
      <c r="I185" t="s">
        <v>4303</v>
      </c>
      <c r="J185" t="s">
        <v>133</v>
      </c>
      <c r="K185">
        <v>8.5</v>
      </c>
      <c r="L185">
        <v>24459683</v>
      </c>
      <c r="M185">
        <v>2810698</v>
      </c>
      <c r="N185">
        <v>55</v>
      </c>
      <c r="O185" t="s">
        <v>24</v>
      </c>
      <c r="P185" t="s">
        <v>4178</v>
      </c>
    </row>
    <row r="186" spans="1:16" x14ac:dyDescent="0.35">
      <c r="A186" t="s">
        <v>2194</v>
      </c>
      <c r="B186" t="s">
        <v>4347</v>
      </c>
      <c r="C186" t="s">
        <v>53</v>
      </c>
      <c r="D186" t="s">
        <v>61</v>
      </c>
      <c r="E186" t="s">
        <v>69</v>
      </c>
      <c r="F186" s="1">
        <v>42385</v>
      </c>
      <c r="G186">
        <v>2007</v>
      </c>
      <c r="H186" t="s">
        <v>107</v>
      </c>
      <c r="I186" t="s">
        <v>162</v>
      </c>
      <c r="J186" t="s">
        <v>153</v>
      </c>
      <c r="K186">
        <v>8</v>
      </c>
      <c r="L186">
        <v>23244631</v>
      </c>
      <c r="M186">
        <v>2343459</v>
      </c>
      <c r="N186">
        <v>86</v>
      </c>
      <c r="O186" t="s">
        <v>41</v>
      </c>
      <c r="P186" t="s">
        <v>32</v>
      </c>
    </row>
    <row r="187" spans="1:16" x14ac:dyDescent="0.35">
      <c r="A187" t="s">
        <v>734</v>
      </c>
      <c r="B187" t="s">
        <v>735</v>
      </c>
      <c r="C187" t="s">
        <v>53</v>
      </c>
      <c r="D187" t="s">
        <v>36</v>
      </c>
      <c r="E187" t="s">
        <v>20</v>
      </c>
      <c r="F187" s="1">
        <v>42389</v>
      </c>
      <c r="G187">
        <v>2003</v>
      </c>
      <c r="H187" t="s">
        <v>38</v>
      </c>
      <c r="I187" t="s">
        <v>162</v>
      </c>
      <c r="J187" t="s">
        <v>153</v>
      </c>
      <c r="K187">
        <v>4.8</v>
      </c>
      <c r="L187">
        <v>14367448</v>
      </c>
      <c r="M187">
        <v>537956</v>
      </c>
      <c r="N187">
        <v>53</v>
      </c>
      <c r="O187" t="s">
        <v>4178</v>
      </c>
      <c r="P187" t="s">
        <v>50</v>
      </c>
    </row>
    <row r="188" spans="1:16" x14ac:dyDescent="0.35">
      <c r="A188" t="s">
        <v>297</v>
      </c>
      <c r="B188" t="s">
        <v>4221</v>
      </c>
      <c r="C188" t="s">
        <v>84</v>
      </c>
      <c r="D188" t="s">
        <v>156</v>
      </c>
      <c r="E188" t="s">
        <v>55</v>
      </c>
      <c r="F188" s="1">
        <v>42390</v>
      </c>
      <c r="G188">
        <v>2016</v>
      </c>
      <c r="H188" t="s">
        <v>4178</v>
      </c>
      <c r="I188" t="s">
        <v>4222</v>
      </c>
      <c r="J188" t="s">
        <v>57</v>
      </c>
      <c r="K188">
        <v>5.3</v>
      </c>
      <c r="L188">
        <v>6685710</v>
      </c>
      <c r="M188">
        <v>2507455</v>
      </c>
      <c r="N188">
        <v>68</v>
      </c>
      <c r="O188" t="s">
        <v>104</v>
      </c>
      <c r="P188" t="s">
        <v>32</v>
      </c>
    </row>
    <row r="189" spans="1:16" x14ac:dyDescent="0.35">
      <c r="A189" t="s">
        <v>2439</v>
      </c>
      <c r="B189" t="s">
        <v>4356</v>
      </c>
      <c r="C189" t="s">
        <v>84</v>
      </c>
      <c r="D189" t="s">
        <v>27</v>
      </c>
      <c r="E189" t="s">
        <v>113</v>
      </c>
      <c r="F189" s="1">
        <v>42390</v>
      </c>
      <c r="G189">
        <v>2026</v>
      </c>
      <c r="H189" t="s">
        <v>107</v>
      </c>
      <c r="I189" t="s">
        <v>4234</v>
      </c>
      <c r="J189" t="s">
        <v>30</v>
      </c>
      <c r="K189">
        <v>9.1999999999999993</v>
      </c>
      <c r="L189">
        <v>12993457</v>
      </c>
      <c r="M189">
        <v>1521580</v>
      </c>
      <c r="N189">
        <v>67</v>
      </c>
      <c r="O189" t="s">
        <v>41</v>
      </c>
      <c r="P189" t="s">
        <v>4178</v>
      </c>
    </row>
    <row r="190" spans="1:16" x14ac:dyDescent="0.35">
      <c r="A190" t="s">
        <v>2251</v>
      </c>
      <c r="B190" t="s">
        <v>2252</v>
      </c>
      <c r="C190" t="s">
        <v>84</v>
      </c>
      <c r="D190" t="s">
        <v>68</v>
      </c>
      <c r="E190" t="s">
        <v>4196</v>
      </c>
      <c r="F190" s="1">
        <v>42392</v>
      </c>
      <c r="G190">
        <v>2006</v>
      </c>
      <c r="H190" t="s">
        <v>46</v>
      </c>
      <c r="I190" t="s">
        <v>4350</v>
      </c>
      <c r="J190" t="s">
        <v>40</v>
      </c>
      <c r="K190">
        <v>6.2</v>
      </c>
      <c r="L190">
        <v>14016490</v>
      </c>
      <c r="M190">
        <v>4656338</v>
      </c>
      <c r="N190">
        <v>84</v>
      </c>
      <c r="O190" t="s">
        <v>104</v>
      </c>
      <c r="P190" t="s">
        <v>50</v>
      </c>
    </row>
    <row r="191" spans="1:16" x14ac:dyDescent="0.35">
      <c r="A191" t="s">
        <v>4057</v>
      </c>
      <c r="B191" t="s">
        <v>4058</v>
      </c>
      <c r="C191" t="s">
        <v>4178</v>
      </c>
      <c r="D191" t="s">
        <v>68</v>
      </c>
      <c r="E191" t="s">
        <v>113</v>
      </c>
      <c r="F191" s="1">
        <v>42394</v>
      </c>
      <c r="G191">
        <v>2006</v>
      </c>
      <c r="H191" t="s">
        <v>63</v>
      </c>
      <c r="I191" t="s">
        <v>95</v>
      </c>
      <c r="J191" t="s">
        <v>48</v>
      </c>
      <c r="K191">
        <v>8.1</v>
      </c>
      <c r="L191">
        <v>10496863</v>
      </c>
      <c r="M191">
        <v>2775613</v>
      </c>
      <c r="N191">
        <v>120</v>
      </c>
      <c r="O191" t="s">
        <v>58</v>
      </c>
      <c r="P191" t="s">
        <v>4178</v>
      </c>
    </row>
    <row r="192" spans="1:16" x14ac:dyDescent="0.35">
      <c r="A192" t="s">
        <v>913</v>
      </c>
      <c r="B192" t="s">
        <v>914</v>
      </c>
      <c r="C192" t="s">
        <v>53</v>
      </c>
      <c r="D192" t="s">
        <v>4178</v>
      </c>
      <c r="E192" t="s">
        <v>69</v>
      </c>
      <c r="F192" s="1">
        <v>42395</v>
      </c>
      <c r="G192">
        <v>2020</v>
      </c>
      <c r="H192" t="s">
        <v>46</v>
      </c>
      <c r="I192" t="s">
        <v>64</v>
      </c>
      <c r="J192" t="s">
        <v>103</v>
      </c>
      <c r="K192">
        <v>8.3000000000000007</v>
      </c>
      <c r="L192">
        <v>17318587</v>
      </c>
      <c r="M192">
        <v>1049874</v>
      </c>
      <c r="N192">
        <v>46</v>
      </c>
      <c r="O192" t="s">
        <v>49</v>
      </c>
      <c r="P192" t="s">
        <v>4178</v>
      </c>
    </row>
    <row r="193" spans="1:16" x14ac:dyDescent="0.35">
      <c r="A193" t="s">
        <v>1428</v>
      </c>
      <c r="B193" t="s">
        <v>1429</v>
      </c>
      <c r="C193" t="s">
        <v>84</v>
      </c>
      <c r="D193" t="s">
        <v>90</v>
      </c>
      <c r="E193" t="s">
        <v>4196</v>
      </c>
      <c r="F193" s="1">
        <v>42396</v>
      </c>
      <c r="G193">
        <v>2002</v>
      </c>
      <c r="H193" t="s">
        <v>63</v>
      </c>
      <c r="I193" t="s">
        <v>4236</v>
      </c>
      <c r="J193" t="s">
        <v>96</v>
      </c>
      <c r="K193">
        <v>5.9</v>
      </c>
      <c r="L193">
        <v>9093859</v>
      </c>
      <c r="M193">
        <v>3924218</v>
      </c>
      <c r="N193">
        <v>65</v>
      </c>
      <c r="O193" t="s">
        <v>4178</v>
      </c>
      <c r="P193" t="s">
        <v>4178</v>
      </c>
    </row>
    <row r="194" spans="1:16" x14ac:dyDescent="0.35">
      <c r="A194" t="s">
        <v>2453</v>
      </c>
      <c r="B194" t="s">
        <v>2454</v>
      </c>
      <c r="C194" t="s">
        <v>53</v>
      </c>
      <c r="D194" t="s">
        <v>4178</v>
      </c>
      <c r="E194" t="s">
        <v>62</v>
      </c>
      <c r="F194" s="1">
        <v>42397</v>
      </c>
      <c r="G194">
        <v>2018</v>
      </c>
      <c r="H194" t="s">
        <v>63</v>
      </c>
      <c r="I194" t="s">
        <v>162</v>
      </c>
      <c r="J194" t="s">
        <v>4178</v>
      </c>
      <c r="K194">
        <v>6.9</v>
      </c>
      <c r="L194">
        <v>5188695</v>
      </c>
      <c r="M194">
        <v>4681489</v>
      </c>
      <c r="N194">
        <v>47</v>
      </c>
      <c r="O194" t="s">
        <v>4178</v>
      </c>
      <c r="P194" t="s">
        <v>4178</v>
      </c>
    </row>
    <row r="195" spans="1:16" x14ac:dyDescent="0.35">
      <c r="A195" t="s">
        <v>830</v>
      </c>
      <c r="B195" t="s">
        <v>831</v>
      </c>
      <c r="C195" t="s">
        <v>53</v>
      </c>
      <c r="D195" t="s">
        <v>90</v>
      </c>
      <c r="E195" t="s">
        <v>131</v>
      </c>
      <c r="F195" s="1">
        <v>42401</v>
      </c>
      <c r="G195">
        <v>2020</v>
      </c>
      <c r="H195" t="s">
        <v>121</v>
      </c>
      <c r="I195" t="s">
        <v>162</v>
      </c>
      <c r="J195" t="s">
        <v>103</v>
      </c>
      <c r="K195">
        <v>5.6</v>
      </c>
      <c r="L195">
        <v>4544991</v>
      </c>
      <c r="M195">
        <v>1079184</v>
      </c>
      <c r="N195">
        <v>63</v>
      </c>
      <c r="O195" t="s">
        <v>49</v>
      </c>
      <c r="P195" t="s">
        <v>4178</v>
      </c>
    </row>
    <row r="196" spans="1:16" x14ac:dyDescent="0.35">
      <c r="A196" t="s">
        <v>3791</v>
      </c>
      <c r="B196" t="s">
        <v>3792</v>
      </c>
      <c r="C196" t="s">
        <v>84</v>
      </c>
      <c r="D196" t="s">
        <v>94</v>
      </c>
      <c r="E196" t="s">
        <v>131</v>
      </c>
      <c r="F196" s="1">
        <v>42401</v>
      </c>
      <c r="G196">
        <v>2016</v>
      </c>
      <c r="H196" t="s">
        <v>38</v>
      </c>
      <c r="I196" t="s">
        <v>4299</v>
      </c>
      <c r="J196" t="s">
        <v>72</v>
      </c>
      <c r="K196">
        <v>7.5</v>
      </c>
      <c r="L196">
        <v>22827110</v>
      </c>
      <c r="M196">
        <v>519694</v>
      </c>
      <c r="N196">
        <v>66</v>
      </c>
      <c r="O196" t="s">
        <v>58</v>
      </c>
      <c r="P196" t="s">
        <v>50</v>
      </c>
    </row>
    <row r="197" spans="1:16" x14ac:dyDescent="0.35">
      <c r="A197" t="s">
        <v>4009</v>
      </c>
      <c r="B197" t="s">
        <v>4010</v>
      </c>
      <c r="C197" t="s">
        <v>84</v>
      </c>
      <c r="D197" t="s">
        <v>61</v>
      </c>
      <c r="E197" t="s">
        <v>113</v>
      </c>
      <c r="F197" s="1">
        <v>42405</v>
      </c>
      <c r="G197">
        <v>2032</v>
      </c>
      <c r="H197" t="s">
        <v>4178</v>
      </c>
      <c r="I197" t="s">
        <v>4225</v>
      </c>
      <c r="J197" t="s">
        <v>48</v>
      </c>
      <c r="K197">
        <v>6.4</v>
      </c>
      <c r="L197">
        <v>18327021</v>
      </c>
      <c r="M197">
        <v>4525336</v>
      </c>
      <c r="N197">
        <v>70</v>
      </c>
      <c r="O197" t="s">
        <v>49</v>
      </c>
      <c r="P197" t="s">
        <v>4178</v>
      </c>
    </row>
    <row r="198" spans="1:16" x14ac:dyDescent="0.35">
      <c r="A198" t="s">
        <v>151</v>
      </c>
      <c r="B198" t="s">
        <v>4194</v>
      </c>
      <c r="C198" t="s">
        <v>53</v>
      </c>
      <c r="D198" t="s">
        <v>4178</v>
      </c>
      <c r="E198" t="s">
        <v>4178</v>
      </c>
      <c r="F198" s="1">
        <v>42406</v>
      </c>
      <c r="G198">
        <v>2017</v>
      </c>
      <c r="H198" t="s">
        <v>63</v>
      </c>
      <c r="I198" t="s">
        <v>95</v>
      </c>
      <c r="J198" t="s">
        <v>153</v>
      </c>
      <c r="K198">
        <v>6.1</v>
      </c>
      <c r="L198">
        <v>21914931</v>
      </c>
      <c r="M198">
        <v>2183456</v>
      </c>
      <c r="N198">
        <v>55</v>
      </c>
      <c r="O198" t="s">
        <v>123</v>
      </c>
      <c r="P198" t="s">
        <v>32</v>
      </c>
    </row>
    <row r="199" spans="1:16" x14ac:dyDescent="0.35">
      <c r="A199" t="s">
        <v>2944</v>
      </c>
      <c r="B199" t="s">
        <v>2945</v>
      </c>
      <c r="C199" t="s">
        <v>4178</v>
      </c>
      <c r="D199" t="s">
        <v>94</v>
      </c>
      <c r="E199" t="s">
        <v>4178</v>
      </c>
      <c r="F199" s="1">
        <v>42410</v>
      </c>
      <c r="G199">
        <v>2006</v>
      </c>
      <c r="H199" t="s">
        <v>21</v>
      </c>
      <c r="I199" t="s">
        <v>71</v>
      </c>
      <c r="J199" t="s">
        <v>96</v>
      </c>
      <c r="K199">
        <v>8.5</v>
      </c>
      <c r="L199">
        <v>21693189</v>
      </c>
      <c r="M199">
        <v>1277750</v>
      </c>
      <c r="N199">
        <v>86</v>
      </c>
      <c r="O199" t="s">
        <v>41</v>
      </c>
      <c r="P199" t="s">
        <v>32</v>
      </c>
    </row>
    <row r="200" spans="1:16" x14ac:dyDescent="0.35">
      <c r="A200" t="s">
        <v>3902</v>
      </c>
      <c r="B200" t="s">
        <v>3903</v>
      </c>
      <c r="C200" t="s">
        <v>53</v>
      </c>
      <c r="D200" t="s">
        <v>36</v>
      </c>
      <c r="E200" t="s">
        <v>4196</v>
      </c>
      <c r="F200" s="1">
        <v>42416</v>
      </c>
      <c r="G200">
        <v>2003</v>
      </c>
      <c r="H200" t="s">
        <v>4178</v>
      </c>
      <c r="I200" t="s">
        <v>136</v>
      </c>
      <c r="J200" t="s">
        <v>57</v>
      </c>
      <c r="K200">
        <v>8.5</v>
      </c>
      <c r="L200">
        <v>7995190</v>
      </c>
      <c r="M200">
        <v>3994406</v>
      </c>
      <c r="N200">
        <v>43</v>
      </c>
      <c r="O200" t="s">
        <v>91</v>
      </c>
      <c r="P200" t="s">
        <v>4178</v>
      </c>
    </row>
    <row r="201" spans="1:16" x14ac:dyDescent="0.35">
      <c r="A201" t="s">
        <v>2068</v>
      </c>
      <c r="B201" t="s">
        <v>2069</v>
      </c>
      <c r="C201" t="s">
        <v>84</v>
      </c>
      <c r="D201" t="s">
        <v>90</v>
      </c>
      <c r="E201" t="s">
        <v>62</v>
      </c>
      <c r="F201" s="1">
        <v>42418</v>
      </c>
      <c r="G201">
        <v>2026</v>
      </c>
      <c r="H201" t="s">
        <v>46</v>
      </c>
      <c r="I201" t="s">
        <v>4205</v>
      </c>
      <c r="J201" t="s">
        <v>23</v>
      </c>
      <c r="K201">
        <v>7.5</v>
      </c>
      <c r="L201">
        <v>17166176</v>
      </c>
      <c r="M201">
        <v>4545385</v>
      </c>
      <c r="N201">
        <v>90</v>
      </c>
      <c r="O201" t="s">
        <v>31</v>
      </c>
      <c r="P201" t="s">
        <v>4181</v>
      </c>
    </row>
    <row r="202" spans="1:16" x14ac:dyDescent="0.35">
      <c r="A202" t="s">
        <v>1966</v>
      </c>
      <c r="B202" t="s">
        <v>1967</v>
      </c>
      <c r="C202" t="s">
        <v>84</v>
      </c>
      <c r="D202" t="s">
        <v>94</v>
      </c>
      <c r="E202" t="s">
        <v>45</v>
      </c>
      <c r="F202" s="1">
        <v>42419</v>
      </c>
      <c r="G202">
        <v>2003</v>
      </c>
      <c r="H202" t="s">
        <v>81</v>
      </c>
      <c r="I202" t="s">
        <v>4269</v>
      </c>
      <c r="J202" t="s">
        <v>4178</v>
      </c>
      <c r="K202">
        <v>8.3000000000000007</v>
      </c>
      <c r="L202">
        <v>16810619</v>
      </c>
      <c r="M202">
        <v>1131419</v>
      </c>
      <c r="N202">
        <v>80</v>
      </c>
      <c r="O202" t="s">
        <v>123</v>
      </c>
      <c r="P202" t="s">
        <v>4178</v>
      </c>
    </row>
    <row r="203" spans="1:16" x14ac:dyDescent="0.35">
      <c r="A203" t="s">
        <v>2804</v>
      </c>
      <c r="B203" t="s">
        <v>2805</v>
      </c>
      <c r="C203" t="s">
        <v>53</v>
      </c>
      <c r="D203" t="s">
        <v>156</v>
      </c>
      <c r="E203" t="s">
        <v>80</v>
      </c>
      <c r="F203" s="1">
        <v>42426</v>
      </c>
      <c r="G203">
        <v>2018</v>
      </c>
      <c r="H203" t="s">
        <v>107</v>
      </c>
      <c r="I203" t="s">
        <v>118</v>
      </c>
      <c r="J203" t="s">
        <v>40</v>
      </c>
      <c r="K203">
        <v>5.3</v>
      </c>
      <c r="L203">
        <v>19849889</v>
      </c>
      <c r="M203">
        <v>3149546</v>
      </c>
      <c r="N203">
        <v>58</v>
      </c>
      <c r="O203" t="s">
        <v>41</v>
      </c>
      <c r="P203" t="s">
        <v>4178</v>
      </c>
    </row>
    <row r="204" spans="1:16" x14ac:dyDescent="0.35">
      <c r="A204" t="s">
        <v>3687</v>
      </c>
      <c r="B204" t="s">
        <v>3688</v>
      </c>
      <c r="C204" t="s">
        <v>53</v>
      </c>
      <c r="D204" t="s">
        <v>94</v>
      </c>
      <c r="E204" t="s">
        <v>4178</v>
      </c>
      <c r="F204" s="1">
        <v>42429</v>
      </c>
      <c r="G204">
        <v>2009</v>
      </c>
      <c r="H204" t="s">
        <v>46</v>
      </c>
      <c r="I204" t="s">
        <v>64</v>
      </c>
      <c r="J204" t="s">
        <v>103</v>
      </c>
      <c r="K204">
        <v>8.4</v>
      </c>
      <c r="L204">
        <v>11501590</v>
      </c>
      <c r="M204">
        <v>3715403</v>
      </c>
      <c r="N204">
        <v>58</v>
      </c>
      <c r="O204" t="s">
        <v>31</v>
      </c>
      <c r="P204" t="s">
        <v>87</v>
      </c>
    </row>
    <row r="205" spans="1:16" x14ac:dyDescent="0.35">
      <c r="A205" t="s">
        <v>3800</v>
      </c>
      <c r="B205" t="s">
        <v>3801</v>
      </c>
      <c r="C205" t="s">
        <v>84</v>
      </c>
      <c r="D205" t="s">
        <v>90</v>
      </c>
      <c r="E205" t="s">
        <v>4196</v>
      </c>
      <c r="F205" s="1">
        <v>42430</v>
      </c>
      <c r="G205">
        <v>2002</v>
      </c>
      <c r="H205" t="s">
        <v>46</v>
      </c>
      <c r="I205" t="s">
        <v>4216</v>
      </c>
      <c r="J205" t="s">
        <v>48</v>
      </c>
      <c r="K205">
        <v>8.6999999999999993</v>
      </c>
      <c r="L205">
        <v>3413658</v>
      </c>
      <c r="M205">
        <v>3049127</v>
      </c>
      <c r="N205">
        <v>71</v>
      </c>
      <c r="O205" t="s">
        <v>49</v>
      </c>
      <c r="P205" t="s">
        <v>4178</v>
      </c>
    </row>
    <row r="206" spans="1:16" x14ac:dyDescent="0.35">
      <c r="A206" t="s">
        <v>1102</v>
      </c>
      <c r="B206" t="s">
        <v>1103</v>
      </c>
      <c r="C206" t="s">
        <v>4178</v>
      </c>
      <c r="D206" t="s">
        <v>4178</v>
      </c>
      <c r="E206" t="s">
        <v>28</v>
      </c>
      <c r="F206" s="1">
        <v>42432</v>
      </c>
      <c r="G206">
        <v>2018</v>
      </c>
      <c r="H206" t="s">
        <v>114</v>
      </c>
      <c r="I206" t="s">
        <v>56</v>
      </c>
      <c r="J206" t="s">
        <v>23</v>
      </c>
      <c r="K206">
        <v>5.3</v>
      </c>
      <c r="L206">
        <v>18681804</v>
      </c>
      <c r="M206">
        <v>968245</v>
      </c>
      <c r="N206">
        <v>79</v>
      </c>
      <c r="O206" t="s">
        <v>4178</v>
      </c>
      <c r="P206" t="s">
        <v>87</v>
      </c>
    </row>
    <row r="207" spans="1:16" x14ac:dyDescent="0.35">
      <c r="A207" t="s">
        <v>1569</v>
      </c>
      <c r="B207" t="s">
        <v>1570</v>
      </c>
      <c r="C207" t="s">
        <v>84</v>
      </c>
      <c r="D207" t="s">
        <v>4178</v>
      </c>
      <c r="E207" t="s">
        <v>80</v>
      </c>
      <c r="F207" s="1">
        <v>42432</v>
      </c>
      <c r="G207">
        <v>2004</v>
      </c>
      <c r="H207" t="s">
        <v>4178</v>
      </c>
      <c r="I207" t="s">
        <v>4247</v>
      </c>
      <c r="J207" t="s">
        <v>57</v>
      </c>
      <c r="K207">
        <v>5.9</v>
      </c>
      <c r="L207">
        <v>12411760</v>
      </c>
      <c r="M207">
        <v>3837326</v>
      </c>
      <c r="N207">
        <v>90</v>
      </c>
      <c r="O207" t="s">
        <v>49</v>
      </c>
      <c r="P207" t="s">
        <v>32</v>
      </c>
    </row>
    <row r="208" spans="1:16" x14ac:dyDescent="0.35">
      <c r="A208" t="s">
        <v>1806</v>
      </c>
      <c r="B208" t="s">
        <v>1807</v>
      </c>
      <c r="C208" t="s">
        <v>84</v>
      </c>
      <c r="D208" t="s">
        <v>54</v>
      </c>
      <c r="E208" t="s">
        <v>62</v>
      </c>
      <c r="F208" s="1">
        <v>42437</v>
      </c>
      <c r="G208">
        <v>2009</v>
      </c>
      <c r="H208" t="s">
        <v>46</v>
      </c>
      <c r="I208" t="s">
        <v>4212</v>
      </c>
      <c r="J208" t="s">
        <v>4178</v>
      </c>
      <c r="K208">
        <v>5.8</v>
      </c>
      <c r="L208">
        <v>14402760</v>
      </c>
      <c r="M208">
        <v>4008293</v>
      </c>
      <c r="N208">
        <v>68</v>
      </c>
      <c r="O208" t="s">
        <v>65</v>
      </c>
      <c r="P208" t="s">
        <v>50</v>
      </c>
    </row>
    <row r="209" spans="1:16" x14ac:dyDescent="0.35">
      <c r="A209" t="s">
        <v>3066</v>
      </c>
      <c r="B209" t="s">
        <v>3067</v>
      </c>
      <c r="C209" t="s">
        <v>84</v>
      </c>
      <c r="D209" t="s">
        <v>54</v>
      </c>
      <c r="E209" t="s">
        <v>37</v>
      </c>
      <c r="F209" s="1">
        <v>42438</v>
      </c>
      <c r="G209">
        <v>2002</v>
      </c>
      <c r="H209" t="s">
        <v>121</v>
      </c>
      <c r="I209" t="s">
        <v>4276</v>
      </c>
      <c r="J209" t="s">
        <v>4178</v>
      </c>
      <c r="K209">
        <v>9.1</v>
      </c>
      <c r="L209">
        <v>11048520</v>
      </c>
      <c r="M209">
        <v>1102002</v>
      </c>
      <c r="N209">
        <v>84</v>
      </c>
      <c r="O209" t="s">
        <v>123</v>
      </c>
      <c r="P209" t="s">
        <v>32</v>
      </c>
    </row>
    <row r="210" spans="1:16" x14ac:dyDescent="0.35">
      <c r="A210" t="s">
        <v>2083</v>
      </c>
      <c r="B210" t="s">
        <v>2084</v>
      </c>
      <c r="C210" t="s">
        <v>84</v>
      </c>
      <c r="D210" t="s">
        <v>68</v>
      </c>
      <c r="E210" t="s">
        <v>45</v>
      </c>
      <c r="F210" s="1">
        <v>42439</v>
      </c>
      <c r="G210">
        <v>2007</v>
      </c>
      <c r="H210" t="s">
        <v>85</v>
      </c>
      <c r="I210" t="s">
        <v>4193</v>
      </c>
      <c r="J210" t="s">
        <v>103</v>
      </c>
      <c r="K210">
        <v>6.7</v>
      </c>
      <c r="L210">
        <v>19977468</v>
      </c>
      <c r="M210">
        <v>82606</v>
      </c>
      <c r="N210">
        <v>44</v>
      </c>
      <c r="O210" t="s">
        <v>41</v>
      </c>
      <c r="P210" t="s">
        <v>32</v>
      </c>
    </row>
    <row r="211" spans="1:16" x14ac:dyDescent="0.35">
      <c r="A211" t="s">
        <v>2758</v>
      </c>
      <c r="B211" t="s">
        <v>2759</v>
      </c>
      <c r="C211" t="s">
        <v>84</v>
      </c>
      <c r="D211" t="s">
        <v>36</v>
      </c>
      <c r="E211" t="s">
        <v>69</v>
      </c>
      <c r="F211" s="1">
        <v>42439</v>
      </c>
      <c r="G211">
        <v>2013</v>
      </c>
      <c r="H211" t="s">
        <v>81</v>
      </c>
      <c r="I211" t="s">
        <v>4275</v>
      </c>
      <c r="J211" t="s">
        <v>57</v>
      </c>
      <c r="K211">
        <v>8.6</v>
      </c>
      <c r="L211">
        <v>23347391</v>
      </c>
      <c r="M211">
        <v>212890</v>
      </c>
      <c r="N211">
        <v>94</v>
      </c>
      <c r="O211" t="s">
        <v>65</v>
      </c>
      <c r="P211" t="s">
        <v>50</v>
      </c>
    </row>
    <row r="212" spans="1:16" x14ac:dyDescent="0.35">
      <c r="A212" t="s">
        <v>1984</v>
      </c>
      <c r="B212" t="s">
        <v>1985</v>
      </c>
      <c r="C212" t="s">
        <v>53</v>
      </c>
      <c r="D212" t="s">
        <v>61</v>
      </c>
      <c r="E212" t="s">
        <v>4178</v>
      </c>
      <c r="F212" s="1">
        <v>42446</v>
      </c>
      <c r="G212">
        <v>2007</v>
      </c>
      <c r="H212" t="s">
        <v>46</v>
      </c>
      <c r="I212" t="s">
        <v>136</v>
      </c>
      <c r="J212" t="s">
        <v>153</v>
      </c>
      <c r="K212">
        <v>8.5</v>
      </c>
      <c r="L212">
        <v>6258343</v>
      </c>
      <c r="M212">
        <v>3191880</v>
      </c>
      <c r="N212">
        <v>91</v>
      </c>
      <c r="O212" t="s">
        <v>24</v>
      </c>
      <c r="P212" t="s">
        <v>50</v>
      </c>
    </row>
    <row r="213" spans="1:16" x14ac:dyDescent="0.35">
      <c r="A213" t="s">
        <v>3419</v>
      </c>
      <c r="B213" t="s">
        <v>3420</v>
      </c>
      <c r="C213" t="s">
        <v>84</v>
      </c>
      <c r="D213" t="s">
        <v>4178</v>
      </c>
      <c r="E213" t="s">
        <v>37</v>
      </c>
      <c r="F213" s="1">
        <v>42446</v>
      </c>
      <c r="G213">
        <v>2021</v>
      </c>
      <c r="H213" t="s">
        <v>121</v>
      </c>
      <c r="I213" t="s">
        <v>4281</v>
      </c>
      <c r="J213" t="s">
        <v>103</v>
      </c>
      <c r="K213">
        <v>9.1999999999999993</v>
      </c>
      <c r="L213">
        <v>22151254</v>
      </c>
      <c r="M213">
        <v>4946524</v>
      </c>
      <c r="N213">
        <v>47</v>
      </c>
      <c r="O213" t="s">
        <v>41</v>
      </c>
      <c r="P213" t="s">
        <v>50</v>
      </c>
    </row>
    <row r="214" spans="1:16" x14ac:dyDescent="0.35">
      <c r="A214" t="s">
        <v>2064</v>
      </c>
      <c r="B214" t="s">
        <v>4338</v>
      </c>
      <c r="C214" t="s">
        <v>84</v>
      </c>
      <c r="D214" t="s">
        <v>75</v>
      </c>
      <c r="E214" t="s">
        <v>99</v>
      </c>
      <c r="F214" s="1">
        <v>42447</v>
      </c>
      <c r="G214">
        <v>2024</v>
      </c>
      <c r="H214" t="s">
        <v>114</v>
      </c>
      <c r="I214" t="s">
        <v>4207</v>
      </c>
      <c r="J214" t="s">
        <v>133</v>
      </c>
      <c r="K214">
        <v>7.6</v>
      </c>
      <c r="L214">
        <v>13118195</v>
      </c>
      <c r="M214">
        <v>4972267</v>
      </c>
      <c r="N214">
        <v>44</v>
      </c>
      <c r="O214" t="s">
        <v>104</v>
      </c>
      <c r="P214" t="s">
        <v>4181</v>
      </c>
    </row>
    <row r="215" spans="1:16" x14ac:dyDescent="0.35">
      <c r="A215" t="s">
        <v>1386</v>
      </c>
      <c r="B215" t="s">
        <v>1387</v>
      </c>
      <c r="C215" t="s">
        <v>4178</v>
      </c>
      <c r="D215" t="s">
        <v>36</v>
      </c>
      <c r="E215" t="s">
        <v>131</v>
      </c>
      <c r="F215" s="1">
        <v>42448</v>
      </c>
      <c r="G215">
        <v>2032</v>
      </c>
      <c r="H215" t="s">
        <v>46</v>
      </c>
      <c r="I215" t="s">
        <v>64</v>
      </c>
      <c r="J215" t="s">
        <v>103</v>
      </c>
      <c r="K215">
        <v>9</v>
      </c>
      <c r="L215">
        <v>18091310</v>
      </c>
      <c r="M215">
        <v>1996107</v>
      </c>
      <c r="N215">
        <v>98</v>
      </c>
      <c r="O215" t="s">
        <v>65</v>
      </c>
      <c r="P215" t="s">
        <v>4181</v>
      </c>
    </row>
    <row r="216" spans="1:16" x14ac:dyDescent="0.35">
      <c r="A216" t="s">
        <v>2820</v>
      </c>
      <c r="B216" t="s">
        <v>2819</v>
      </c>
      <c r="C216" t="s">
        <v>53</v>
      </c>
      <c r="D216" t="s">
        <v>90</v>
      </c>
      <c r="E216" t="s">
        <v>62</v>
      </c>
      <c r="F216" s="1">
        <v>42449</v>
      </c>
      <c r="G216">
        <v>2018</v>
      </c>
      <c r="H216" t="s">
        <v>85</v>
      </c>
      <c r="I216" t="s">
        <v>64</v>
      </c>
      <c r="J216" t="s">
        <v>57</v>
      </c>
      <c r="K216">
        <v>8.1</v>
      </c>
      <c r="L216">
        <v>2053081</v>
      </c>
      <c r="M216">
        <v>4835178</v>
      </c>
      <c r="N216">
        <v>69</v>
      </c>
      <c r="O216" t="s">
        <v>123</v>
      </c>
      <c r="P216" t="s">
        <v>50</v>
      </c>
    </row>
    <row r="217" spans="1:16" x14ac:dyDescent="0.35">
      <c r="A217" t="s">
        <v>171</v>
      </c>
      <c r="B217" t="s">
        <v>172</v>
      </c>
      <c r="C217" t="s">
        <v>53</v>
      </c>
      <c r="D217" t="s">
        <v>94</v>
      </c>
      <c r="E217" t="s">
        <v>131</v>
      </c>
      <c r="F217" s="1">
        <v>42450</v>
      </c>
      <c r="G217">
        <v>2019</v>
      </c>
      <c r="H217" t="s">
        <v>63</v>
      </c>
      <c r="I217" t="s">
        <v>71</v>
      </c>
      <c r="J217" t="s">
        <v>133</v>
      </c>
      <c r="K217">
        <v>6.6</v>
      </c>
      <c r="L217">
        <v>10552801</v>
      </c>
      <c r="M217">
        <v>950637</v>
      </c>
      <c r="N217">
        <v>99</v>
      </c>
      <c r="O217" t="s">
        <v>91</v>
      </c>
      <c r="P217" t="s">
        <v>50</v>
      </c>
    </row>
    <row r="218" spans="1:16" x14ac:dyDescent="0.35">
      <c r="A218" t="s">
        <v>1802</v>
      </c>
      <c r="B218" t="s">
        <v>1803</v>
      </c>
      <c r="C218" t="s">
        <v>84</v>
      </c>
      <c r="D218" t="s">
        <v>19</v>
      </c>
      <c r="E218" t="s">
        <v>113</v>
      </c>
      <c r="F218" s="1">
        <v>42452</v>
      </c>
      <c r="G218">
        <v>2012</v>
      </c>
      <c r="H218" t="s">
        <v>21</v>
      </c>
      <c r="I218" t="s">
        <v>4285</v>
      </c>
      <c r="J218" t="s">
        <v>133</v>
      </c>
      <c r="K218">
        <v>7.4</v>
      </c>
      <c r="L218">
        <v>24075057</v>
      </c>
      <c r="M218">
        <v>3495659</v>
      </c>
      <c r="N218">
        <v>42</v>
      </c>
      <c r="O218" t="s">
        <v>91</v>
      </c>
      <c r="P218" t="s">
        <v>50</v>
      </c>
    </row>
    <row r="219" spans="1:16" x14ac:dyDescent="0.35">
      <c r="A219" t="s">
        <v>3808</v>
      </c>
      <c r="B219" t="s">
        <v>3809</v>
      </c>
      <c r="C219" t="s">
        <v>53</v>
      </c>
      <c r="D219" t="s">
        <v>54</v>
      </c>
      <c r="E219" t="s">
        <v>37</v>
      </c>
      <c r="F219" s="1">
        <v>42452</v>
      </c>
      <c r="G219">
        <v>2018</v>
      </c>
      <c r="H219" t="s">
        <v>107</v>
      </c>
      <c r="I219" t="s">
        <v>71</v>
      </c>
      <c r="J219" t="s">
        <v>30</v>
      </c>
      <c r="K219">
        <v>8.9</v>
      </c>
      <c r="L219">
        <v>6088093</v>
      </c>
      <c r="M219">
        <v>4456488</v>
      </c>
      <c r="N219">
        <v>84</v>
      </c>
      <c r="O219" t="s">
        <v>104</v>
      </c>
      <c r="P219" t="s">
        <v>87</v>
      </c>
    </row>
    <row r="220" spans="1:16" x14ac:dyDescent="0.35">
      <c r="A220" t="s">
        <v>3888</v>
      </c>
      <c r="B220" t="s">
        <v>3889</v>
      </c>
      <c r="C220" t="s">
        <v>4178</v>
      </c>
      <c r="D220" t="s">
        <v>61</v>
      </c>
      <c r="E220" t="s">
        <v>131</v>
      </c>
      <c r="F220" s="1">
        <v>42453</v>
      </c>
      <c r="G220">
        <v>2013</v>
      </c>
      <c r="H220" t="s">
        <v>81</v>
      </c>
      <c r="I220" t="s">
        <v>136</v>
      </c>
      <c r="J220" t="s">
        <v>133</v>
      </c>
      <c r="K220">
        <v>8.1999999999999993</v>
      </c>
      <c r="L220">
        <v>5325881</v>
      </c>
      <c r="M220">
        <v>1525314</v>
      </c>
      <c r="N220">
        <v>58</v>
      </c>
      <c r="O220" t="s">
        <v>65</v>
      </c>
      <c r="P220" t="s">
        <v>4178</v>
      </c>
    </row>
    <row r="221" spans="1:16" x14ac:dyDescent="0.35">
      <c r="A221" t="s">
        <v>3737</v>
      </c>
      <c r="B221" t="s">
        <v>3738</v>
      </c>
      <c r="C221" t="s">
        <v>53</v>
      </c>
      <c r="D221" t="s">
        <v>19</v>
      </c>
      <c r="E221" t="s">
        <v>131</v>
      </c>
      <c r="F221" s="1">
        <v>42459</v>
      </c>
      <c r="G221">
        <v>2002</v>
      </c>
      <c r="H221" t="s">
        <v>114</v>
      </c>
      <c r="I221" t="s">
        <v>56</v>
      </c>
      <c r="J221" t="s">
        <v>72</v>
      </c>
      <c r="K221">
        <v>6.2</v>
      </c>
      <c r="L221">
        <v>16166647</v>
      </c>
      <c r="M221">
        <v>4799419</v>
      </c>
      <c r="N221">
        <v>87</v>
      </c>
      <c r="O221" t="s">
        <v>123</v>
      </c>
      <c r="P221" t="s">
        <v>32</v>
      </c>
    </row>
    <row r="222" spans="1:16" x14ac:dyDescent="0.35">
      <c r="A222" t="s">
        <v>2816</v>
      </c>
      <c r="B222" t="s">
        <v>2817</v>
      </c>
      <c r="C222" t="s">
        <v>84</v>
      </c>
      <c r="D222" t="s">
        <v>36</v>
      </c>
      <c r="E222" t="s">
        <v>4178</v>
      </c>
      <c r="F222" s="1">
        <v>42460</v>
      </c>
      <c r="G222">
        <v>2014</v>
      </c>
      <c r="H222" t="s">
        <v>107</v>
      </c>
      <c r="I222" t="s">
        <v>4237</v>
      </c>
      <c r="J222" t="s">
        <v>48</v>
      </c>
      <c r="K222">
        <v>6.5</v>
      </c>
      <c r="L222">
        <v>5308213</v>
      </c>
      <c r="M222">
        <v>2195855</v>
      </c>
      <c r="N222">
        <v>93</v>
      </c>
      <c r="O222" t="s">
        <v>41</v>
      </c>
      <c r="P222" t="s">
        <v>4178</v>
      </c>
    </row>
    <row r="223" spans="1:16" x14ac:dyDescent="0.35">
      <c r="A223" t="s">
        <v>1137</v>
      </c>
      <c r="B223" t="s">
        <v>1138</v>
      </c>
      <c r="C223" t="s">
        <v>53</v>
      </c>
      <c r="D223" t="s">
        <v>4178</v>
      </c>
      <c r="E223" t="s">
        <v>80</v>
      </c>
      <c r="F223" s="1">
        <v>42462</v>
      </c>
      <c r="G223">
        <v>2018</v>
      </c>
      <c r="H223" t="s">
        <v>114</v>
      </c>
      <c r="I223" t="s">
        <v>118</v>
      </c>
      <c r="J223" t="s">
        <v>153</v>
      </c>
      <c r="K223">
        <v>4.7</v>
      </c>
      <c r="L223">
        <v>23664092</v>
      </c>
      <c r="M223">
        <v>1308636</v>
      </c>
      <c r="N223">
        <v>98</v>
      </c>
      <c r="O223" t="s">
        <v>31</v>
      </c>
      <c r="P223" t="s">
        <v>87</v>
      </c>
    </row>
    <row r="224" spans="1:16" x14ac:dyDescent="0.35">
      <c r="A224" t="s">
        <v>3520</v>
      </c>
      <c r="B224" t="s">
        <v>3521</v>
      </c>
      <c r="C224" t="s">
        <v>84</v>
      </c>
      <c r="D224" t="s">
        <v>90</v>
      </c>
      <c r="E224" t="s">
        <v>113</v>
      </c>
      <c r="F224" s="1">
        <v>42462</v>
      </c>
      <c r="G224">
        <v>2010</v>
      </c>
      <c r="H224" t="s">
        <v>107</v>
      </c>
      <c r="I224" t="s">
        <v>4186</v>
      </c>
      <c r="J224" t="s">
        <v>40</v>
      </c>
      <c r="K224">
        <v>7.1</v>
      </c>
      <c r="L224">
        <v>18029771</v>
      </c>
      <c r="M224">
        <v>1606519</v>
      </c>
      <c r="N224">
        <v>73</v>
      </c>
      <c r="O224" t="s">
        <v>4178</v>
      </c>
      <c r="P224" t="s">
        <v>4178</v>
      </c>
    </row>
    <row r="225" spans="1:16" x14ac:dyDescent="0.35">
      <c r="A225" t="s">
        <v>1473</v>
      </c>
      <c r="B225" t="s">
        <v>1474</v>
      </c>
      <c r="C225" t="s">
        <v>53</v>
      </c>
      <c r="D225" t="s">
        <v>75</v>
      </c>
      <c r="E225" t="s">
        <v>4178</v>
      </c>
      <c r="F225" s="1">
        <v>42464</v>
      </c>
      <c r="G225">
        <v>2004</v>
      </c>
      <c r="H225" t="s">
        <v>114</v>
      </c>
      <c r="I225" t="s">
        <v>136</v>
      </c>
      <c r="J225" t="s">
        <v>96</v>
      </c>
      <c r="K225">
        <v>9.5</v>
      </c>
      <c r="L225">
        <v>12836288</v>
      </c>
      <c r="M225">
        <v>2028931</v>
      </c>
      <c r="N225">
        <v>41</v>
      </c>
      <c r="O225" t="s">
        <v>24</v>
      </c>
      <c r="P225" t="s">
        <v>4178</v>
      </c>
    </row>
    <row r="226" spans="1:16" x14ac:dyDescent="0.35">
      <c r="A226" t="s">
        <v>412</v>
      </c>
      <c r="B226" t="s">
        <v>413</v>
      </c>
      <c r="C226" t="s">
        <v>84</v>
      </c>
      <c r="D226" t="s">
        <v>75</v>
      </c>
      <c r="E226" t="s">
        <v>37</v>
      </c>
      <c r="F226" s="1">
        <v>42470</v>
      </c>
      <c r="G226">
        <v>2019</v>
      </c>
      <c r="H226" t="s">
        <v>114</v>
      </c>
      <c r="I226" t="s">
        <v>4185</v>
      </c>
      <c r="J226" t="s">
        <v>4178</v>
      </c>
      <c r="K226">
        <v>7.6</v>
      </c>
      <c r="L226">
        <v>179452</v>
      </c>
      <c r="M226">
        <v>1579542</v>
      </c>
      <c r="N226">
        <v>81</v>
      </c>
      <c r="O226" t="s">
        <v>24</v>
      </c>
      <c r="P226" t="s">
        <v>50</v>
      </c>
    </row>
    <row r="227" spans="1:16" x14ac:dyDescent="0.35">
      <c r="A227" t="s">
        <v>555</v>
      </c>
      <c r="B227" t="s">
        <v>556</v>
      </c>
      <c r="C227" t="s">
        <v>84</v>
      </c>
      <c r="D227" t="s">
        <v>54</v>
      </c>
      <c r="E227" t="s">
        <v>37</v>
      </c>
      <c r="F227" s="1">
        <v>42474</v>
      </c>
      <c r="G227">
        <v>2007</v>
      </c>
      <c r="H227" t="s">
        <v>107</v>
      </c>
      <c r="I227" t="s">
        <v>4188</v>
      </c>
      <c r="J227" t="s">
        <v>30</v>
      </c>
      <c r="K227">
        <v>9.8000000000000007</v>
      </c>
      <c r="L227">
        <v>12633846</v>
      </c>
      <c r="M227">
        <v>924145</v>
      </c>
      <c r="N227">
        <v>67</v>
      </c>
      <c r="O227" t="s">
        <v>65</v>
      </c>
      <c r="P227" t="s">
        <v>87</v>
      </c>
    </row>
    <row r="228" spans="1:16" x14ac:dyDescent="0.35">
      <c r="A228" t="s">
        <v>1213</v>
      </c>
      <c r="B228" t="s">
        <v>1214</v>
      </c>
      <c r="C228" t="s">
        <v>53</v>
      </c>
      <c r="D228" t="s">
        <v>4178</v>
      </c>
      <c r="E228" t="s">
        <v>37</v>
      </c>
      <c r="F228" s="1">
        <v>42479</v>
      </c>
      <c r="G228">
        <v>2018</v>
      </c>
      <c r="H228" t="s">
        <v>107</v>
      </c>
      <c r="I228" t="s">
        <v>4178</v>
      </c>
      <c r="J228" t="s">
        <v>48</v>
      </c>
      <c r="K228">
        <v>7.6</v>
      </c>
      <c r="L228">
        <v>22779744</v>
      </c>
      <c r="M228">
        <v>4077421</v>
      </c>
      <c r="N228">
        <v>61</v>
      </c>
      <c r="O228" t="s">
        <v>104</v>
      </c>
      <c r="P228" t="s">
        <v>50</v>
      </c>
    </row>
    <row r="229" spans="1:16" x14ac:dyDescent="0.35">
      <c r="A229" t="s">
        <v>2617</v>
      </c>
      <c r="B229" t="s">
        <v>2618</v>
      </c>
      <c r="C229" t="s">
        <v>84</v>
      </c>
      <c r="D229" t="s">
        <v>19</v>
      </c>
      <c r="E229" t="s">
        <v>28</v>
      </c>
      <c r="F229" s="1">
        <v>42480</v>
      </c>
      <c r="G229">
        <v>2018</v>
      </c>
      <c r="H229" t="s">
        <v>107</v>
      </c>
      <c r="I229" t="s">
        <v>4211</v>
      </c>
      <c r="J229" t="s">
        <v>72</v>
      </c>
      <c r="K229">
        <v>8.8000000000000007</v>
      </c>
      <c r="L229">
        <v>13448255</v>
      </c>
      <c r="M229">
        <v>1487973</v>
      </c>
      <c r="N229">
        <v>82</v>
      </c>
      <c r="O229" t="s">
        <v>31</v>
      </c>
      <c r="P229" t="s">
        <v>4178</v>
      </c>
    </row>
    <row r="230" spans="1:16" x14ac:dyDescent="0.35">
      <c r="A230" t="s">
        <v>1375</v>
      </c>
      <c r="B230" t="s">
        <v>1376</v>
      </c>
      <c r="C230" t="s">
        <v>84</v>
      </c>
      <c r="D230" t="s">
        <v>54</v>
      </c>
      <c r="E230" t="s">
        <v>62</v>
      </c>
      <c r="F230" s="1">
        <v>42482</v>
      </c>
      <c r="G230">
        <v>2006</v>
      </c>
      <c r="H230" t="s">
        <v>107</v>
      </c>
      <c r="I230" t="s">
        <v>4233</v>
      </c>
      <c r="J230" t="s">
        <v>57</v>
      </c>
      <c r="K230">
        <v>5.0999999999999996</v>
      </c>
      <c r="L230">
        <v>15023223</v>
      </c>
      <c r="M230">
        <v>2709873</v>
      </c>
      <c r="N230">
        <v>78</v>
      </c>
      <c r="O230" t="s">
        <v>4178</v>
      </c>
      <c r="P230" t="s">
        <v>4181</v>
      </c>
    </row>
    <row r="231" spans="1:16" x14ac:dyDescent="0.35">
      <c r="A231" t="s">
        <v>2695</v>
      </c>
      <c r="B231" t="s">
        <v>2696</v>
      </c>
      <c r="C231" t="s">
        <v>53</v>
      </c>
      <c r="D231" t="s">
        <v>75</v>
      </c>
      <c r="E231" t="s">
        <v>55</v>
      </c>
      <c r="F231" s="1">
        <v>42483</v>
      </c>
      <c r="G231">
        <v>2015</v>
      </c>
      <c r="H231" t="s">
        <v>85</v>
      </c>
      <c r="I231" t="s">
        <v>95</v>
      </c>
      <c r="J231" t="s">
        <v>133</v>
      </c>
      <c r="K231">
        <v>9.1</v>
      </c>
      <c r="L231">
        <v>18594305</v>
      </c>
      <c r="M231">
        <v>1754155</v>
      </c>
      <c r="N231">
        <v>43</v>
      </c>
      <c r="O231" t="s">
        <v>58</v>
      </c>
      <c r="P231" t="s">
        <v>32</v>
      </c>
    </row>
    <row r="232" spans="1:16" x14ac:dyDescent="0.35">
      <c r="A232" t="s">
        <v>1438</v>
      </c>
      <c r="B232" t="s">
        <v>1439</v>
      </c>
      <c r="C232" t="s">
        <v>53</v>
      </c>
      <c r="D232" t="s">
        <v>4178</v>
      </c>
      <c r="E232" t="s">
        <v>80</v>
      </c>
      <c r="F232" s="1">
        <v>42485</v>
      </c>
      <c r="G232">
        <v>2019</v>
      </c>
      <c r="H232" t="s">
        <v>114</v>
      </c>
      <c r="I232" t="s">
        <v>56</v>
      </c>
      <c r="J232" t="s">
        <v>72</v>
      </c>
      <c r="K232">
        <v>4.5999999999999996</v>
      </c>
      <c r="L232">
        <v>1595801</v>
      </c>
      <c r="M232">
        <v>3415895</v>
      </c>
      <c r="N232">
        <v>52</v>
      </c>
      <c r="O232" t="s">
        <v>91</v>
      </c>
      <c r="P232" t="s">
        <v>4178</v>
      </c>
    </row>
    <row r="233" spans="1:16" x14ac:dyDescent="0.35">
      <c r="A233" t="s">
        <v>862</v>
      </c>
      <c r="B233" t="s">
        <v>861</v>
      </c>
      <c r="C233" t="s">
        <v>84</v>
      </c>
      <c r="D233" t="s">
        <v>61</v>
      </c>
      <c r="E233" t="s">
        <v>45</v>
      </c>
      <c r="F233" s="1">
        <v>42486</v>
      </c>
      <c r="G233">
        <v>2022</v>
      </c>
      <c r="H233" t="s">
        <v>38</v>
      </c>
      <c r="I233" t="s">
        <v>4200</v>
      </c>
      <c r="J233" t="s">
        <v>133</v>
      </c>
      <c r="K233">
        <v>6.3</v>
      </c>
      <c r="L233">
        <v>8558744</v>
      </c>
      <c r="M233">
        <v>2923439</v>
      </c>
      <c r="N233">
        <v>44</v>
      </c>
      <c r="O233" t="s">
        <v>49</v>
      </c>
      <c r="P233" t="s">
        <v>32</v>
      </c>
    </row>
    <row r="234" spans="1:16" x14ac:dyDescent="0.35">
      <c r="A234" t="s">
        <v>2052</v>
      </c>
      <c r="B234" t="s">
        <v>2053</v>
      </c>
      <c r="C234" t="s">
        <v>53</v>
      </c>
      <c r="D234" t="s">
        <v>90</v>
      </c>
      <c r="E234" t="s">
        <v>131</v>
      </c>
      <c r="F234" s="1">
        <v>42488</v>
      </c>
      <c r="G234">
        <v>2020</v>
      </c>
      <c r="H234" t="s">
        <v>107</v>
      </c>
      <c r="I234" t="s">
        <v>71</v>
      </c>
      <c r="J234" t="s">
        <v>153</v>
      </c>
      <c r="K234">
        <v>9.5</v>
      </c>
      <c r="L234">
        <v>9574846</v>
      </c>
      <c r="M234">
        <v>2619609</v>
      </c>
      <c r="N234">
        <v>47</v>
      </c>
      <c r="O234" t="s">
        <v>49</v>
      </c>
      <c r="P234" t="s">
        <v>4181</v>
      </c>
    </row>
    <row r="235" spans="1:16" x14ac:dyDescent="0.35">
      <c r="A235" t="s">
        <v>3147</v>
      </c>
      <c r="B235" t="s">
        <v>3148</v>
      </c>
      <c r="C235" t="s">
        <v>4178</v>
      </c>
      <c r="D235" t="s">
        <v>94</v>
      </c>
      <c r="E235" t="s">
        <v>4196</v>
      </c>
      <c r="F235" s="1">
        <v>42492</v>
      </c>
      <c r="G235">
        <v>2012</v>
      </c>
      <c r="H235" t="s">
        <v>21</v>
      </c>
      <c r="I235" t="s">
        <v>95</v>
      </c>
      <c r="J235" t="s">
        <v>96</v>
      </c>
      <c r="K235">
        <v>4.9000000000000004</v>
      </c>
      <c r="L235">
        <v>8106807</v>
      </c>
      <c r="M235">
        <v>945376</v>
      </c>
      <c r="N235">
        <v>49</v>
      </c>
      <c r="O235" t="s">
        <v>41</v>
      </c>
      <c r="P235" t="s">
        <v>4181</v>
      </c>
    </row>
    <row r="236" spans="1:16" x14ac:dyDescent="0.35">
      <c r="A236" t="s">
        <v>3345</v>
      </c>
      <c r="B236" t="s">
        <v>3346</v>
      </c>
      <c r="C236" t="s">
        <v>84</v>
      </c>
      <c r="D236" t="s">
        <v>36</v>
      </c>
      <c r="E236" t="s">
        <v>99</v>
      </c>
      <c r="F236" s="1">
        <v>42496</v>
      </c>
      <c r="G236">
        <v>2018</v>
      </c>
      <c r="H236" t="s">
        <v>107</v>
      </c>
      <c r="I236" t="s">
        <v>4237</v>
      </c>
      <c r="J236" t="s">
        <v>23</v>
      </c>
      <c r="K236">
        <v>7.7</v>
      </c>
      <c r="L236">
        <v>18688543</v>
      </c>
      <c r="M236">
        <v>2886651</v>
      </c>
      <c r="N236">
        <v>74</v>
      </c>
      <c r="O236" t="s">
        <v>104</v>
      </c>
      <c r="P236" t="s">
        <v>87</v>
      </c>
    </row>
    <row r="237" spans="1:16" x14ac:dyDescent="0.35">
      <c r="A237" t="s">
        <v>1086</v>
      </c>
      <c r="B237" t="s">
        <v>1087</v>
      </c>
      <c r="C237" t="s">
        <v>84</v>
      </c>
      <c r="D237" t="s">
        <v>90</v>
      </c>
      <c r="E237" t="s">
        <v>37</v>
      </c>
      <c r="F237" s="1">
        <v>42501</v>
      </c>
      <c r="G237">
        <v>2002</v>
      </c>
      <c r="H237" t="s">
        <v>38</v>
      </c>
      <c r="I237" t="s">
        <v>4203</v>
      </c>
      <c r="J237" t="s">
        <v>103</v>
      </c>
      <c r="K237">
        <v>8.6</v>
      </c>
      <c r="L237">
        <v>12824925</v>
      </c>
      <c r="M237">
        <v>4188883</v>
      </c>
      <c r="N237">
        <v>88</v>
      </c>
      <c r="O237" t="s">
        <v>123</v>
      </c>
      <c r="P237" t="s">
        <v>87</v>
      </c>
    </row>
    <row r="238" spans="1:16" x14ac:dyDescent="0.35">
      <c r="A238" t="s">
        <v>3086</v>
      </c>
      <c r="B238" t="s">
        <v>3087</v>
      </c>
      <c r="C238" t="s">
        <v>84</v>
      </c>
      <c r="D238" t="s">
        <v>4178</v>
      </c>
      <c r="E238" t="s">
        <v>62</v>
      </c>
      <c r="F238" s="1">
        <v>42502</v>
      </c>
      <c r="G238">
        <v>2025</v>
      </c>
      <c r="H238" t="s">
        <v>81</v>
      </c>
      <c r="I238" t="s">
        <v>4371</v>
      </c>
      <c r="J238" t="s">
        <v>153</v>
      </c>
      <c r="K238">
        <v>9.4</v>
      </c>
      <c r="L238">
        <v>17467821</v>
      </c>
      <c r="M238">
        <v>2024406</v>
      </c>
      <c r="N238">
        <v>89</v>
      </c>
      <c r="O238" t="s">
        <v>65</v>
      </c>
      <c r="P238" t="s">
        <v>87</v>
      </c>
    </row>
    <row r="239" spans="1:16" x14ac:dyDescent="0.35">
      <c r="A239" t="s">
        <v>646</v>
      </c>
      <c r="B239" t="s">
        <v>647</v>
      </c>
      <c r="C239" t="s">
        <v>53</v>
      </c>
      <c r="D239" t="s">
        <v>68</v>
      </c>
      <c r="E239" t="s">
        <v>28</v>
      </c>
      <c r="F239" s="1">
        <v>42504</v>
      </c>
      <c r="G239">
        <v>2019</v>
      </c>
      <c r="H239" t="s">
        <v>121</v>
      </c>
      <c r="I239" t="s">
        <v>162</v>
      </c>
      <c r="J239" t="s">
        <v>4178</v>
      </c>
      <c r="K239">
        <v>6.5</v>
      </c>
      <c r="L239">
        <v>14892841</v>
      </c>
      <c r="M239">
        <v>1781415</v>
      </c>
      <c r="N239">
        <v>98</v>
      </c>
      <c r="O239" t="s">
        <v>49</v>
      </c>
      <c r="P239" t="s">
        <v>50</v>
      </c>
    </row>
    <row r="240" spans="1:16" x14ac:dyDescent="0.35">
      <c r="A240" t="s">
        <v>3769</v>
      </c>
      <c r="B240" t="s">
        <v>3770</v>
      </c>
      <c r="C240" t="s">
        <v>4178</v>
      </c>
      <c r="D240" t="s">
        <v>4178</v>
      </c>
      <c r="E240" t="s">
        <v>45</v>
      </c>
      <c r="F240" s="1">
        <v>42505</v>
      </c>
      <c r="G240">
        <v>2008</v>
      </c>
      <c r="H240" t="s">
        <v>4178</v>
      </c>
      <c r="I240" t="s">
        <v>162</v>
      </c>
      <c r="J240" t="s">
        <v>153</v>
      </c>
      <c r="K240">
        <v>8</v>
      </c>
      <c r="L240">
        <v>9820294</v>
      </c>
      <c r="M240">
        <v>3865159</v>
      </c>
      <c r="N240">
        <v>79</v>
      </c>
      <c r="O240" t="s">
        <v>24</v>
      </c>
      <c r="P240" t="s">
        <v>87</v>
      </c>
    </row>
    <row r="241" spans="1:16" x14ac:dyDescent="0.35">
      <c r="A241" t="s">
        <v>3541</v>
      </c>
      <c r="B241" t="s">
        <v>3542</v>
      </c>
      <c r="C241" t="s">
        <v>84</v>
      </c>
      <c r="D241" t="s">
        <v>4178</v>
      </c>
      <c r="E241" t="s">
        <v>20</v>
      </c>
      <c r="F241" s="1">
        <v>42506</v>
      </c>
      <c r="G241">
        <v>2023</v>
      </c>
      <c r="H241" t="s">
        <v>121</v>
      </c>
      <c r="I241" t="s">
        <v>4289</v>
      </c>
      <c r="J241" t="s">
        <v>133</v>
      </c>
      <c r="K241">
        <v>6.3</v>
      </c>
      <c r="L241">
        <v>22854028</v>
      </c>
      <c r="M241">
        <v>3243758</v>
      </c>
      <c r="N241">
        <v>76</v>
      </c>
      <c r="O241" t="s">
        <v>49</v>
      </c>
      <c r="P241" t="s">
        <v>50</v>
      </c>
    </row>
    <row r="242" spans="1:16" x14ac:dyDescent="0.35">
      <c r="A242" t="s">
        <v>1413</v>
      </c>
      <c r="B242" t="s">
        <v>4314</v>
      </c>
      <c r="C242" t="s">
        <v>84</v>
      </c>
      <c r="D242" t="s">
        <v>36</v>
      </c>
      <c r="E242" t="s">
        <v>62</v>
      </c>
      <c r="F242" s="1">
        <v>42509</v>
      </c>
      <c r="G242">
        <v>2015</v>
      </c>
      <c r="H242" t="s">
        <v>107</v>
      </c>
      <c r="I242" t="s">
        <v>4222</v>
      </c>
      <c r="J242" t="s">
        <v>153</v>
      </c>
      <c r="K242">
        <v>8</v>
      </c>
      <c r="L242">
        <v>16955947</v>
      </c>
      <c r="M242">
        <v>1695126</v>
      </c>
      <c r="N242">
        <v>86</v>
      </c>
      <c r="O242" t="s">
        <v>91</v>
      </c>
      <c r="P242" t="s">
        <v>4181</v>
      </c>
    </row>
    <row r="243" spans="1:16" x14ac:dyDescent="0.35">
      <c r="A243" t="s">
        <v>2904</v>
      </c>
      <c r="B243" t="s">
        <v>2905</v>
      </c>
      <c r="C243" t="s">
        <v>53</v>
      </c>
      <c r="D243" t="s">
        <v>19</v>
      </c>
      <c r="E243" t="s">
        <v>69</v>
      </c>
      <c r="F243" s="1">
        <v>42511</v>
      </c>
      <c r="G243">
        <v>2018</v>
      </c>
      <c r="H243" t="s">
        <v>107</v>
      </c>
      <c r="I243" t="s">
        <v>118</v>
      </c>
      <c r="J243" t="s">
        <v>72</v>
      </c>
      <c r="K243">
        <v>7.9</v>
      </c>
      <c r="L243">
        <v>22141389</v>
      </c>
      <c r="M243">
        <v>3882631</v>
      </c>
      <c r="N243">
        <v>85</v>
      </c>
      <c r="O243" t="s">
        <v>123</v>
      </c>
      <c r="P243" t="s">
        <v>32</v>
      </c>
    </row>
    <row r="244" spans="1:16" x14ac:dyDescent="0.35">
      <c r="A244" t="s">
        <v>3232</v>
      </c>
      <c r="B244" t="s">
        <v>3233</v>
      </c>
      <c r="C244" t="s">
        <v>4178</v>
      </c>
      <c r="D244" t="s">
        <v>156</v>
      </c>
      <c r="E244" t="s">
        <v>4196</v>
      </c>
      <c r="F244" s="1">
        <v>42511</v>
      </c>
      <c r="G244">
        <v>2003</v>
      </c>
      <c r="H244" t="s">
        <v>107</v>
      </c>
      <c r="I244" t="s">
        <v>64</v>
      </c>
      <c r="J244" t="s">
        <v>96</v>
      </c>
      <c r="K244">
        <v>6.9</v>
      </c>
      <c r="L244">
        <v>5894415</v>
      </c>
      <c r="M244">
        <v>1672695</v>
      </c>
      <c r="N244">
        <v>95</v>
      </c>
      <c r="O244" t="s">
        <v>104</v>
      </c>
      <c r="P244" t="s">
        <v>4178</v>
      </c>
    </row>
    <row r="245" spans="1:16" x14ac:dyDescent="0.35">
      <c r="A245" t="s">
        <v>1486</v>
      </c>
      <c r="B245" t="s">
        <v>1487</v>
      </c>
      <c r="C245" t="s">
        <v>53</v>
      </c>
      <c r="D245" t="s">
        <v>68</v>
      </c>
      <c r="E245" t="s">
        <v>113</v>
      </c>
      <c r="F245" s="1">
        <v>42514</v>
      </c>
      <c r="G245">
        <v>2014</v>
      </c>
      <c r="H245" t="s">
        <v>85</v>
      </c>
      <c r="I245" t="s">
        <v>118</v>
      </c>
      <c r="J245" t="s">
        <v>4178</v>
      </c>
      <c r="K245">
        <v>7.7</v>
      </c>
      <c r="L245">
        <v>16231357</v>
      </c>
      <c r="M245">
        <v>3137791</v>
      </c>
      <c r="N245">
        <v>86</v>
      </c>
      <c r="O245" t="s">
        <v>24</v>
      </c>
      <c r="P245" t="s">
        <v>87</v>
      </c>
    </row>
    <row r="246" spans="1:16" x14ac:dyDescent="0.35">
      <c r="A246" t="s">
        <v>1946</v>
      </c>
      <c r="B246" t="s">
        <v>1947</v>
      </c>
      <c r="C246" t="s">
        <v>53</v>
      </c>
      <c r="D246" t="s">
        <v>94</v>
      </c>
      <c r="E246" t="s">
        <v>45</v>
      </c>
      <c r="F246" s="1">
        <v>42519</v>
      </c>
      <c r="G246">
        <v>2001</v>
      </c>
      <c r="H246" t="s">
        <v>21</v>
      </c>
      <c r="I246" t="s">
        <v>118</v>
      </c>
      <c r="J246" t="s">
        <v>30</v>
      </c>
      <c r="K246">
        <v>9.4</v>
      </c>
      <c r="L246">
        <v>18802931</v>
      </c>
      <c r="M246">
        <v>2657548</v>
      </c>
      <c r="N246">
        <v>60</v>
      </c>
      <c r="O246" t="s">
        <v>49</v>
      </c>
      <c r="P246" t="s">
        <v>32</v>
      </c>
    </row>
    <row r="247" spans="1:16" x14ac:dyDescent="0.35">
      <c r="A247" t="s">
        <v>3561</v>
      </c>
      <c r="B247" t="s">
        <v>3562</v>
      </c>
      <c r="C247" t="s">
        <v>53</v>
      </c>
      <c r="D247" t="s">
        <v>61</v>
      </c>
      <c r="E247" t="s">
        <v>55</v>
      </c>
      <c r="F247" s="1">
        <v>42519</v>
      </c>
      <c r="G247">
        <v>2002</v>
      </c>
      <c r="H247" t="s">
        <v>114</v>
      </c>
      <c r="I247" t="s">
        <v>71</v>
      </c>
      <c r="J247" t="s">
        <v>40</v>
      </c>
      <c r="K247">
        <v>9.1999999999999993</v>
      </c>
      <c r="L247">
        <v>11798928</v>
      </c>
      <c r="M247">
        <v>586909</v>
      </c>
      <c r="N247">
        <v>49</v>
      </c>
      <c r="O247" t="s">
        <v>91</v>
      </c>
      <c r="P247" t="s">
        <v>87</v>
      </c>
    </row>
    <row r="248" spans="1:16" x14ac:dyDescent="0.35">
      <c r="A248" t="s">
        <v>1790</v>
      </c>
      <c r="B248" t="s">
        <v>1791</v>
      </c>
      <c r="C248" t="s">
        <v>4178</v>
      </c>
      <c r="D248" t="s">
        <v>36</v>
      </c>
      <c r="E248" t="s">
        <v>131</v>
      </c>
      <c r="F248" s="1">
        <v>42520</v>
      </c>
      <c r="G248">
        <v>2022</v>
      </c>
      <c r="H248" t="s">
        <v>38</v>
      </c>
      <c r="I248" t="s">
        <v>56</v>
      </c>
      <c r="J248" t="s">
        <v>133</v>
      </c>
      <c r="K248">
        <v>5.4</v>
      </c>
      <c r="L248">
        <v>1930804</v>
      </c>
      <c r="M248">
        <v>3709399</v>
      </c>
      <c r="N248">
        <v>44</v>
      </c>
      <c r="O248" t="s">
        <v>31</v>
      </c>
      <c r="P248" t="s">
        <v>50</v>
      </c>
    </row>
    <row r="249" spans="1:16" x14ac:dyDescent="0.35">
      <c r="A249" t="s">
        <v>2320</v>
      </c>
      <c r="B249" t="s">
        <v>2321</v>
      </c>
      <c r="C249" t="s">
        <v>53</v>
      </c>
      <c r="D249" t="s">
        <v>54</v>
      </c>
      <c r="E249" t="s">
        <v>55</v>
      </c>
      <c r="F249" s="1">
        <v>42520</v>
      </c>
      <c r="G249">
        <v>2012</v>
      </c>
      <c r="H249" t="s">
        <v>107</v>
      </c>
      <c r="I249" t="s">
        <v>118</v>
      </c>
      <c r="J249" t="s">
        <v>133</v>
      </c>
      <c r="K249">
        <v>6.9</v>
      </c>
      <c r="L249">
        <v>21059181</v>
      </c>
      <c r="M249">
        <v>2038371</v>
      </c>
      <c r="N249">
        <v>68</v>
      </c>
      <c r="O249" t="s">
        <v>65</v>
      </c>
      <c r="P249" t="s">
        <v>4178</v>
      </c>
    </row>
    <row r="250" spans="1:16" x14ac:dyDescent="0.35">
      <c r="A250" t="s">
        <v>520</v>
      </c>
      <c r="B250" t="s">
        <v>521</v>
      </c>
      <c r="C250" t="s">
        <v>53</v>
      </c>
      <c r="D250" t="s">
        <v>156</v>
      </c>
      <c r="E250" t="s">
        <v>28</v>
      </c>
      <c r="F250" s="1">
        <v>42521</v>
      </c>
      <c r="G250">
        <v>2008</v>
      </c>
      <c r="H250" t="s">
        <v>46</v>
      </c>
      <c r="I250" t="s">
        <v>71</v>
      </c>
      <c r="J250" t="s">
        <v>153</v>
      </c>
      <c r="K250">
        <v>9.6</v>
      </c>
      <c r="L250">
        <v>22381118</v>
      </c>
      <c r="M250">
        <v>460065</v>
      </c>
      <c r="N250">
        <v>74</v>
      </c>
      <c r="O250" t="s">
        <v>41</v>
      </c>
      <c r="P250" t="s">
        <v>50</v>
      </c>
    </row>
    <row r="251" spans="1:16" x14ac:dyDescent="0.35">
      <c r="A251" t="s">
        <v>2979</v>
      </c>
      <c r="B251" t="s">
        <v>2980</v>
      </c>
      <c r="C251" t="s">
        <v>53</v>
      </c>
      <c r="D251" t="s">
        <v>27</v>
      </c>
      <c r="E251" t="s">
        <v>80</v>
      </c>
      <c r="F251" s="1">
        <v>42525</v>
      </c>
      <c r="G251">
        <v>2023</v>
      </c>
      <c r="H251" t="s">
        <v>46</v>
      </c>
      <c r="I251" t="s">
        <v>136</v>
      </c>
      <c r="J251" t="s">
        <v>30</v>
      </c>
      <c r="K251">
        <v>7.6</v>
      </c>
      <c r="L251">
        <v>3484726</v>
      </c>
      <c r="M251">
        <v>1855464</v>
      </c>
      <c r="N251">
        <v>65</v>
      </c>
      <c r="O251" t="s">
        <v>65</v>
      </c>
      <c r="P251" t="s">
        <v>4181</v>
      </c>
    </row>
    <row r="252" spans="1:16" x14ac:dyDescent="0.35">
      <c r="A252" t="s">
        <v>1092</v>
      </c>
      <c r="B252" t="s">
        <v>1093</v>
      </c>
      <c r="C252" t="s">
        <v>84</v>
      </c>
      <c r="D252" t="s">
        <v>4178</v>
      </c>
      <c r="E252" t="s">
        <v>131</v>
      </c>
      <c r="F252" s="1">
        <v>42526</v>
      </c>
      <c r="G252">
        <v>2020</v>
      </c>
      <c r="H252" t="s">
        <v>85</v>
      </c>
      <c r="I252" t="s">
        <v>4270</v>
      </c>
      <c r="J252" t="s">
        <v>72</v>
      </c>
      <c r="K252">
        <v>6</v>
      </c>
      <c r="L252">
        <v>16722900</v>
      </c>
      <c r="M252">
        <v>881566</v>
      </c>
      <c r="N252">
        <v>43</v>
      </c>
      <c r="O252" t="s">
        <v>41</v>
      </c>
      <c r="P252" t="s">
        <v>50</v>
      </c>
    </row>
    <row r="253" spans="1:16" x14ac:dyDescent="0.35">
      <c r="A253" t="s">
        <v>2286</v>
      </c>
      <c r="B253" t="s">
        <v>2287</v>
      </c>
      <c r="C253" t="s">
        <v>84</v>
      </c>
      <c r="D253" t="s">
        <v>54</v>
      </c>
      <c r="E253" t="s">
        <v>131</v>
      </c>
      <c r="F253" s="1">
        <v>42527</v>
      </c>
      <c r="G253">
        <v>2007</v>
      </c>
      <c r="H253" t="s">
        <v>63</v>
      </c>
      <c r="I253" t="s">
        <v>4200</v>
      </c>
      <c r="J253" t="s">
        <v>133</v>
      </c>
      <c r="K253">
        <v>9.5</v>
      </c>
      <c r="L253">
        <v>24477661</v>
      </c>
      <c r="M253">
        <v>2380548</v>
      </c>
      <c r="N253">
        <v>120</v>
      </c>
      <c r="O253" t="s">
        <v>49</v>
      </c>
      <c r="P253" t="s">
        <v>50</v>
      </c>
    </row>
    <row r="254" spans="1:16" x14ac:dyDescent="0.35">
      <c r="A254" t="s">
        <v>3295</v>
      </c>
      <c r="B254" t="s">
        <v>3296</v>
      </c>
      <c r="C254" t="s">
        <v>53</v>
      </c>
      <c r="D254" t="s">
        <v>36</v>
      </c>
      <c r="E254" t="s">
        <v>62</v>
      </c>
      <c r="F254" s="1">
        <v>42530</v>
      </c>
      <c r="G254">
        <v>2015</v>
      </c>
      <c r="H254" t="s">
        <v>114</v>
      </c>
      <c r="I254" t="s">
        <v>136</v>
      </c>
      <c r="J254" t="s">
        <v>153</v>
      </c>
      <c r="K254">
        <v>7.7</v>
      </c>
      <c r="L254">
        <v>13325392</v>
      </c>
      <c r="M254">
        <v>444452</v>
      </c>
      <c r="N254">
        <v>50</v>
      </c>
      <c r="O254" t="s">
        <v>49</v>
      </c>
      <c r="P254" t="s">
        <v>4178</v>
      </c>
    </row>
    <row r="255" spans="1:16" x14ac:dyDescent="0.35">
      <c r="A255" t="s">
        <v>2627</v>
      </c>
      <c r="B255" t="s">
        <v>2628</v>
      </c>
      <c r="C255" t="s">
        <v>53</v>
      </c>
      <c r="D255" t="s">
        <v>54</v>
      </c>
      <c r="E255" t="s">
        <v>69</v>
      </c>
      <c r="F255" s="1">
        <v>42534</v>
      </c>
      <c r="G255">
        <v>2025</v>
      </c>
      <c r="H255" t="s">
        <v>38</v>
      </c>
      <c r="I255" t="s">
        <v>95</v>
      </c>
      <c r="J255" t="s">
        <v>57</v>
      </c>
      <c r="K255">
        <v>5.5</v>
      </c>
      <c r="L255">
        <v>5949738</v>
      </c>
      <c r="M255">
        <v>4761880</v>
      </c>
      <c r="N255">
        <v>98</v>
      </c>
      <c r="O255" t="s">
        <v>24</v>
      </c>
      <c r="P255" t="s">
        <v>50</v>
      </c>
    </row>
    <row r="256" spans="1:16" x14ac:dyDescent="0.35">
      <c r="A256" t="s">
        <v>3241</v>
      </c>
      <c r="B256" t="s">
        <v>3242</v>
      </c>
      <c r="C256" t="s">
        <v>4178</v>
      </c>
      <c r="D256" t="s">
        <v>36</v>
      </c>
      <c r="E256" t="s">
        <v>113</v>
      </c>
      <c r="F256" s="1">
        <v>42535</v>
      </c>
      <c r="G256">
        <v>2020</v>
      </c>
      <c r="H256" t="s">
        <v>85</v>
      </c>
      <c r="I256" t="s">
        <v>71</v>
      </c>
      <c r="J256" t="s">
        <v>133</v>
      </c>
      <c r="K256">
        <v>6.2</v>
      </c>
      <c r="L256">
        <v>17783462</v>
      </c>
      <c r="M256">
        <v>2190480</v>
      </c>
      <c r="N256">
        <v>81</v>
      </c>
      <c r="O256" t="s">
        <v>58</v>
      </c>
      <c r="P256" t="s">
        <v>50</v>
      </c>
    </row>
    <row r="257" spans="1:16" x14ac:dyDescent="0.35">
      <c r="A257" t="s">
        <v>759</v>
      </c>
      <c r="B257" t="s">
        <v>760</v>
      </c>
      <c r="C257" t="s">
        <v>84</v>
      </c>
      <c r="D257" t="s">
        <v>4178</v>
      </c>
      <c r="E257" t="s">
        <v>28</v>
      </c>
      <c r="F257" s="1">
        <v>42541</v>
      </c>
      <c r="G257">
        <v>2016</v>
      </c>
      <c r="H257" t="s">
        <v>21</v>
      </c>
      <c r="I257" t="s">
        <v>4204</v>
      </c>
      <c r="J257" t="s">
        <v>133</v>
      </c>
      <c r="K257">
        <v>5</v>
      </c>
      <c r="L257">
        <v>16942709</v>
      </c>
      <c r="M257">
        <v>209754</v>
      </c>
      <c r="N257">
        <v>78</v>
      </c>
      <c r="O257" t="s">
        <v>49</v>
      </c>
      <c r="P257" t="s">
        <v>50</v>
      </c>
    </row>
    <row r="258" spans="1:16" x14ac:dyDescent="0.35">
      <c r="A258" t="s">
        <v>3397</v>
      </c>
      <c r="B258" t="s">
        <v>3398</v>
      </c>
      <c r="C258" t="s">
        <v>53</v>
      </c>
      <c r="D258" t="s">
        <v>19</v>
      </c>
      <c r="E258" t="s">
        <v>4196</v>
      </c>
      <c r="F258" s="1">
        <v>42542</v>
      </c>
      <c r="G258">
        <v>2023</v>
      </c>
      <c r="H258" t="s">
        <v>107</v>
      </c>
      <c r="I258" t="s">
        <v>118</v>
      </c>
      <c r="J258" t="s">
        <v>72</v>
      </c>
      <c r="K258">
        <v>9</v>
      </c>
      <c r="L258">
        <v>5506769</v>
      </c>
      <c r="M258">
        <v>1663723</v>
      </c>
      <c r="N258">
        <v>74</v>
      </c>
      <c r="O258" t="s">
        <v>31</v>
      </c>
      <c r="P258" t="s">
        <v>50</v>
      </c>
    </row>
    <row r="259" spans="1:16" x14ac:dyDescent="0.35">
      <c r="A259" t="s">
        <v>1538</v>
      </c>
      <c r="B259" t="s">
        <v>1539</v>
      </c>
      <c r="C259" t="s">
        <v>53</v>
      </c>
      <c r="D259" t="s">
        <v>36</v>
      </c>
      <c r="E259" t="s">
        <v>113</v>
      </c>
      <c r="F259" s="1">
        <v>42544</v>
      </c>
      <c r="G259">
        <v>2002</v>
      </c>
      <c r="H259" t="s">
        <v>85</v>
      </c>
      <c r="I259" t="s">
        <v>39</v>
      </c>
      <c r="J259" t="s">
        <v>153</v>
      </c>
      <c r="K259">
        <v>5.6</v>
      </c>
      <c r="L259">
        <v>23444899</v>
      </c>
      <c r="M259">
        <v>2404418</v>
      </c>
      <c r="N259">
        <v>64</v>
      </c>
      <c r="O259" t="s">
        <v>104</v>
      </c>
      <c r="P259" t="s">
        <v>32</v>
      </c>
    </row>
    <row r="260" spans="1:16" x14ac:dyDescent="0.35">
      <c r="A260" t="s">
        <v>1053</v>
      </c>
      <c r="B260" t="s">
        <v>1054</v>
      </c>
      <c r="C260" t="s">
        <v>84</v>
      </c>
      <c r="D260" t="s">
        <v>27</v>
      </c>
      <c r="E260" t="s">
        <v>69</v>
      </c>
      <c r="F260" s="1">
        <v>42545</v>
      </c>
      <c r="G260">
        <v>2024</v>
      </c>
      <c r="H260" t="s">
        <v>107</v>
      </c>
      <c r="I260" t="s">
        <v>4178</v>
      </c>
      <c r="J260" t="s">
        <v>96</v>
      </c>
      <c r="K260">
        <v>5.6</v>
      </c>
      <c r="L260">
        <v>6430201</v>
      </c>
      <c r="M260">
        <v>2543895</v>
      </c>
      <c r="N260">
        <v>78</v>
      </c>
      <c r="O260" t="s">
        <v>65</v>
      </c>
      <c r="P260" t="s">
        <v>4181</v>
      </c>
    </row>
    <row r="261" spans="1:16" x14ac:dyDescent="0.35">
      <c r="A261" t="s">
        <v>3498</v>
      </c>
      <c r="B261" t="s">
        <v>3499</v>
      </c>
      <c r="C261" t="s">
        <v>84</v>
      </c>
      <c r="D261" t="s">
        <v>61</v>
      </c>
      <c r="E261" t="s">
        <v>62</v>
      </c>
      <c r="F261" s="1">
        <v>42545</v>
      </c>
      <c r="G261">
        <v>2021</v>
      </c>
      <c r="H261" t="s">
        <v>63</v>
      </c>
      <c r="I261" t="s">
        <v>4272</v>
      </c>
      <c r="J261" t="s">
        <v>96</v>
      </c>
      <c r="K261">
        <v>7.7</v>
      </c>
      <c r="L261">
        <v>7607063</v>
      </c>
      <c r="M261">
        <v>285036</v>
      </c>
      <c r="N261">
        <v>85</v>
      </c>
      <c r="O261" t="s">
        <v>49</v>
      </c>
      <c r="P261" t="s">
        <v>4178</v>
      </c>
    </row>
    <row r="262" spans="1:16" x14ac:dyDescent="0.35">
      <c r="A262" t="s">
        <v>2115</v>
      </c>
      <c r="B262" t="s">
        <v>2116</v>
      </c>
      <c r="C262" t="s">
        <v>53</v>
      </c>
      <c r="D262" t="s">
        <v>4178</v>
      </c>
      <c r="E262" t="s">
        <v>4178</v>
      </c>
      <c r="F262" s="1">
        <v>42547</v>
      </c>
      <c r="G262">
        <v>2020</v>
      </c>
      <c r="H262" t="s">
        <v>114</v>
      </c>
      <c r="I262" t="s">
        <v>71</v>
      </c>
      <c r="J262" t="s">
        <v>72</v>
      </c>
      <c r="K262">
        <v>4.9000000000000004</v>
      </c>
      <c r="L262">
        <v>5145496</v>
      </c>
      <c r="M262">
        <v>497923</v>
      </c>
      <c r="N262">
        <v>120</v>
      </c>
      <c r="O262" t="s">
        <v>49</v>
      </c>
      <c r="P262" t="s">
        <v>32</v>
      </c>
    </row>
    <row r="263" spans="1:16" x14ac:dyDescent="0.35">
      <c r="A263" t="s">
        <v>484</v>
      </c>
      <c r="B263" t="s">
        <v>485</v>
      </c>
      <c r="C263" t="s">
        <v>53</v>
      </c>
      <c r="D263" t="s">
        <v>68</v>
      </c>
      <c r="E263" t="s">
        <v>37</v>
      </c>
      <c r="F263" s="1">
        <v>42552</v>
      </c>
      <c r="G263">
        <v>2025</v>
      </c>
      <c r="H263" t="s">
        <v>107</v>
      </c>
      <c r="I263" t="s">
        <v>64</v>
      </c>
      <c r="J263" t="s">
        <v>103</v>
      </c>
      <c r="K263">
        <v>9.3000000000000007</v>
      </c>
      <c r="L263">
        <v>21363679</v>
      </c>
      <c r="M263">
        <v>526475</v>
      </c>
      <c r="N263">
        <v>80</v>
      </c>
      <c r="O263" t="s">
        <v>24</v>
      </c>
      <c r="P263" t="s">
        <v>50</v>
      </c>
    </row>
    <row r="264" spans="1:16" x14ac:dyDescent="0.35">
      <c r="A264" t="s">
        <v>3421</v>
      </c>
      <c r="B264" t="s">
        <v>3422</v>
      </c>
      <c r="C264" t="s">
        <v>84</v>
      </c>
      <c r="D264" t="s">
        <v>61</v>
      </c>
      <c r="E264" t="s">
        <v>55</v>
      </c>
      <c r="F264" s="1">
        <v>42560</v>
      </c>
      <c r="G264">
        <v>2010</v>
      </c>
      <c r="H264" t="s">
        <v>121</v>
      </c>
      <c r="I264" t="s">
        <v>4276</v>
      </c>
      <c r="J264" t="s">
        <v>48</v>
      </c>
      <c r="K264">
        <v>6.1</v>
      </c>
      <c r="L264">
        <v>13007697</v>
      </c>
      <c r="M264">
        <v>2989009</v>
      </c>
      <c r="N264">
        <v>49</v>
      </c>
      <c r="O264" t="s">
        <v>4178</v>
      </c>
      <c r="P264" t="s">
        <v>32</v>
      </c>
    </row>
    <row r="265" spans="1:16" x14ac:dyDescent="0.35">
      <c r="A265" t="s">
        <v>1663</v>
      </c>
      <c r="B265" t="s">
        <v>1664</v>
      </c>
      <c r="C265" t="s">
        <v>84</v>
      </c>
      <c r="D265" t="s">
        <v>90</v>
      </c>
      <c r="E265" t="s">
        <v>20</v>
      </c>
      <c r="F265" s="1">
        <v>42563</v>
      </c>
      <c r="G265">
        <v>2000</v>
      </c>
      <c r="H265" t="s">
        <v>46</v>
      </c>
      <c r="I265" t="s">
        <v>4247</v>
      </c>
      <c r="J265" t="s">
        <v>133</v>
      </c>
      <c r="K265">
        <v>9.1999999999999993</v>
      </c>
      <c r="L265">
        <v>2996073</v>
      </c>
      <c r="M265">
        <v>4186552</v>
      </c>
      <c r="N265">
        <v>61</v>
      </c>
      <c r="O265" t="s">
        <v>65</v>
      </c>
      <c r="P265" t="s">
        <v>4181</v>
      </c>
    </row>
    <row r="266" spans="1:16" x14ac:dyDescent="0.35">
      <c r="A266" t="s">
        <v>606</v>
      </c>
      <c r="B266" t="s">
        <v>607</v>
      </c>
      <c r="C266" t="s">
        <v>84</v>
      </c>
      <c r="D266" t="s">
        <v>19</v>
      </c>
      <c r="E266" t="s">
        <v>20</v>
      </c>
      <c r="F266" s="1">
        <v>42565</v>
      </c>
      <c r="G266">
        <v>2013</v>
      </c>
      <c r="H266" t="s">
        <v>114</v>
      </c>
      <c r="I266" t="s">
        <v>4259</v>
      </c>
      <c r="J266" t="s">
        <v>72</v>
      </c>
      <c r="K266">
        <v>5.6</v>
      </c>
      <c r="L266">
        <v>22115393</v>
      </c>
      <c r="M266">
        <v>1048380</v>
      </c>
      <c r="N266">
        <v>76</v>
      </c>
      <c r="O266" t="s">
        <v>24</v>
      </c>
      <c r="P266" t="s">
        <v>32</v>
      </c>
    </row>
    <row r="267" spans="1:16" x14ac:dyDescent="0.35">
      <c r="A267" t="s">
        <v>824</v>
      </c>
      <c r="B267" t="s">
        <v>825</v>
      </c>
      <c r="C267" t="s">
        <v>53</v>
      </c>
      <c r="D267" t="s">
        <v>61</v>
      </c>
      <c r="E267" t="s">
        <v>113</v>
      </c>
      <c r="F267" s="1">
        <v>42566</v>
      </c>
      <c r="G267">
        <v>2014</v>
      </c>
      <c r="H267" t="s">
        <v>4178</v>
      </c>
      <c r="I267" t="s">
        <v>95</v>
      </c>
      <c r="J267" t="s">
        <v>4178</v>
      </c>
      <c r="K267">
        <v>9.4</v>
      </c>
      <c r="L267">
        <v>3354875</v>
      </c>
      <c r="M267">
        <v>4938305</v>
      </c>
      <c r="N267">
        <v>120</v>
      </c>
      <c r="O267" t="s">
        <v>58</v>
      </c>
      <c r="P267" t="s">
        <v>4181</v>
      </c>
    </row>
    <row r="268" spans="1:16" x14ac:dyDescent="0.35">
      <c r="A268" t="s">
        <v>3832</v>
      </c>
      <c r="B268" t="s">
        <v>4393</v>
      </c>
      <c r="C268" t="s">
        <v>84</v>
      </c>
      <c r="D268" t="s">
        <v>19</v>
      </c>
      <c r="E268" t="s">
        <v>20</v>
      </c>
      <c r="F268" s="1">
        <v>42568</v>
      </c>
      <c r="G268">
        <v>2019</v>
      </c>
      <c r="H268" t="s">
        <v>107</v>
      </c>
      <c r="I268" t="s">
        <v>4215</v>
      </c>
      <c r="J268" t="s">
        <v>4178</v>
      </c>
      <c r="K268">
        <v>8.9</v>
      </c>
      <c r="L268">
        <v>5958282</v>
      </c>
      <c r="M268">
        <v>124453</v>
      </c>
      <c r="N268">
        <v>89</v>
      </c>
      <c r="O268" t="s">
        <v>41</v>
      </c>
      <c r="P268" t="s">
        <v>87</v>
      </c>
    </row>
    <row r="269" spans="1:16" x14ac:dyDescent="0.35">
      <c r="A269" t="s">
        <v>1741</v>
      </c>
      <c r="B269" t="s">
        <v>1742</v>
      </c>
      <c r="C269" t="s">
        <v>84</v>
      </c>
      <c r="D269" t="s">
        <v>4178</v>
      </c>
      <c r="E269" t="s">
        <v>55</v>
      </c>
      <c r="F269" s="1">
        <v>42571</v>
      </c>
      <c r="G269">
        <v>2016</v>
      </c>
      <c r="H269" t="s">
        <v>114</v>
      </c>
      <c r="I269" t="s">
        <v>4234</v>
      </c>
      <c r="J269" t="s">
        <v>103</v>
      </c>
      <c r="K269">
        <v>5.5</v>
      </c>
      <c r="L269">
        <v>11918261</v>
      </c>
      <c r="M269">
        <v>1026558</v>
      </c>
      <c r="N269">
        <v>61</v>
      </c>
      <c r="O269" t="s">
        <v>49</v>
      </c>
      <c r="P269" t="s">
        <v>50</v>
      </c>
    </row>
    <row r="270" spans="1:16" x14ac:dyDescent="0.35">
      <c r="A270" t="s">
        <v>2447</v>
      </c>
      <c r="B270" t="s">
        <v>2448</v>
      </c>
      <c r="C270" t="s">
        <v>53</v>
      </c>
      <c r="D270" t="s">
        <v>156</v>
      </c>
      <c r="E270" t="s">
        <v>4178</v>
      </c>
      <c r="F270" s="1">
        <v>42572</v>
      </c>
      <c r="G270">
        <v>2024</v>
      </c>
      <c r="H270" t="s">
        <v>38</v>
      </c>
      <c r="I270" t="s">
        <v>64</v>
      </c>
      <c r="J270" t="s">
        <v>96</v>
      </c>
      <c r="K270">
        <v>7.9</v>
      </c>
      <c r="L270">
        <v>44013</v>
      </c>
      <c r="M270">
        <v>4938587</v>
      </c>
      <c r="N270">
        <v>97</v>
      </c>
      <c r="O270" t="s">
        <v>24</v>
      </c>
      <c r="P270" t="s">
        <v>4181</v>
      </c>
    </row>
    <row r="271" spans="1:16" x14ac:dyDescent="0.35">
      <c r="A271" t="s">
        <v>3363</v>
      </c>
      <c r="B271" t="s">
        <v>3364</v>
      </c>
      <c r="C271" t="s">
        <v>84</v>
      </c>
      <c r="D271" t="s">
        <v>36</v>
      </c>
      <c r="E271" t="s">
        <v>37</v>
      </c>
      <c r="F271" s="1">
        <v>42572</v>
      </c>
      <c r="G271">
        <v>2018</v>
      </c>
      <c r="H271" t="s">
        <v>38</v>
      </c>
      <c r="I271" t="s">
        <v>4232</v>
      </c>
      <c r="J271" t="s">
        <v>48</v>
      </c>
      <c r="K271">
        <v>6.8</v>
      </c>
      <c r="L271">
        <v>19402088</v>
      </c>
      <c r="M271">
        <v>442761</v>
      </c>
      <c r="N271">
        <v>84</v>
      </c>
      <c r="O271" t="s">
        <v>123</v>
      </c>
      <c r="P271" t="s">
        <v>4178</v>
      </c>
    </row>
    <row r="272" spans="1:16" x14ac:dyDescent="0.35">
      <c r="A272" t="s">
        <v>1882</v>
      </c>
      <c r="B272" t="s">
        <v>1883</v>
      </c>
      <c r="C272" t="s">
        <v>4178</v>
      </c>
      <c r="D272" t="s">
        <v>36</v>
      </c>
      <c r="E272" t="s">
        <v>4178</v>
      </c>
      <c r="F272" s="1">
        <v>42577</v>
      </c>
      <c r="G272">
        <v>2011</v>
      </c>
      <c r="H272" t="s">
        <v>21</v>
      </c>
      <c r="I272" t="s">
        <v>71</v>
      </c>
      <c r="J272" t="s">
        <v>23</v>
      </c>
      <c r="K272">
        <v>9.6999999999999993</v>
      </c>
      <c r="L272">
        <v>17586428</v>
      </c>
      <c r="M272">
        <v>2863025</v>
      </c>
      <c r="N272">
        <v>92</v>
      </c>
      <c r="O272" t="s">
        <v>4178</v>
      </c>
      <c r="P272" t="s">
        <v>4178</v>
      </c>
    </row>
    <row r="273" spans="1:16" x14ac:dyDescent="0.35">
      <c r="A273" t="s">
        <v>2414</v>
      </c>
      <c r="B273" t="s">
        <v>2415</v>
      </c>
      <c r="C273" t="s">
        <v>84</v>
      </c>
      <c r="D273" t="s">
        <v>54</v>
      </c>
      <c r="E273" t="s">
        <v>55</v>
      </c>
      <c r="F273" s="1">
        <v>42581</v>
      </c>
      <c r="G273">
        <v>2007</v>
      </c>
      <c r="H273" t="s">
        <v>107</v>
      </c>
      <c r="I273" t="s">
        <v>4216</v>
      </c>
      <c r="J273" t="s">
        <v>103</v>
      </c>
      <c r="K273">
        <v>7</v>
      </c>
      <c r="L273">
        <v>12370951</v>
      </c>
      <c r="M273">
        <v>3679580</v>
      </c>
      <c r="N273">
        <v>63</v>
      </c>
      <c r="O273" t="s">
        <v>24</v>
      </c>
      <c r="P273" t="s">
        <v>32</v>
      </c>
    </row>
    <row r="274" spans="1:16" x14ac:dyDescent="0.35">
      <c r="A274" t="s">
        <v>3646</v>
      </c>
      <c r="B274" t="s">
        <v>3647</v>
      </c>
      <c r="C274" t="s">
        <v>53</v>
      </c>
      <c r="D274" t="s">
        <v>4178</v>
      </c>
      <c r="E274" t="s">
        <v>4178</v>
      </c>
      <c r="F274" s="1">
        <v>42584</v>
      </c>
      <c r="G274">
        <v>2019</v>
      </c>
      <c r="H274" t="s">
        <v>121</v>
      </c>
      <c r="I274" t="s">
        <v>118</v>
      </c>
      <c r="J274" t="s">
        <v>40</v>
      </c>
      <c r="K274">
        <v>7.3</v>
      </c>
      <c r="L274">
        <v>-849</v>
      </c>
      <c r="M274">
        <v>2658846</v>
      </c>
      <c r="N274">
        <v>68</v>
      </c>
      <c r="O274" t="s">
        <v>31</v>
      </c>
      <c r="P274" t="s">
        <v>4181</v>
      </c>
    </row>
    <row r="275" spans="1:16" x14ac:dyDescent="0.35">
      <c r="A275" t="s">
        <v>2965</v>
      </c>
      <c r="B275" t="s">
        <v>2966</v>
      </c>
      <c r="C275" t="s">
        <v>53</v>
      </c>
      <c r="D275" t="s">
        <v>61</v>
      </c>
      <c r="E275" t="s">
        <v>99</v>
      </c>
      <c r="F275" s="1">
        <v>42585</v>
      </c>
      <c r="G275">
        <v>2025</v>
      </c>
      <c r="H275" t="s">
        <v>107</v>
      </c>
      <c r="I275" t="s">
        <v>95</v>
      </c>
      <c r="J275" t="s">
        <v>23</v>
      </c>
      <c r="K275">
        <v>5.8</v>
      </c>
      <c r="L275">
        <v>6645315</v>
      </c>
      <c r="M275">
        <v>3368122</v>
      </c>
      <c r="N275">
        <v>94</v>
      </c>
      <c r="O275" t="s">
        <v>58</v>
      </c>
      <c r="P275" t="s">
        <v>87</v>
      </c>
    </row>
    <row r="276" spans="1:16" x14ac:dyDescent="0.35">
      <c r="A276" t="s">
        <v>3934</v>
      </c>
      <c r="B276" t="s">
        <v>3935</v>
      </c>
      <c r="C276" t="s">
        <v>4178</v>
      </c>
      <c r="D276" t="s">
        <v>68</v>
      </c>
      <c r="E276" t="s">
        <v>37</v>
      </c>
      <c r="F276" s="1">
        <v>42588</v>
      </c>
      <c r="G276">
        <v>2023</v>
      </c>
      <c r="H276" t="s">
        <v>4178</v>
      </c>
      <c r="I276" t="s">
        <v>64</v>
      </c>
      <c r="J276" t="s">
        <v>72</v>
      </c>
      <c r="K276">
        <v>9.5</v>
      </c>
      <c r="L276">
        <v>16709877</v>
      </c>
      <c r="M276">
        <v>95323</v>
      </c>
      <c r="N276">
        <v>70</v>
      </c>
      <c r="O276" t="s">
        <v>49</v>
      </c>
      <c r="P276" t="s">
        <v>32</v>
      </c>
    </row>
    <row r="277" spans="1:16" x14ac:dyDescent="0.35">
      <c r="A277" t="s">
        <v>2934</v>
      </c>
      <c r="B277" t="s">
        <v>2935</v>
      </c>
      <c r="C277" t="s">
        <v>53</v>
      </c>
      <c r="D277" t="s">
        <v>36</v>
      </c>
      <c r="E277" t="s">
        <v>80</v>
      </c>
      <c r="F277" s="1">
        <v>42592</v>
      </c>
      <c r="G277">
        <v>2021</v>
      </c>
      <c r="H277" t="s">
        <v>85</v>
      </c>
      <c r="I277" t="s">
        <v>64</v>
      </c>
      <c r="J277" t="s">
        <v>40</v>
      </c>
      <c r="K277">
        <v>7.7</v>
      </c>
      <c r="L277">
        <v>9282877</v>
      </c>
      <c r="M277">
        <v>2161814</v>
      </c>
      <c r="N277">
        <v>73</v>
      </c>
      <c r="O277" t="s">
        <v>4178</v>
      </c>
      <c r="P277" t="s">
        <v>4178</v>
      </c>
    </row>
    <row r="278" spans="1:16" x14ac:dyDescent="0.35">
      <c r="A278" t="s">
        <v>182</v>
      </c>
      <c r="B278" t="s">
        <v>183</v>
      </c>
      <c r="C278" t="s">
        <v>84</v>
      </c>
      <c r="D278" t="s">
        <v>27</v>
      </c>
      <c r="E278" t="s">
        <v>113</v>
      </c>
      <c r="F278" s="1">
        <v>42596</v>
      </c>
      <c r="G278">
        <v>2002</v>
      </c>
      <c r="H278" t="s">
        <v>81</v>
      </c>
      <c r="I278" t="s">
        <v>4199</v>
      </c>
      <c r="J278" t="s">
        <v>57</v>
      </c>
      <c r="K278">
        <v>9.6999999999999993</v>
      </c>
      <c r="L278">
        <v>4470429</v>
      </c>
      <c r="M278">
        <v>3497712</v>
      </c>
      <c r="N278">
        <v>97</v>
      </c>
      <c r="O278" t="s">
        <v>31</v>
      </c>
      <c r="P278" t="s">
        <v>4178</v>
      </c>
    </row>
    <row r="279" spans="1:16" x14ac:dyDescent="0.35">
      <c r="A279" t="s">
        <v>2379</v>
      </c>
      <c r="B279" t="s">
        <v>2380</v>
      </c>
      <c r="C279" t="s">
        <v>84</v>
      </c>
      <c r="D279" t="s">
        <v>54</v>
      </c>
      <c r="E279" t="s">
        <v>20</v>
      </c>
      <c r="F279" s="1">
        <v>42596</v>
      </c>
      <c r="G279">
        <v>2015</v>
      </c>
      <c r="H279" t="s">
        <v>107</v>
      </c>
      <c r="I279" t="s">
        <v>4223</v>
      </c>
      <c r="J279" t="s">
        <v>23</v>
      </c>
      <c r="K279">
        <v>11.2</v>
      </c>
      <c r="L279">
        <v>16901106</v>
      </c>
      <c r="M279">
        <v>3806644</v>
      </c>
      <c r="N279">
        <v>73</v>
      </c>
      <c r="O279" t="s">
        <v>104</v>
      </c>
      <c r="P279" t="s">
        <v>4181</v>
      </c>
    </row>
    <row r="280" spans="1:16" x14ac:dyDescent="0.35">
      <c r="A280" t="s">
        <v>3001</v>
      </c>
      <c r="B280" t="s">
        <v>3002</v>
      </c>
      <c r="C280" t="s">
        <v>53</v>
      </c>
      <c r="D280" t="s">
        <v>19</v>
      </c>
      <c r="E280" t="s">
        <v>4178</v>
      </c>
      <c r="F280" s="1">
        <v>42600</v>
      </c>
      <c r="G280">
        <v>2015</v>
      </c>
      <c r="H280" t="s">
        <v>81</v>
      </c>
      <c r="I280" t="s">
        <v>71</v>
      </c>
      <c r="J280" t="s">
        <v>57</v>
      </c>
      <c r="K280">
        <v>4.5999999999999996</v>
      </c>
      <c r="L280">
        <v>1847533</v>
      </c>
      <c r="M280">
        <v>4243463</v>
      </c>
      <c r="N280">
        <v>49</v>
      </c>
      <c r="O280" t="s">
        <v>31</v>
      </c>
      <c r="P280" t="s">
        <v>4178</v>
      </c>
    </row>
    <row r="281" spans="1:16" x14ac:dyDescent="0.35">
      <c r="A281" t="s">
        <v>1926</v>
      </c>
      <c r="B281" t="s">
        <v>1927</v>
      </c>
      <c r="C281" t="s">
        <v>53</v>
      </c>
      <c r="D281" t="s">
        <v>75</v>
      </c>
      <c r="E281" t="s">
        <v>4196</v>
      </c>
      <c r="F281" s="1">
        <v>42601</v>
      </c>
      <c r="G281">
        <v>2019</v>
      </c>
      <c r="H281" t="s">
        <v>38</v>
      </c>
      <c r="I281" t="s">
        <v>64</v>
      </c>
      <c r="J281" t="s">
        <v>40</v>
      </c>
      <c r="K281">
        <v>7.9</v>
      </c>
      <c r="L281">
        <v>21566452</v>
      </c>
      <c r="M281">
        <v>3731318</v>
      </c>
      <c r="N281">
        <v>77</v>
      </c>
      <c r="O281" t="s">
        <v>104</v>
      </c>
      <c r="P281" t="s">
        <v>87</v>
      </c>
    </row>
    <row r="282" spans="1:16" x14ac:dyDescent="0.35">
      <c r="A282" t="s">
        <v>2056</v>
      </c>
      <c r="B282" t="s">
        <v>2057</v>
      </c>
      <c r="C282" t="s">
        <v>4178</v>
      </c>
      <c r="D282" t="s">
        <v>19</v>
      </c>
      <c r="E282" t="s">
        <v>37</v>
      </c>
      <c r="F282" s="1">
        <v>42601</v>
      </c>
      <c r="G282">
        <v>2024</v>
      </c>
      <c r="H282" t="s">
        <v>121</v>
      </c>
      <c r="I282" t="s">
        <v>136</v>
      </c>
      <c r="J282" t="s">
        <v>30</v>
      </c>
      <c r="K282">
        <v>8</v>
      </c>
      <c r="L282">
        <v>19192418</v>
      </c>
      <c r="M282">
        <v>2831821</v>
      </c>
      <c r="N282">
        <v>77</v>
      </c>
      <c r="O282" t="s">
        <v>104</v>
      </c>
      <c r="P282" t="s">
        <v>50</v>
      </c>
    </row>
    <row r="283" spans="1:16" x14ac:dyDescent="0.35">
      <c r="A283" t="s">
        <v>1302</v>
      </c>
      <c r="B283" t="s">
        <v>1303</v>
      </c>
      <c r="C283" t="s">
        <v>84</v>
      </c>
      <c r="D283" t="s">
        <v>61</v>
      </c>
      <c r="E283" t="s">
        <v>20</v>
      </c>
      <c r="F283" s="1">
        <v>42606</v>
      </c>
      <c r="G283">
        <v>2001</v>
      </c>
      <c r="H283" t="s">
        <v>81</v>
      </c>
      <c r="I283" t="s">
        <v>4228</v>
      </c>
      <c r="J283" t="s">
        <v>40</v>
      </c>
      <c r="K283">
        <v>5.6</v>
      </c>
      <c r="L283">
        <v>1318341</v>
      </c>
      <c r="M283">
        <v>1260129</v>
      </c>
      <c r="N283">
        <v>85</v>
      </c>
      <c r="O283" t="s">
        <v>31</v>
      </c>
      <c r="P283" t="s">
        <v>87</v>
      </c>
    </row>
    <row r="284" spans="1:16" x14ac:dyDescent="0.35">
      <c r="A284" t="s">
        <v>1403</v>
      </c>
      <c r="B284" t="s">
        <v>1404</v>
      </c>
      <c r="C284" t="s">
        <v>84</v>
      </c>
      <c r="D284" t="s">
        <v>90</v>
      </c>
      <c r="E284" t="s">
        <v>99</v>
      </c>
      <c r="F284" s="1">
        <v>42610</v>
      </c>
      <c r="G284">
        <v>2003</v>
      </c>
      <c r="H284" t="s">
        <v>85</v>
      </c>
      <c r="I284" t="s">
        <v>4301</v>
      </c>
      <c r="J284" t="s">
        <v>103</v>
      </c>
      <c r="K284">
        <v>8.4</v>
      </c>
      <c r="L284">
        <v>13391081</v>
      </c>
      <c r="M284">
        <v>4071579</v>
      </c>
      <c r="N284">
        <v>69</v>
      </c>
      <c r="O284" t="s">
        <v>31</v>
      </c>
      <c r="P284" t="s">
        <v>4178</v>
      </c>
    </row>
    <row r="285" spans="1:16" x14ac:dyDescent="0.35">
      <c r="A285" t="s">
        <v>3571</v>
      </c>
      <c r="B285" t="s">
        <v>3572</v>
      </c>
      <c r="C285" t="s">
        <v>53</v>
      </c>
      <c r="D285" t="s">
        <v>4178</v>
      </c>
      <c r="E285" t="s">
        <v>37</v>
      </c>
      <c r="F285" s="1">
        <v>42611</v>
      </c>
      <c r="G285">
        <v>2014</v>
      </c>
      <c r="H285" t="s">
        <v>121</v>
      </c>
      <c r="I285" t="s">
        <v>118</v>
      </c>
      <c r="J285" t="s">
        <v>48</v>
      </c>
      <c r="K285">
        <v>7.8</v>
      </c>
      <c r="L285">
        <v>-897</v>
      </c>
      <c r="M285">
        <v>4093563</v>
      </c>
      <c r="N285">
        <v>74</v>
      </c>
      <c r="O285" t="s">
        <v>49</v>
      </c>
      <c r="P285" t="s">
        <v>4178</v>
      </c>
    </row>
    <row r="286" spans="1:16" x14ac:dyDescent="0.35">
      <c r="A286" t="s">
        <v>961</v>
      </c>
      <c r="B286" t="s">
        <v>962</v>
      </c>
      <c r="C286" t="s">
        <v>84</v>
      </c>
      <c r="D286" t="s">
        <v>94</v>
      </c>
      <c r="E286" t="s">
        <v>4196</v>
      </c>
      <c r="F286" s="1">
        <v>42613</v>
      </c>
      <c r="G286">
        <v>2020</v>
      </c>
      <c r="H286" t="s">
        <v>63</v>
      </c>
      <c r="I286" t="s">
        <v>4286</v>
      </c>
      <c r="J286" t="s">
        <v>40</v>
      </c>
      <c r="K286">
        <v>5.3</v>
      </c>
      <c r="L286">
        <v>21888281</v>
      </c>
      <c r="M286">
        <v>1705144</v>
      </c>
      <c r="N286">
        <v>72</v>
      </c>
      <c r="O286" t="s">
        <v>123</v>
      </c>
      <c r="P286" t="s">
        <v>4181</v>
      </c>
    </row>
    <row r="287" spans="1:16" x14ac:dyDescent="0.35">
      <c r="A287" t="s">
        <v>2097</v>
      </c>
      <c r="B287" t="s">
        <v>2098</v>
      </c>
      <c r="C287" t="s">
        <v>84</v>
      </c>
      <c r="D287" t="s">
        <v>156</v>
      </c>
      <c r="E287" t="s">
        <v>69</v>
      </c>
      <c r="F287" s="1">
        <v>42615</v>
      </c>
      <c r="G287">
        <v>2014</v>
      </c>
      <c r="H287" t="s">
        <v>107</v>
      </c>
      <c r="I287" t="s">
        <v>4225</v>
      </c>
      <c r="J287" t="s">
        <v>57</v>
      </c>
      <c r="K287">
        <v>6.3</v>
      </c>
      <c r="L287">
        <v>17160499</v>
      </c>
      <c r="M287">
        <v>4929260</v>
      </c>
      <c r="N287">
        <v>43</v>
      </c>
      <c r="O287" t="s">
        <v>31</v>
      </c>
      <c r="P287" t="s">
        <v>4178</v>
      </c>
    </row>
    <row r="288" spans="1:16" x14ac:dyDescent="0.35">
      <c r="A288" t="s">
        <v>265</v>
      </c>
      <c r="B288" t="s">
        <v>266</v>
      </c>
      <c r="C288" t="s">
        <v>4178</v>
      </c>
      <c r="D288" t="s">
        <v>54</v>
      </c>
      <c r="E288" t="s">
        <v>45</v>
      </c>
      <c r="F288" s="1">
        <v>42622</v>
      </c>
      <c r="G288">
        <v>2011</v>
      </c>
      <c r="H288" t="s">
        <v>4178</v>
      </c>
      <c r="I288" t="s">
        <v>118</v>
      </c>
      <c r="J288" t="s">
        <v>72</v>
      </c>
      <c r="K288">
        <v>8.1</v>
      </c>
      <c r="L288">
        <v>11098256</v>
      </c>
      <c r="M288">
        <v>789325</v>
      </c>
      <c r="N288">
        <v>71</v>
      </c>
      <c r="O288" t="s">
        <v>91</v>
      </c>
      <c r="P288" t="s">
        <v>87</v>
      </c>
    </row>
    <row r="289" spans="1:16" x14ac:dyDescent="0.35">
      <c r="A289" t="s">
        <v>3145</v>
      </c>
      <c r="B289" t="s">
        <v>3146</v>
      </c>
      <c r="C289" t="s">
        <v>84</v>
      </c>
      <c r="D289" t="s">
        <v>90</v>
      </c>
      <c r="E289" t="s">
        <v>4178</v>
      </c>
      <c r="F289" s="1">
        <v>42623</v>
      </c>
      <c r="G289">
        <v>2001</v>
      </c>
      <c r="H289" t="s">
        <v>107</v>
      </c>
      <c r="I289" t="s">
        <v>4178</v>
      </c>
      <c r="J289" t="s">
        <v>4178</v>
      </c>
      <c r="K289">
        <v>6.4</v>
      </c>
      <c r="L289">
        <v>5890854</v>
      </c>
      <c r="M289">
        <v>2415118</v>
      </c>
      <c r="N289">
        <v>50</v>
      </c>
      <c r="O289" t="s">
        <v>41</v>
      </c>
      <c r="P289" t="s">
        <v>4181</v>
      </c>
    </row>
    <row r="290" spans="1:16" x14ac:dyDescent="0.35">
      <c r="A290" t="s">
        <v>3074</v>
      </c>
      <c r="B290" t="s">
        <v>3075</v>
      </c>
      <c r="C290" t="s">
        <v>84</v>
      </c>
      <c r="D290" t="s">
        <v>156</v>
      </c>
      <c r="E290" t="s">
        <v>62</v>
      </c>
      <c r="F290" s="1">
        <v>42625</v>
      </c>
      <c r="G290">
        <v>2003</v>
      </c>
      <c r="H290" t="s">
        <v>107</v>
      </c>
      <c r="I290" t="s">
        <v>4334</v>
      </c>
      <c r="J290" t="s">
        <v>72</v>
      </c>
      <c r="K290">
        <v>9.8000000000000007</v>
      </c>
      <c r="L290">
        <v>2598063</v>
      </c>
      <c r="M290">
        <v>599440</v>
      </c>
      <c r="N290">
        <v>68</v>
      </c>
      <c r="O290" t="s">
        <v>123</v>
      </c>
      <c r="P290" t="s">
        <v>4178</v>
      </c>
    </row>
    <row r="291" spans="1:16" x14ac:dyDescent="0.35">
      <c r="A291" t="s">
        <v>3462</v>
      </c>
      <c r="B291" t="s">
        <v>3463</v>
      </c>
      <c r="C291" t="s">
        <v>84</v>
      </c>
      <c r="D291" t="s">
        <v>94</v>
      </c>
      <c r="E291" t="s">
        <v>55</v>
      </c>
      <c r="F291" s="1">
        <v>42625</v>
      </c>
      <c r="G291">
        <v>2023</v>
      </c>
      <c r="H291" t="s">
        <v>85</v>
      </c>
      <c r="I291" t="s">
        <v>4211</v>
      </c>
      <c r="J291" t="s">
        <v>30</v>
      </c>
      <c r="K291">
        <v>6.4</v>
      </c>
      <c r="L291">
        <v>2482215</v>
      </c>
      <c r="M291">
        <v>839089</v>
      </c>
      <c r="N291">
        <v>84</v>
      </c>
      <c r="O291" t="s">
        <v>24</v>
      </c>
      <c r="P291" t="s">
        <v>4178</v>
      </c>
    </row>
    <row r="292" spans="1:16" x14ac:dyDescent="0.35">
      <c r="A292" t="s">
        <v>999</v>
      </c>
      <c r="B292" t="s">
        <v>1000</v>
      </c>
      <c r="C292" t="s">
        <v>53</v>
      </c>
      <c r="D292" t="s">
        <v>4178</v>
      </c>
      <c r="E292" t="s">
        <v>80</v>
      </c>
      <c r="F292" s="1">
        <v>42626</v>
      </c>
      <c r="G292">
        <v>2001</v>
      </c>
      <c r="H292" t="s">
        <v>46</v>
      </c>
      <c r="I292" t="s">
        <v>64</v>
      </c>
      <c r="J292" t="s">
        <v>133</v>
      </c>
      <c r="K292">
        <v>5.7</v>
      </c>
      <c r="L292">
        <v>24836571</v>
      </c>
      <c r="M292">
        <v>3679681</v>
      </c>
      <c r="N292">
        <v>48</v>
      </c>
      <c r="O292" t="s">
        <v>104</v>
      </c>
      <c r="P292" t="s">
        <v>4181</v>
      </c>
    </row>
    <row r="293" spans="1:16" x14ac:dyDescent="0.35">
      <c r="A293" t="s">
        <v>1842</v>
      </c>
      <c r="B293" t="s">
        <v>1843</v>
      </c>
      <c r="C293" t="s">
        <v>53</v>
      </c>
      <c r="D293" t="s">
        <v>68</v>
      </c>
      <c r="E293" t="s">
        <v>113</v>
      </c>
      <c r="F293" s="1">
        <v>42626</v>
      </c>
      <c r="G293">
        <v>2013</v>
      </c>
      <c r="H293" t="s">
        <v>107</v>
      </c>
      <c r="I293" t="s">
        <v>136</v>
      </c>
      <c r="J293" t="s">
        <v>96</v>
      </c>
      <c r="K293">
        <v>8.8000000000000007</v>
      </c>
      <c r="L293">
        <v>14422725</v>
      </c>
      <c r="M293">
        <v>1998452</v>
      </c>
      <c r="N293">
        <v>86</v>
      </c>
      <c r="O293" t="s">
        <v>65</v>
      </c>
      <c r="P293" t="s">
        <v>50</v>
      </c>
    </row>
    <row r="294" spans="1:16" x14ac:dyDescent="0.35">
      <c r="A294" t="s">
        <v>2607</v>
      </c>
      <c r="B294" t="s">
        <v>4362</v>
      </c>
      <c r="C294" t="s">
        <v>84</v>
      </c>
      <c r="D294" t="s">
        <v>19</v>
      </c>
      <c r="E294" t="s">
        <v>113</v>
      </c>
      <c r="F294" s="1">
        <v>42629</v>
      </c>
      <c r="G294">
        <v>2019</v>
      </c>
      <c r="H294" t="s">
        <v>38</v>
      </c>
      <c r="I294" t="s">
        <v>4237</v>
      </c>
      <c r="J294" t="s">
        <v>4178</v>
      </c>
      <c r="K294">
        <v>7.6</v>
      </c>
      <c r="L294">
        <v>19666986</v>
      </c>
      <c r="M294">
        <v>4853686</v>
      </c>
      <c r="N294">
        <v>120</v>
      </c>
      <c r="O294" t="s">
        <v>24</v>
      </c>
      <c r="P294" t="s">
        <v>4178</v>
      </c>
    </row>
    <row r="295" spans="1:16" x14ac:dyDescent="0.35">
      <c r="A295" t="s">
        <v>940</v>
      </c>
      <c r="B295" t="s">
        <v>941</v>
      </c>
      <c r="C295" t="s">
        <v>53</v>
      </c>
      <c r="D295" t="s">
        <v>61</v>
      </c>
      <c r="E295" t="s">
        <v>113</v>
      </c>
      <c r="F295" s="1">
        <v>42635</v>
      </c>
      <c r="G295">
        <v>2018</v>
      </c>
      <c r="H295" t="s">
        <v>4178</v>
      </c>
      <c r="I295" t="s">
        <v>118</v>
      </c>
      <c r="J295" t="s">
        <v>153</v>
      </c>
      <c r="K295">
        <v>9.1999999999999993</v>
      </c>
      <c r="L295">
        <v>12017459</v>
      </c>
      <c r="M295">
        <v>608615</v>
      </c>
      <c r="N295">
        <v>74</v>
      </c>
      <c r="O295" t="s">
        <v>24</v>
      </c>
      <c r="P295" t="s">
        <v>32</v>
      </c>
    </row>
    <row r="296" spans="1:16" x14ac:dyDescent="0.35">
      <c r="A296" t="s">
        <v>948</v>
      </c>
      <c r="B296" t="s">
        <v>949</v>
      </c>
      <c r="C296" t="s">
        <v>84</v>
      </c>
      <c r="D296" t="s">
        <v>61</v>
      </c>
      <c r="E296" t="s">
        <v>62</v>
      </c>
      <c r="F296" s="1">
        <v>42637</v>
      </c>
      <c r="G296">
        <v>2005</v>
      </c>
      <c r="H296" t="s">
        <v>85</v>
      </c>
      <c r="I296" t="s">
        <v>4277</v>
      </c>
      <c r="J296" t="s">
        <v>40</v>
      </c>
      <c r="K296">
        <v>7.3</v>
      </c>
      <c r="L296">
        <v>14771373</v>
      </c>
      <c r="M296">
        <v>4590278</v>
      </c>
      <c r="N296">
        <v>75</v>
      </c>
      <c r="O296" t="s">
        <v>123</v>
      </c>
      <c r="P296" t="s">
        <v>4178</v>
      </c>
    </row>
    <row r="297" spans="1:16" x14ac:dyDescent="0.35">
      <c r="A297" t="s">
        <v>1100</v>
      </c>
      <c r="B297" t="s">
        <v>1101</v>
      </c>
      <c r="C297" t="s">
        <v>4178</v>
      </c>
      <c r="D297" t="s">
        <v>54</v>
      </c>
      <c r="E297" t="s">
        <v>4178</v>
      </c>
      <c r="F297" s="1">
        <v>42639</v>
      </c>
      <c r="G297">
        <v>2024</v>
      </c>
      <c r="H297" t="s">
        <v>46</v>
      </c>
      <c r="I297" t="s">
        <v>64</v>
      </c>
      <c r="J297" t="s">
        <v>133</v>
      </c>
      <c r="K297">
        <v>9.6</v>
      </c>
      <c r="L297">
        <v>15314962</v>
      </c>
      <c r="M297">
        <v>3452690</v>
      </c>
      <c r="N297">
        <v>46</v>
      </c>
      <c r="O297" t="s">
        <v>4178</v>
      </c>
      <c r="P297" t="s">
        <v>50</v>
      </c>
    </row>
    <row r="298" spans="1:16" x14ac:dyDescent="0.35">
      <c r="A298" t="s">
        <v>834</v>
      </c>
      <c r="B298" t="s">
        <v>835</v>
      </c>
      <c r="C298" t="s">
        <v>84</v>
      </c>
      <c r="D298" t="s">
        <v>27</v>
      </c>
      <c r="E298" t="s">
        <v>20</v>
      </c>
      <c r="F298" s="1">
        <v>42645</v>
      </c>
      <c r="G298">
        <v>2018</v>
      </c>
      <c r="H298" t="s">
        <v>21</v>
      </c>
      <c r="I298" t="s">
        <v>4260</v>
      </c>
      <c r="J298" t="s">
        <v>57</v>
      </c>
      <c r="K298">
        <v>8.5</v>
      </c>
      <c r="L298">
        <v>1552799</v>
      </c>
      <c r="M298">
        <v>2561923</v>
      </c>
      <c r="N298">
        <v>94</v>
      </c>
      <c r="O298" t="s">
        <v>104</v>
      </c>
      <c r="P298" t="s">
        <v>32</v>
      </c>
    </row>
    <row r="299" spans="1:16" x14ac:dyDescent="0.35">
      <c r="A299" t="s">
        <v>3033</v>
      </c>
      <c r="B299" t="s">
        <v>3034</v>
      </c>
      <c r="C299" t="s">
        <v>84</v>
      </c>
      <c r="D299" t="s">
        <v>4178</v>
      </c>
      <c r="E299" t="s">
        <v>55</v>
      </c>
      <c r="F299" s="1">
        <v>42645</v>
      </c>
      <c r="G299">
        <v>2023</v>
      </c>
      <c r="H299" t="s">
        <v>107</v>
      </c>
      <c r="I299" t="s">
        <v>4287</v>
      </c>
      <c r="J299" t="s">
        <v>72</v>
      </c>
      <c r="K299">
        <v>7.3</v>
      </c>
      <c r="L299">
        <v>19422520</v>
      </c>
      <c r="M299">
        <v>4588481</v>
      </c>
      <c r="N299">
        <v>87</v>
      </c>
      <c r="O299" t="s">
        <v>91</v>
      </c>
      <c r="P299" t="s">
        <v>50</v>
      </c>
    </row>
    <row r="300" spans="1:16" x14ac:dyDescent="0.35">
      <c r="A300" t="s">
        <v>1706</v>
      </c>
      <c r="B300" t="s">
        <v>1707</v>
      </c>
      <c r="C300" t="s">
        <v>53</v>
      </c>
      <c r="D300" t="s">
        <v>156</v>
      </c>
      <c r="E300" t="s">
        <v>62</v>
      </c>
      <c r="F300" s="1">
        <v>42649</v>
      </c>
      <c r="G300">
        <v>2002</v>
      </c>
      <c r="H300" t="s">
        <v>107</v>
      </c>
      <c r="I300" t="s">
        <v>39</v>
      </c>
      <c r="J300" t="s">
        <v>133</v>
      </c>
      <c r="K300">
        <v>6.3</v>
      </c>
      <c r="L300">
        <v>18361651</v>
      </c>
      <c r="M300">
        <v>3749713</v>
      </c>
      <c r="N300">
        <v>50</v>
      </c>
      <c r="O300" t="s">
        <v>24</v>
      </c>
      <c r="P300" t="s">
        <v>4178</v>
      </c>
    </row>
    <row r="301" spans="1:16" x14ac:dyDescent="0.35">
      <c r="A301" t="s">
        <v>725</v>
      </c>
      <c r="B301" t="s">
        <v>726</v>
      </c>
      <c r="C301" t="s">
        <v>84</v>
      </c>
      <c r="D301" t="s">
        <v>19</v>
      </c>
      <c r="E301" t="s">
        <v>69</v>
      </c>
      <c r="F301" s="1">
        <v>42652</v>
      </c>
      <c r="G301">
        <v>2025</v>
      </c>
      <c r="H301" t="s">
        <v>121</v>
      </c>
      <c r="I301" t="s">
        <v>4267</v>
      </c>
      <c r="J301" t="s">
        <v>103</v>
      </c>
      <c r="K301">
        <v>5.4</v>
      </c>
      <c r="L301">
        <v>21565022</v>
      </c>
      <c r="M301">
        <v>572576</v>
      </c>
      <c r="N301">
        <v>59</v>
      </c>
      <c r="O301" t="s">
        <v>24</v>
      </c>
      <c r="P301" t="s">
        <v>50</v>
      </c>
    </row>
    <row r="302" spans="1:16" x14ac:dyDescent="0.35">
      <c r="A302" t="s">
        <v>308</v>
      </c>
      <c r="B302" t="s">
        <v>309</v>
      </c>
      <c r="C302" t="s">
        <v>53</v>
      </c>
      <c r="D302" t="s">
        <v>4178</v>
      </c>
      <c r="E302" t="s">
        <v>131</v>
      </c>
      <c r="F302" s="1">
        <v>42654</v>
      </c>
      <c r="G302">
        <v>2019</v>
      </c>
      <c r="H302" t="s">
        <v>107</v>
      </c>
      <c r="I302" t="s">
        <v>64</v>
      </c>
      <c r="J302" t="s">
        <v>96</v>
      </c>
      <c r="K302">
        <v>7.7</v>
      </c>
      <c r="L302">
        <v>6458487</v>
      </c>
      <c r="M302">
        <v>4890997</v>
      </c>
      <c r="N302">
        <v>40</v>
      </c>
      <c r="O302" t="s">
        <v>104</v>
      </c>
      <c r="P302" t="s">
        <v>4178</v>
      </c>
    </row>
    <row r="303" spans="1:16" x14ac:dyDescent="0.35">
      <c r="A303" t="s">
        <v>2306</v>
      </c>
      <c r="B303" t="s">
        <v>2307</v>
      </c>
      <c r="C303" t="s">
        <v>84</v>
      </c>
      <c r="D303" t="s">
        <v>94</v>
      </c>
      <c r="E303" t="s">
        <v>20</v>
      </c>
      <c r="F303" s="1">
        <v>42655</v>
      </c>
      <c r="G303">
        <v>2020</v>
      </c>
      <c r="H303" t="s">
        <v>114</v>
      </c>
      <c r="I303" t="s">
        <v>4269</v>
      </c>
      <c r="J303" t="s">
        <v>23</v>
      </c>
      <c r="K303">
        <v>7</v>
      </c>
      <c r="L303">
        <v>16316763</v>
      </c>
      <c r="M303">
        <v>2280103</v>
      </c>
      <c r="N303">
        <v>96</v>
      </c>
      <c r="O303" t="s">
        <v>123</v>
      </c>
      <c r="P303" t="s">
        <v>87</v>
      </c>
    </row>
    <row r="304" spans="1:16" x14ac:dyDescent="0.35">
      <c r="A304" t="s">
        <v>3431</v>
      </c>
      <c r="B304" t="s">
        <v>3432</v>
      </c>
      <c r="C304" t="s">
        <v>4178</v>
      </c>
      <c r="D304" t="s">
        <v>61</v>
      </c>
      <c r="E304" t="s">
        <v>45</v>
      </c>
      <c r="F304" s="1">
        <v>42660</v>
      </c>
      <c r="G304">
        <v>2019</v>
      </c>
      <c r="H304" t="s">
        <v>21</v>
      </c>
      <c r="I304" t="s">
        <v>56</v>
      </c>
      <c r="J304" t="s">
        <v>48</v>
      </c>
      <c r="K304">
        <v>5.8</v>
      </c>
      <c r="L304">
        <v>4045996</v>
      </c>
      <c r="M304">
        <v>194255</v>
      </c>
      <c r="N304">
        <v>56</v>
      </c>
      <c r="O304" t="s">
        <v>104</v>
      </c>
      <c r="P304" t="s">
        <v>50</v>
      </c>
    </row>
    <row r="305" spans="1:16" x14ac:dyDescent="0.35">
      <c r="A305" t="s">
        <v>1973</v>
      </c>
      <c r="B305" t="s">
        <v>1974</v>
      </c>
      <c r="C305" t="s">
        <v>84</v>
      </c>
      <c r="D305" t="s">
        <v>36</v>
      </c>
      <c r="E305" t="s">
        <v>131</v>
      </c>
      <c r="F305" s="1">
        <v>42661</v>
      </c>
      <c r="G305">
        <v>2009</v>
      </c>
      <c r="H305" t="s">
        <v>46</v>
      </c>
      <c r="I305" t="s">
        <v>4336</v>
      </c>
      <c r="J305" t="s">
        <v>96</v>
      </c>
      <c r="K305">
        <v>8</v>
      </c>
      <c r="L305">
        <v>17956286</v>
      </c>
      <c r="M305">
        <v>1786586</v>
      </c>
      <c r="N305">
        <v>41</v>
      </c>
      <c r="O305" t="s">
        <v>24</v>
      </c>
      <c r="P305" t="s">
        <v>4178</v>
      </c>
    </row>
    <row r="306" spans="1:16" x14ac:dyDescent="0.35">
      <c r="A306" t="s">
        <v>380</v>
      </c>
      <c r="B306" t="s">
        <v>381</v>
      </c>
      <c r="C306" t="s">
        <v>53</v>
      </c>
      <c r="D306" t="s">
        <v>36</v>
      </c>
      <c r="E306" t="s">
        <v>20</v>
      </c>
      <c r="F306" s="1">
        <v>42662</v>
      </c>
      <c r="G306">
        <v>2007</v>
      </c>
      <c r="H306" t="s">
        <v>63</v>
      </c>
      <c r="I306" t="s">
        <v>95</v>
      </c>
      <c r="J306" t="s">
        <v>72</v>
      </c>
      <c r="K306">
        <v>5</v>
      </c>
      <c r="L306">
        <v>14757261</v>
      </c>
      <c r="M306">
        <v>4022510</v>
      </c>
      <c r="N306">
        <v>86</v>
      </c>
      <c r="O306" t="s">
        <v>41</v>
      </c>
      <c r="P306" t="s">
        <v>87</v>
      </c>
    </row>
    <row r="307" spans="1:16" x14ac:dyDescent="0.35">
      <c r="A307" t="s">
        <v>1540</v>
      </c>
      <c r="B307" t="s">
        <v>1541</v>
      </c>
      <c r="C307" t="s">
        <v>4178</v>
      </c>
      <c r="D307" t="s">
        <v>94</v>
      </c>
      <c r="E307" t="s">
        <v>45</v>
      </c>
      <c r="F307" s="1">
        <v>42664</v>
      </c>
      <c r="G307">
        <v>2013</v>
      </c>
      <c r="H307" t="s">
        <v>107</v>
      </c>
      <c r="I307" t="s">
        <v>4178</v>
      </c>
      <c r="J307" t="s">
        <v>96</v>
      </c>
      <c r="K307">
        <v>6.9</v>
      </c>
      <c r="L307">
        <v>15467855</v>
      </c>
      <c r="M307">
        <v>3890790</v>
      </c>
      <c r="N307">
        <v>82</v>
      </c>
      <c r="O307" t="s">
        <v>65</v>
      </c>
      <c r="P307" t="s">
        <v>50</v>
      </c>
    </row>
    <row r="308" spans="1:16" x14ac:dyDescent="0.35">
      <c r="A308" t="s">
        <v>640</v>
      </c>
      <c r="B308" t="s">
        <v>641</v>
      </c>
      <c r="C308" t="s">
        <v>84</v>
      </c>
      <c r="D308" t="s">
        <v>54</v>
      </c>
      <c r="E308" t="s">
        <v>80</v>
      </c>
      <c r="F308" s="1">
        <v>42671</v>
      </c>
      <c r="G308">
        <v>2020</v>
      </c>
      <c r="H308" t="s">
        <v>85</v>
      </c>
      <c r="I308" t="s">
        <v>4256</v>
      </c>
      <c r="J308" t="s">
        <v>57</v>
      </c>
      <c r="K308">
        <v>6.1</v>
      </c>
      <c r="L308">
        <v>8671837</v>
      </c>
      <c r="M308">
        <v>2332194</v>
      </c>
      <c r="N308">
        <v>53</v>
      </c>
      <c r="O308" t="s">
        <v>65</v>
      </c>
      <c r="P308" t="s">
        <v>4178</v>
      </c>
    </row>
    <row r="309" spans="1:16" x14ac:dyDescent="0.35">
      <c r="A309" t="s">
        <v>1549</v>
      </c>
      <c r="B309" t="s">
        <v>1550</v>
      </c>
      <c r="C309" t="s">
        <v>53</v>
      </c>
      <c r="D309" t="s">
        <v>75</v>
      </c>
      <c r="E309" t="s">
        <v>4196</v>
      </c>
      <c r="F309" s="1">
        <v>42671</v>
      </c>
      <c r="G309">
        <v>2015</v>
      </c>
      <c r="H309" t="s">
        <v>38</v>
      </c>
      <c r="I309" t="s">
        <v>56</v>
      </c>
      <c r="J309" t="s">
        <v>96</v>
      </c>
      <c r="K309">
        <v>5.7</v>
      </c>
      <c r="L309">
        <v>6309920</v>
      </c>
      <c r="M309">
        <v>2758196</v>
      </c>
      <c r="N309">
        <v>40</v>
      </c>
      <c r="O309" t="s">
        <v>24</v>
      </c>
      <c r="P309" t="s">
        <v>87</v>
      </c>
    </row>
    <row r="310" spans="1:16" x14ac:dyDescent="0.35">
      <c r="A310" t="s">
        <v>3437</v>
      </c>
      <c r="B310" t="s">
        <v>3438</v>
      </c>
      <c r="C310" t="s">
        <v>4178</v>
      </c>
      <c r="D310" t="s">
        <v>4178</v>
      </c>
      <c r="E310" t="s">
        <v>4178</v>
      </c>
      <c r="F310" s="1">
        <v>42671</v>
      </c>
      <c r="G310">
        <v>2006</v>
      </c>
      <c r="H310" t="s">
        <v>107</v>
      </c>
      <c r="I310" t="s">
        <v>64</v>
      </c>
      <c r="J310" t="s">
        <v>23</v>
      </c>
      <c r="K310">
        <v>4.7</v>
      </c>
      <c r="L310">
        <v>23349398</v>
      </c>
      <c r="M310">
        <v>3241756</v>
      </c>
      <c r="N310">
        <v>83</v>
      </c>
      <c r="O310" t="s">
        <v>31</v>
      </c>
      <c r="P310" t="s">
        <v>4181</v>
      </c>
    </row>
    <row r="311" spans="1:16" x14ac:dyDescent="0.35">
      <c r="A311" t="s">
        <v>384</v>
      </c>
      <c r="B311" t="s">
        <v>385</v>
      </c>
      <c r="C311" t="s">
        <v>84</v>
      </c>
      <c r="D311" t="s">
        <v>27</v>
      </c>
      <c r="E311" t="s">
        <v>113</v>
      </c>
      <c r="F311" s="1">
        <v>42672</v>
      </c>
      <c r="G311">
        <v>2001</v>
      </c>
      <c r="H311" t="s">
        <v>4178</v>
      </c>
      <c r="I311" t="s">
        <v>4233</v>
      </c>
      <c r="J311" t="s">
        <v>72</v>
      </c>
      <c r="K311">
        <v>7.5</v>
      </c>
      <c r="L311">
        <v>16140697</v>
      </c>
      <c r="M311">
        <v>1148999</v>
      </c>
      <c r="N311">
        <v>61</v>
      </c>
      <c r="O311" t="s">
        <v>65</v>
      </c>
      <c r="P311" t="s">
        <v>87</v>
      </c>
    </row>
    <row r="312" spans="1:16" x14ac:dyDescent="0.35">
      <c r="A312" t="s">
        <v>2954</v>
      </c>
      <c r="B312" t="s">
        <v>2955</v>
      </c>
      <c r="C312" t="s">
        <v>4178</v>
      </c>
      <c r="D312" t="s">
        <v>68</v>
      </c>
      <c r="E312" t="s">
        <v>20</v>
      </c>
      <c r="F312" s="1">
        <v>42672</v>
      </c>
      <c r="G312">
        <v>2032</v>
      </c>
      <c r="H312" t="s">
        <v>21</v>
      </c>
      <c r="I312" t="s">
        <v>95</v>
      </c>
      <c r="J312" t="s">
        <v>72</v>
      </c>
      <c r="K312">
        <v>7.2</v>
      </c>
      <c r="L312">
        <v>21389592</v>
      </c>
      <c r="M312">
        <v>4320632</v>
      </c>
      <c r="N312">
        <v>51</v>
      </c>
      <c r="O312" t="s">
        <v>49</v>
      </c>
      <c r="P312" t="s">
        <v>4181</v>
      </c>
    </row>
    <row r="313" spans="1:16" x14ac:dyDescent="0.35">
      <c r="A313" t="s">
        <v>3089</v>
      </c>
      <c r="B313" t="s">
        <v>3090</v>
      </c>
      <c r="C313" t="s">
        <v>53</v>
      </c>
      <c r="D313" t="s">
        <v>68</v>
      </c>
      <c r="E313" t="s">
        <v>4178</v>
      </c>
      <c r="F313" s="1">
        <v>42672</v>
      </c>
      <c r="G313">
        <v>2020</v>
      </c>
      <c r="H313" t="s">
        <v>63</v>
      </c>
      <c r="I313" t="s">
        <v>162</v>
      </c>
      <c r="J313" t="s">
        <v>48</v>
      </c>
      <c r="K313">
        <v>7.6</v>
      </c>
      <c r="L313">
        <v>19318825</v>
      </c>
      <c r="M313">
        <v>1622702</v>
      </c>
      <c r="N313">
        <v>91</v>
      </c>
      <c r="O313" t="s">
        <v>104</v>
      </c>
      <c r="P313" t="s">
        <v>4178</v>
      </c>
    </row>
    <row r="314" spans="1:16" x14ac:dyDescent="0.35">
      <c r="A314" t="s">
        <v>743</v>
      </c>
      <c r="B314" t="s">
        <v>744</v>
      </c>
      <c r="C314" t="s">
        <v>84</v>
      </c>
      <c r="D314" t="s">
        <v>19</v>
      </c>
      <c r="E314" t="s">
        <v>99</v>
      </c>
      <c r="F314" s="1">
        <v>42673</v>
      </c>
      <c r="G314">
        <v>2023</v>
      </c>
      <c r="H314" t="s">
        <v>46</v>
      </c>
      <c r="I314" t="s">
        <v>4237</v>
      </c>
      <c r="J314" t="s">
        <v>96</v>
      </c>
      <c r="K314">
        <v>9.1999999999999993</v>
      </c>
      <c r="L314">
        <v>15418458</v>
      </c>
      <c r="M314">
        <v>3988160</v>
      </c>
      <c r="N314">
        <v>78</v>
      </c>
      <c r="O314" t="s">
        <v>41</v>
      </c>
      <c r="P314" t="s">
        <v>4181</v>
      </c>
    </row>
    <row r="315" spans="1:16" x14ac:dyDescent="0.35">
      <c r="A315" t="s">
        <v>2410</v>
      </c>
      <c r="B315" t="s">
        <v>2411</v>
      </c>
      <c r="C315" t="s">
        <v>84</v>
      </c>
      <c r="D315" t="s">
        <v>54</v>
      </c>
      <c r="E315" t="s">
        <v>55</v>
      </c>
      <c r="F315" s="1">
        <v>42681</v>
      </c>
      <c r="G315">
        <v>2010</v>
      </c>
      <c r="H315" t="s">
        <v>107</v>
      </c>
      <c r="I315" t="s">
        <v>4206</v>
      </c>
      <c r="J315" t="s">
        <v>103</v>
      </c>
      <c r="K315">
        <v>4.5999999999999996</v>
      </c>
      <c r="L315">
        <v>16718113</v>
      </c>
      <c r="M315">
        <v>38755</v>
      </c>
      <c r="N315">
        <v>69</v>
      </c>
      <c r="O315" t="s">
        <v>65</v>
      </c>
      <c r="P315" t="s">
        <v>4181</v>
      </c>
    </row>
    <row r="316" spans="1:16" x14ac:dyDescent="0.35">
      <c r="A316" t="s">
        <v>271</v>
      </c>
      <c r="B316" t="s">
        <v>272</v>
      </c>
      <c r="C316" t="s">
        <v>84</v>
      </c>
      <c r="D316" t="s">
        <v>4178</v>
      </c>
      <c r="E316" t="s">
        <v>4196</v>
      </c>
      <c r="F316" s="1">
        <v>42684</v>
      </c>
      <c r="G316">
        <v>2021</v>
      </c>
      <c r="H316" t="s">
        <v>4178</v>
      </c>
      <c r="I316" t="s">
        <v>4202</v>
      </c>
      <c r="J316" t="s">
        <v>4178</v>
      </c>
      <c r="K316">
        <v>8</v>
      </c>
      <c r="L316">
        <v>14155589</v>
      </c>
      <c r="M316">
        <v>844942</v>
      </c>
      <c r="N316">
        <v>81</v>
      </c>
      <c r="O316" t="s">
        <v>24</v>
      </c>
      <c r="P316" t="s">
        <v>50</v>
      </c>
    </row>
    <row r="317" spans="1:16" x14ac:dyDescent="0.35">
      <c r="A317" t="s">
        <v>638</v>
      </c>
      <c r="B317" t="s">
        <v>639</v>
      </c>
      <c r="C317" t="s">
        <v>84</v>
      </c>
      <c r="D317" t="s">
        <v>156</v>
      </c>
      <c r="E317" t="s">
        <v>62</v>
      </c>
      <c r="F317" s="1">
        <v>42684</v>
      </c>
      <c r="G317">
        <v>2026</v>
      </c>
      <c r="H317" t="s">
        <v>114</v>
      </c>
      <c r="I317" t="s">
        <v>4180</v>
      </c>
      <c r="J317" t="s">
        <v>4178</v>
      </c>
      <c r="K317">
        <v>6.7</v>
      </c>
      <c r="L317">
        <v>17042250</v>
      </c>
      <c r="M317">
        <v>3585296</v>
      </c>
      <c r="N317">
        <v>40</v>
      </c>
      <c r="O317" t="s">
        <v>104</v>
      </c>
      <c r="P317" t="s">
        <v>4178</v>
      </c>
    </row>
    <row r="318" spans="1:16" x14ac:dyDescent="0.35">
      <c r="A318" t="s">
        <v>2723</v>
      </c>
      <c r="B318" t="s">
        <v>2724</v>
      </c>
      <c r="C318" t="s">
        <v>4178</v>
      </c>
      <c r="D318" t="s">
        <v>156</v>
      </c>
      <c r="E318" t="s">
        <v>69</v>
      </c>
      <c r="F318" s="1">
        <v>42686</v>
      </c>
      <c r="G318">
        <v>2001</v>
      </c>
      <c r="H318" t="s">
        <v>46</v>
      </c>
      <c r="I318" t="s">
        <v>64</v>
      </c>
      <c r="J318" t="s">
        <v>133</v>
      </c>
      <c r="K318">
        <v>8.6</v>
      </c>
      <c r="L318">
        <v>4444655</v>
      </c>
      <c r="M318">
        <v>2515572</v>
      </c>
      <c r="N318">
        <v>81</v>
      </c>
      <c r="O318" t="s">
        <v>31</v>
      </c>
      <c r="P318" t="s">
        <v>4181</v>
      </c>
    </row>
    <row r="319" spans="1:16" x14ac:dyDescent="0.35">
      <c r="A319" t="s">
        <v>580</v>
      </c>
      <c r="B319" t="s">
        <v>581</v>
      </c>
      <c r="C319" t="s">
        <v>4178</v>
      </c>
      <c r="D319" t="s">
        <v>36</v>
      </c>
      <c r="E319" t="s">
        <v>45</v>
      </c>
      <c r="F319" s="1">
        <v>42692</v>
      </c>
      <c r="G319">
        <v>2008</v>
      </c>
      <c r="H319" t="s">
        <v>46</v>
      </c>
      <c r="I319" t="s">
        <v>162</v>
      </c>
      <c r="J319" t="s">
        <v>72</v>
      </c>
      <c r="K319">
        <v>5.9</v>
      </c>
      <c r="L319">
        <v>24463512</v>
      </c>
      <c r="M319">
        <v>2757943</v>
      </c>
      <c r="N319">
        <v>71</v>
      </c>
      <c r="O319" t="s">
        <v>91</v>
      </c>
      <c r="P319" t="s">
        <v>4181</v>
      </c>
    </row>
    <row r="320" spans="1:16" x14ac:dyDescent="0.35">
      <c r="A320" t="s">
        <v>2823</v>
      </c>
      <c r="B320" t="s">
        <v>2824</v>
      </c>
      <c r="C320" t="s">
        <v>53</v>
      </c>
      <c r="D320" t="s">
        <v>36</v>
      </c>
      <c r="E320" t="s">
        <v>45</v>
      </c>
      <c r="F320" s="1">
        <v>42692</v>
      </c>
      <c r="G320">
        <v>2006</v>
      </c>
      <c r="H320" t="s">
        <v>107</v>
      </c>
      <c r="I320" t="s">
        <v>136</v>
      </c>
      <c r="J320" t="s">
        <v>133</v>
      </c>
      <c r="K320">
        <v>7.8</v>
      </c>
      <c r="L320">
        <v>18242773</v>
      </c>
      <c r="M320">
        <v>1334330</v>
      </c>
      <c r="N320">
        <v>68</v>
      </c>
      <c r="O320" t="s">
        <v>31</v>
      </c>
      <c r="P320" t="s">
        <v>4181</v>
      </c>
    </row>
    <row r="321" spans="1:16" x14ac:dyDescent="0.35">
      <c r="A321" t="s">
        <v>1106</v>
      </c>
      <c r="B321" t="s">
        <v>1107</v>
      </c>
      <c r="C321" t="s">
        <v>84</v>
      </c>
      <c r="D321" t="s">
        <v>156</v>
      </c>
      <c r="E321" t="s">
        <v>45</v>
      </c>
      <c r="F321" s="1">
        <v>42694</v>
      </c>
      <c r="G321">
        <v>2026</v>
      </c>
      <c r="H321" t="s">
        <v>4178</v>
      </c>
      <c r="I321" t="s">
        <v>4259</v>
      </c>
      <c r="J321" t="s">
        <v>96</v>
      </c>
      <c r="K321">
        <v>7.4</v>
      </c>
      <c r="L321">
        <v>11106099</v>
      </c>
      <c r="M321">
        <v>3661943</v>
      </c>
      <c r="N321">
        <v>71</v>
      </c>
      <c r="O321" t="s">
        <v>91</v>
      </c>
      <c r="P321" t="s">
        <v>32</v>
      </c>
    </row>
    <row r="322" spans="1:16" x14ac:dyDescent="0.35">
      <c r="A322" t="s">
        <v>1317</v>
      </c>
      <c r="B322" t="s">
        <v>1318</v>
      </c>
      <c r="C322" t="s">
        <v>84</v>
      </c>
      <c r="D322" t="s">
        <v>36</v>
      </c>
      <c r="E322" t="s">
        <v>62</v>
      </c>
      <c r="F322" s="1">
        <v>42694</v>
      </c>
      <c r="G322">
        <v>2013</v>
      </c>
      <c r="H322" t="s">
        <v>81</v>
      </c>
      <c r="I322" t="s">
        <v>4231</v>
      </c>
      <c r="J322" t="s">
        <v>23</v>
      </c>
      <c r="K322">
        <v>6.1</v>
      </c>
      <c r="L322">
        <v>12862522</v>
      </c>
      <c r="M322">
        <v>3861486</v>
      </c>
      <c r="N322">
        <v>92</v>
      </c>
      <c r="O322" t="s">
        <v>41</v>
      </c>
      <c r="P322" t="s">
        <v>50</v>
      </c>
    </row>
    <row r="323" spans="1:16" x14ac:dyDescent="0.35">
      <c r="A323" t="s">
        <v>1775</v>
      </c>
      <c r="B323" t="s">
        <v>1776</v>
      </c>
      <c r="C323" t="s">
        <v>84</v>
      </c>
      <c r="D323" t="s">
        <v>90</v>
      </c>
      <c r="E323" t="s">
        <v>62</v>
      </c>
      <c r="F323" s="1">
        <v>42694</v>
      </c>
      <c r="G323">
        <v>2016</v>
      </c>
      <c r="H323" t="s">
        <v>21</v>
      </c>
      <c r="I323" t="s">
        <v>4325</v>
      </c>
      <c r="J323" t="s">
        <v>72</v>
      </c>
      <c r="K323">
        <v>8.8000000000000007</v>
      </c>
      <c r="L323">
        <v>24495823</v>
      </c>
      <c r="M323">
        <v>611925</v>
      </c>
      <c r="N323">
        <v>59</v>
      </c>
      <c r="O323" t="s">
        <v>41</v>
      </c>
      <c r="P323" t="s">
        <v>32</v>
      </c>
    </row>
    <row r="324" spans="1:16" x14ac:dyDescent="0.35">
      <c r="A324" t="s">
        <v>2732</v>
      </c>
      <c r="B324" t="s">
        <v>2733</v>
      </c>
      <c r="C324" t="s">
        <v>4178</v>
      </c>
      <c r="D324" t="s">
        <v>36</v>
      </c>
      <c r="E324" t="s">
        <v>113</v>
      </c>
      <c r="F324" s="1">
        <v>42695</v>
      </c>
      <c r="G324">
        <v>2005</v>
      </c>
      <c r="H324" t="s">
        <v>46</v>
      </c>
      <c r="I324" t="s">
        <v>95</v>
      </c>
      <c r="J324" t="s">
        <v>30</v>
      </c>
      <c r="K324">
        <v>5.9</v>
      </c>
      <c r="L324">
        <v>19893553</v>
      </c>
      <c r="M324">
        <v>4404822</v>
      </c>
      <c r="N324">
        <v>63</v>
      </c>
      <c r="O324" t="s">
        <v>65</v>
      </c>
      <c r="P324" t="s">
        <v>50</v>
      </c>
    </row>
    <row r="325" spans="1:16" x14ac:dyDescent="0.35">
      <c r="A325" t="s">
        <v>3518</v>
      </c>
      <c r="B325" t="s">
        <v>3519</v>
      </c>
      <c r="C325" t="s">
        <v>84</v>
      </c>
      <c r="D325" t="s">
        <v>54</v>
      </c>
      <c r="E325" t="s">
        <v>4178</v>
      </c>
      <c r="F325" s="1">
        <v>42696</v>
      </c>
      <c r="G325">
        <v>2008</v>
      </c>
      <c r="H325" t="s">
        <v>21</v>
      </c>
      <c r="I325" t="s">
        <v>4178</v>
      </c>
      <c r="J325" t="s">
        <v>153</v>
      </c>
      <c r="K325">
        <v>7.4</v>
      </c>
      <c r="L325">
        <v>2238431</v>
      </c>
      <c r="M325">
        <v>3623350</v>
      </c>
      <c r="N325">
        <v>73</v>
      </c>
      <c r="O325" t="s">
        <v>123</v>
      </c>
      <c r="P325" t="s">
        <v>32</v>
      </c>
    </row>
    <row r="326" spans="1:16" x14ac:dyDescent="0.35">
      <c r="A326" t="s">
        <v>2693</v>
      </c>
      <c r="B326" t="s">
        <v>2694</v>
      </c>
      <c r="C326" t="s">
        <v>84</v>
      </c>
      <c r="D326" t="s">
        <v>36</v>
      </c>
      <c r="E326" t="s">
        <v>99</v>
      </c>
      <c r="F326" s="1">
        <v>42697</v>
      </c>
      <c r="G326">
        <v>2005</v>
      </c>
      <c r="H326" t="s">
        <v>63</v>
      </c>
      <c r="I326" t="s">
        <v>4199</v>
      </c>
      <c r="J326" t="s">
        <v>72</v>
      </c>
      <c r="K326">
        <v>6.5</v>
      </c>
      <c r="L326">
        <v>32329</v>
      </c>
      <c r="M326">
        <v>1671237</v>
      </c>
      <c r="N326">
        <v>68</v>
      </c>
      <c r="O326" t="s">
        <v>4178</v>
      </c>
      <c r="P326" t="s">
        <v>87</v>
      </c>
    </row>
    <row r="327" spans="1:16" x14ac:dyDescent="0.35">
      <c r="A327" t="s">
        <v>3255</v>
      </c>
      <c r="B327" t="s">
        <v>3256</v>
      </c>
      <c r="C327" t="s">
        <v>4178</v>
      </c>
      <c r="D327" t="s">
        <v>90</v>
      </c>
      <c r="E327" t="s">
        <v>28</v>
      </c>
      <c r="F327" s="1">
        <v>42697</v>
      </c>
      <c r="G327">
        <v>2025</v>
      </c>
      <c r="H327" t="s">
        <v>21</v>
      </c>
      <c r="I327" t="s">
        <v>71</v>
      </c>
      <c r="J327" t="s">
        <v>30</v>
      </c>
      <c r="K327">
        <v>8.1999999999999993</v>
      </c>
      <c r="L327">
        <v>17368086</v>
      </c>
      <c r="M327">
        <v>2958708</v>
      </c>
      <c r="N327">
        <v>94</v>
      </c>
      <c r="O327" t="s">
        <v>24</v>
      </c>
      <c r="P327" t="s">
        <v>50</v>
      </c>
    </row>
    <row r="328" spans="1:16" x14ac:dyDescent="0.35">
      <c r="A328" t="s">
        <v>2645</v>
      </c>
      <c r="B328" t="s">
        <v>2646</v>
      </c>
      <c r="C328" t="s">
        <v>53</v>
      </c>
      <c r="D328" t="s">
        <v>36</v>
      </c>
      <c r="E328" t="s">
        <v>131</v>
      </c>
      <c r="F328" s="1">
        <v>42701</v>
      </c>
      <c r="G328">
        <v>2006</v>
      </c>
      <c r="H328" t="s">
        <v>81</v>
      </c>
      <c r="I328" t="s">
        <v>162</v>
      </c>
      <c r="J328" t="s">
        <v>30</v>
      </c>
      <c r="K328">
        <v>7.2</v>
      </c>
      <c r="L328">
        <v>22856404</v>
      </c>
      <c r="M328">
        <v>3456097</v>
      </c>
      <c r="N328">
        <v>77</v>
      </c>
      <c r="O328" t="s">
        <v>58</v>
      </c>
      <c r="P328" t="s">
        <v>50</v>
      </c>
    </row>
    <row r="329" spans="1:16" x14ac:dyDescent="0.35">
      <c r="A329" t="s">
        <v>2701</v>
      </c>
      <c r="B329" t="s">
        <v>2702</v>
      </c>
      <c r="C329" t="s">
        <v>84</v>
      </c>
      <c r="D329" t="s">
        <v>68</v>
      </c>
      <c r="E329" t="s">
        <v>37</v>
      </c>
      <c r="F329" s="1">
        <v>42703</v>
      </c>
      <c r="G329">
        <v>2019</v>
      </c>
      <c r="H329" t="s">
        <v>81</v>
      </c>
      <c r="I329" t="s">
        <v>4267</v>
      </c>
      <c r="J329" t="s">
        <v>103</v>
      </c>
      <c r="K329">
        <v>9.1</v>
      </c>
      <c r="L329">
        <v>5998047</v>
      </c>
      <c r="M329">
        <v>3431396</v>
      </c>
      <c r="N329">
        <v>96</v>
      </c>
      <c r="O329" t="s">
        <v>104</v>
      </c>
      <c r="P329" t="s">
        <v>87</v>
      </c>
    </row>
    <row r="330" spans="1:16" x14ac:dyDescent="0.35">
      <c r="A330" t="s">
        <v>257</v>
      </c>
      <c r="B330" t="s">
        <v>258</v>
      </c>
      <c r="C330" t="s">
        <v>84</v>
      </c>
      <c r="D330" t="s">
        <v>54</v>
      </c>
      <c r="E330" t="s">
        <v>113</v>
      </c>
      <c r="F330" s="1">
        <v>42704</v>
      </c>
      <c r="G330">
        <v>2011</v>
      </c>
      <c r="H330" t="s">
        <v>63</v>
      </c>
      <c r="I330" t="s">
        <v>4214</v>
      </c>
      <c r="J330" t="s">
        <v>153</v>
      </c>
      <c r="K330">
        <v>8.9</v>
      </c>
      <c r="L330">
        <v>4721099</v>
      </c>
      <c r="M330">
        <v>4452396</v>
      </c>
      <c r="N330">
        <v>80</v>
      </c>
      <c r="O330" t="s">
        <v>4178</v>
      </c>
      <c r="P330" t="s">
        <v>87</v>
      </c>
    </row>
    <row r="331" spans="1:16" x14ac:dyDescent="0.35">
      <c r="A331" t="s">
        <v>1131</v>
      </c>
      <c r="B331" t="s">
        <v>4300</v>
      </c>
      <c r="C331" t="s">
        <v>84</v>
      </c>
      <c r="D331" t="s">
        <v>90</v>
      </c>
      <c r="E331" t="s">
        <v>4196</v>
      </c>
      <c r="F331" s="1">
        <v>42704</v>
      </c>
      <c r="G331">
        <v>2000</v>
      </c>
      <c r="H331" t="s">
        <v>63</v>
      </c>
      <c r="I331" t="s">
        <v>4220</v>
      </c>
      <c r="J331" t="s">
        <v>40</v>
      </c>
      <c r="K331">
        <v>7.7</v>
      </c>
      <c r="L331">
        <v>22577279</v>
      </c>
      <c r="M331">
        <v>4064248</v>
      </c>
      <c r="N331">
        <v>93</v>
      </c>
      <c r="O331" t="s">
        <v>104</v>
      </c>
      <c r="P331" t="s">
        <v>4178</v>
      </c>
    </row>
    <row r="332" spans="1:16" x14ac:dyDescent="0.35">
      <c r="A332" t="s">
        <v>4059</v>
      </c>
      <c r="B332" t="s">
        <v>4060</v>
      </c>
      <c r="C332" t="s">
        <v>4178</v>
      </c>
      <c r="D332" t="s">
        <v>36</v>
      </c>
      <c r="E332" t="s">
        <v>28</v>
      </c>
      <c r="F332" s="1">
        <v>42704</v>
      </c>
      <c r="G332">
        <v>2023</v>
      </c>
      <c r="H332" t="s">
        <v>81</v>
      </c>
      <c r="I332" t="s">
        <v>71</v>
      </c>
      <c r="J332" t="s">
        <v>153</v>
      </c>
      <c r="K332">
        <v>7.4</v>
      </c>
      <c r="L332">
        <v>561015</v>
      </c>
      <c r="M332">
        <v>1780110</v>
      </c>
      <c r="N332">
        <v>78</v>
      </c>
      <c r="O332" t="s">
        <v>104</v>
      </c>
      <c r="P332" t="s">
        <v>87</v>
      </c>
    </row>
    <row r="333" spans="1:16" x14ac:dyDescent="0.35">
      <c r="A333" t="s">
        <v>4119</v>
      </c>
      <c r="B333" t="s">
        <v>4120</v>
      </c>
      <c r="C333" t="s">
        <v>53</v>
      </c>
      <c r="D333" t="s">
        <v>156</v>
      </c>
      <c r="E333" t="s">
        <v>55</v>
      </c>
      <c r="F333" s="1">
        <v>42705</v>
      </c>
      <c r="G333">
        <v>2024</v>
      </c>
      <c r="H333" t="s">
        <v>63</v>
      </c>
      <c r="I333" t="s">
        <v>162</v>
      </c>
      <c r="J333" t="s">
        <v>96</v>
      </c>
      <c r="K333">
        <v>7.1</v>
      </c>
      <c r="L333">
        <v>24194043</v>
      </c>
      <c r="M333">
        <v>4145458</v>
      </c>
      <c r="N333">
        <v>63</v>
      </c>
      <c r="O333" t="s">
        <v>65</v>
      </c>
      <c r="P333" t="s">
        <v>50</v>
      </c>
    </row>
    <row r="334" spans="1:16" x14ac:dyDescent="0.35">
      <c r="A334" t="s">
        <v>901</v>
      </c>
      <c r="B334" t="s">
        <v>902</v>
      </c>
      <c r="C334" t="s">
        <v>84</v>
      </c>
      <c r="D334" t="s">
        <v>94</v>
      </c>
      <c r="E334" t="s">
        <v>131</v>
      </c>
      <c r="F334" s="1">
        <v>42709</v>
      </c>
      <c r="G334">
        <v>2009</v>
      </c>
      <c r="H334" t="s">
        <v>63</v>
      </c>
      <c r="I334" t="s">
        <v>4204</v>
      </c>
      <c r="J334" t="s">
        <v>40</v>
      </c>
      <c r="K334">
        <v>6.7</v>
      </c>
      <c r="L334">
        <v>185186</v>
      </c>
      <c r="M334">
        <v>1252104</v>
      </c>
      <c r="N334">
        <v>53</v>
      </c>
      <c r="O334" t="s">
        <v>41</v>
      </c>
      <c r="P334" t="s">
        <v>4181</v>
      </c>
    </row>
    <row r="335" spans="1:16" x14ac:dyDescent="0.35">
      <c r="A335" t="s">
        <v>1292</v>
      </c>
      <c r="B335" t="s">
        <v>1293</v>
      </c>
      <c r="C335" t="s">
        <v>84</v>
      </c>
      <c r="D335" t="s">
        <v>156</v>
      </c>
      <c r="E335" t="s">
        <v>20</v>
      </c>
      <c r="F335" s="1">
        <v>42709</v>
      </c>
      <c r="G335">
        <v>2023</v>
      </c>
      <c r="H335" t="s">
        <v>114</v>
      </c>
      <c r="I335" t="s">
        <v>4232</v>
      </c>
      <c r="J335" t="s">
        <v>48</v>
      </c>
      <c r="K335">
        <v>9.6999999999999993</v>
      </c>
      <c r="L335">
        <v>24119823</v>
      </c>
      <c r="M335">
        <v>2860525</v>
      </c>
      <c r="N335">
        <v>41</v>
      </c>
      <c r="O335" t="s">
        <v>58</v>
      </c>
      <c r="P335" t="s">
        <v>32</v>
      </c>
    </row>
    <row r="336" spans="1:16" x14ac:dyDescent="0.35">
      <c r="A336" t="s">
        <v>1129</v>
      </c>
      <c r="B336" t="s">
        <v>1130</v>
      </c>
      <c r="C336" t="s">
        <v>84</v>
      </c>
      <c r="D336" t="s">
        <v>19</v>
      </c>
      <c r="E336" t="s">
        <v>4196</v>
      </c>
      <c r="F336" s="1">
        <v>42711</v>
      </c>
      <c r="G336">
        <v>2020</v>
      </c>
      <c r="H336" t="s">
        <v>4178</v>
      </c>
      <c r="I336" t="s">
        <v>4259</v>
      </c>
      <c r="J336" t="s">
        <v>57</v>
      </c>
      <c r="K336">
        <v>5.9</v>
      </c>
      <c r="L336">
        <v>4412040</v>
      </c>
      <c r="M336">
        <v>1530449</v>
      </c>
      <c r="N336">
        <v>73</v>
      </c>
      <c r="O336" t="s">
        <v>91</v>
      </c>
      <c r="P336" t="s">
        <v>4181</v>
      </c>
    </row>
    <row r="337" spans="1:16" x14ac:dyDescent="0.35">
      <c r="A337" t="s">
        <v>928</v>
      </c>
      <c r="B337" t="s">
        <v>929</v>
      </c>
      <c r="C337" t="s">
        <v>53</v>
      </c>
      <c r="D337" t="s">
        <v>19</v>
      </c>
      <c r="E337" t="s">
        <v>45</v>
      </c>
      <c r="F337" s="1">
        <v>42712</v>
      </c>
      <c r="G337">
        <v>2016</v>
      </c>
      <c r="H337" t="s">
        <v>38</v>
      </c>
      <c r="I337" t="s">
        <v>71</v>
      </c>
      <c r="J337" t="s">
        <v>23</v>
      </c>
      <c r="K337">
        <v>5</v>
      </c>
      <c r="L337">
        <v>23522598</v>
      </c>
      <c r="M337">
        <v>3196827</v>
      </c>
      <c r="N337">
        <v>81</v>
      </c>
      <c r="O337" t="s">
        <v>4178</v>
      </c>
      <c r="P337" t="s">
        <v>4178</v>
      </c>
    </row>
    <row r="338" spans="1:16" x14ac:dyDescent="0.35">
      <c r="A338" t="s">
        <v>3709</v>
      </c>
      <c r="B338" t="s">
        <v>3710</v>
      </c>
      <c r="C338" t="s">
        <v>53</v>
      </c>
      <c r="D338" t="s">
        <v>94</v>
      </c>
      <c r="E338" t="s">
        <v>4178</v>
      </c>
      <c r="F338" s="1">
        <v>42714</v>
      </c>
      <c r="G338">
        <v>2007</v>
      </c>
      <c r="H338" t="s">
        <v>114</v>
      </c>
      <c r="I338" t="s">
        <v>4178</v>
      </c>
      <c r="J338" t="s">
        <v>133</v>
      </c>
      <c r="K338">
        <v>6.8</v>
      </c>
      <c r="L338">
        <v>19903448</v>
      </c>
      <c r="M338">
        <v>4723048</v>
      </c>
      <c r="N338">
        <v>40</v>
      </c>
      <c r="O338" t="s">
        <v>24</v>
      </c>
      <c r="P338" t="s">
        <v>32</v>
      </c>
    </row>
    <row r="339" spans="1:16" x14ac:dyDescent="0.35">
      <c r="A339" t="s">
        <v>836</v>
      </c>
      <c r="B339" t="s">
        <v>837</v>
      </c>
      <c r="C339" t="s">
        <v>53</v>
      </c>
      <c r="D339" t="s">
        <v>36</v>
      </c>
      <c r="E339" t="s">
        <v>28</v>
      </c>
      <c r="F339" s="1">
        <v>42715</v>
      </c>
      <c r="G339">
        <v>2024</v>
      </c>
      <c r="H339" t="s">
        <v>114</v>
      </c>
      <c r="I339" t="s">
        <v>39</v>
      </c>
      <c r="J339" t="s">
        <v>153</v>
      </c>
      <c r="K339">
        <v>5.5</v>
      </c>
      <c r="L339">
        <v>9040074</v>
      </c>
      <c r="M339">
        <v>2079259</v>
      </c>
      <c r="N339">
        <v>95</v>
      </c>
      <c r="O339" t="s">
        <v>65</v>
      </c>
      <c r="P339" t="s">
        <v>4178</v>
      </c>
    </row>
    <row r="340" spans="1:16" x14ac:dyDescent="0.35">
      <c r="A340" t="s">
        <v>2022</v>
      </c>
      <c r="B340" t="s">
        <v>2023</v>
      </c>
      <c r="C340" t="s">
        <v>84</v>
      </c>
      <c r="D340" t="s">
        <v>75</v>
      </c>
      <c r="E340" t="s">
        <v>45</v>
      </c>
      <c r="F340" s="1">
        <v>42718</v>
      </c>
      <c r="G340">
        <v>2016</v>
      </c>
      <c r="H340" t="s">
        <v>38</v>
      </c>
      <c r="I340" t="s">
        <v>4244</v>
      </c>
      <c r="J340" t="s">
        <v>72</v>
      </c>
      <c r="K340">
        <v>5.8</v>
      </c>
      <c r="L340">
        <v>14090149</v>
      </c>
      <c r="M340">
        <v>1866901</v>
      </c>
      <c r="N340">
        <v>74</v>
      </c>
      <c r="O340" t="s">
        <v>49</v>
      </c>
      <c r="P340" t="s">
        <v>4181</v>
      </c>
    </row>
    <row r="341" spans="1:16" x14ac:dyDescent="0.35">
      <c r="A341" t="s">
        <v>269</v>
      </c>
      <c r="B341" t="s">
        <v>270</v>
      </c>
      <c r="C341" t="s">
        <v>84</v>
      </c>
      <c r="D341" t="s">
        <v>36</v>
      </c>
      <c r="E341" t="s">
        <v>131</v>
      </c>
      <c r="F341" s="1">
        <v>42722</v>
      </c>
      <c r="G341">
        <v>2001</v>
      </c>
      <c r="H341" t="s">
        <v>21</v>
      </c>
      <c r="I341" t="s">
        <v>4209</v>
      </c>
      <c r="J341" t="s">
        <v>153</v>
      </c>
      <c r="K341">
        <v>4.8</v>
      </c>
      <c r="L341">
        <v>218395</v>
      </c>
      <c r="M341">
        <v>390203</v>
      </c>
      <c r="N341">
        <v>98</v>
      </c>
      <c r="O341" t="s">
        <v>49</v>
      </c>
      <c r="P341" t="s">
        <v>4178</v>
      </c>
    </row>
    <row r="342" spans="1:16" x14ac:dyDescent="0.35">
      <c r="A342" t="s">
        <v>1094</v>
      </c>
      <c r="B342" t="s">
        <v>1095</v>
      </c>
      <c r="C342" t="s">
        <v>53</v>
      </c>
      <c r="D342" t="s">
        <v>90</v>
      </c>
      <c r="E342" t="s">
        <v>80</v>
      </c>
      <c r="F342" s="1">
        <v>42723</v>
      </c>
      <c r="G342">
        <v>2001</v>
      </c>
      <c r="H342" t="s">
        <v>4178</v>
      </c>
      <c r="I342" t="s">
        <v>136</v>
      </c>
      <c r="J342" t="s">
        <v>40</v>
      </c>
      <c r="K342">
        <v>8</v>
      </c>
      <c r="L342">
        <v>13354192</v>
      </c>
      <c r="M342">
        <v>2525944</v>
      </c>
      <c r="N342">
        <v>76</v>
      </c>
      <c r="O342" t="s">
        <v>65</v>
      </c>
      <c r="P342" t="s">
        <v>50</v>
      </c>
    </row>
    <row r="343" spans="1:16" x14ac:dyDescent="0.35">
      <c r="A343" t="s">
        <v>1546</v>
      </c>
      <c r="B343" t="s">
        <v>1545</v>
      </c>
      <c r="C343" t="s">
        <v>53</v>
      </c>
      <c r="D343" t="s">
        <v>4178</v>
      </c>
      <c r="E343" t="s">
        <v>69</v>
      </c>
      <c r="F343" s="1">
        <v>42723</v>
      </c>
      <c r="G343">
        <v>2005</v>
      </c>
      <c r="H343" t="s">
        <v>114</v>
      </c>
      <c r="I343" t="s">
        <v>71</v>
      </c>
      <c r="J343" t="s">
        <v>30</v>
      </c>
      <c r="K343">
        <v>7.2</v>
      </c>
      <c r="L343">
        <v>18872001</v>
      </c>
      <c r="M343">
        <v>2676716</v>
      </c>
      <c r="N343">
        <v>42</v>
      </c>
      <c r="O343" t="s">
        <v>41</v>
      </c>
      <c r="P343" t="s">
        <v>4178</v>
      </c>
    </row>
    <row r="344" spans="1:16" x14ac:dyDescent="0.35">
      <c r="A344" t="s">
        <v>2499</v>
      </c>
      <c r="B344" t="s">
        <v>2500</v>
      </c>
      <c r="C344" t="s">
        <v>53</v>
      </c>
      <c r="D344" t="s">
        <v>94</v>
      </c>
      <c r="E344" t="s">
        <v>62</v>
      </c>
      <c r="F344" s="1">
        <v>42731</v>
      </c>
      <c r="G344">
        <v>2001</v>
      </c>
      <c r="H344" t="s">
        <v>121</v>
      </c>
      <c r="I344" t="s">
        <v>4178</v>
      </c>
      <c r="J344" t="s">
        <v>103</v>
      </c>
      <c r="K344">
        <v>7.8</v>
      </c>
      <c r="L344">
        <v>381746</v>
      </c>
      <c r="M344">
        <v>1664263</v>
      </c>
      <c r="N344">
        <v>99</v>
      </c>
      <c r="O344" t="s">
        <v>49</v>
      </c>
      <c r="P344" t="s">
        <v>4181</v>
      </c>
    </row>
    <row r="345" spans="1:16" x14ac:dyDescent="0.35">
      <c r="A345" t="s">
        <v>3273</v>
      </c>
      <c r="B345" t="s">
        <v>3274</v>
      </c>
      <c r="C345" t="s">
        <v>4178</v>
      </c>
      <c r="D345" t="s">
        <v>36</v>
      </c>
      <c r="E345" t="s">
        <v>4178</v>
      </c>
      <c r="F345" s="1">
        <v>42731</v>
      </c>
      <c r="G345">
        <v>2014</v>
      </c>
      <c r="H345" t="s">
        <v>114</v>
      </c>
      <c r="I345" t="s">
        <v>162</v>
      </c>
      <c r="J345" t="s">
        <v>30</v>
      </c>
      <c r="K345">
        <v>9.1999999999999993</v>
      </c>
      <c r="L345">
        <v>12125706</v>
      </c>
      <c r="M345">
        <v>4363530</v>
      </c>
      <c r="N345">
        <v>62</v>
      </c>
      <c r="O345" t="s">
        <v>4178</v>
      </c>
      <c r="P345" t="s">
        <v>4181</v>
      </c>
    </row>
    <row r="346" spans="1:16" x14ac:dyDescent="0.35">
      <c r="A346" t="s">
        <v>3894</v>
      </c>
      <c r="B346" t="s">
        <v>3895</v>
      </c>
      <c r="C346" t="s">
        <v>84</v>
      </c>
      <c r="D346" t="s">
        <v>68</v>
      </c>
      <c r="E346" t="s">
        <v>45</v>
      </c>
      <c r="F346" s="1">
        <v>42734</v>
      </c>
      <c r="G346">
        <v>2019</v>
      </c>
      <c r="H346" t="s">
        <v>38</v>
      </c>
      <c r="I346" t="s">
        <v>4235</v>
      </c>
      <c r="J346" t="s">
        <v>30</v>
      </c>
      <c r="K346">
        <v>6</v>
      </c>
      <c r="L346">
        <v>6758643</v>
      </c>
      <c r="M346">
        <v>1919309</v>
      </c>
      <c r="N346">
        <v>67</v>
      </c>
      <c r="O346" t="s">
        <v>41</v>
      </c>
      <c r="P346" t="s">
        <v>87</v>
      </c>
    </row>
    <row r="347" spans="1:16" x14ac:dyDescent="0.35">
      <c r="A347" t="s">
        <v>930</v>
      </c>
      <c r="B347" t="s">
        <v>931</v>
      </c>
      <c r="C347" t="s">
        <v>84</v>
      </c>
      <c r="D347" t="s">
        <v>27</v>
      </c>
      <c r="E347" t="s">
        <v>55</v>
      </c>
      <c r="F347" s="1">
        <v>42735</v>
      </c>
      <c r="G347">
        <v>2005</v>
      </c>
      <c r="H347" t="s">
        <v>81</v>
      </c>
      <c r="I347" t="s">
        <v>4215</v>
      </c>
      <c r="J347" t="s">
        <v>72</v>
      </c>
      <c r="K347">
        <v>9.6999999999999993</v>
      </c>
      <c r="L347">
        <v>13837107</v>
      </c>
      <c r="M347">
        <v>2865011</v>
      </c>
      <c r="N347">
        <v>51</v>
      </c>
      <c r="O347" t="s">
        <v>4178</v>
      </c>
      <c r="P347" t="s">
        <v>50</v>
      </c>
    </row>
    <row r="348" spans="1:16" x14ac:dyDescent="0.35">
      <c r="A348" t="s">
        <v>545</v>
      </c>
      <c r="B348" t="s">
        <v>546</v>
      </c>
      <c r="C348" t="s">
        <v>53</v>
      </c>
      <c r="D348" t="s">
        <v>156</v>
      </c>
      <c r="E348" t="s">
        <v>80</v>
      </c>
      <c r="F348" s="1">
        <v>42739</v>
      </c>
      <c r="G348">
        <v>2006</v>
      </c>
      <c r="H348" t="s">
        <v>121</v>
      </c>
      <c r="I348" t="s">
        <v>136</v>
      </c>
      <c r="J348" t="s">
        <v>72</v>
      </c>
      <c r="K348">
        <v>6.8</v>
      </c>
      <c r="L348">
        <v>5924926</v>
      </c>
      <c r="M348">
        <v>3675143</v>
      </c>
      <c r="N348">
        <v>50</v>
      </c>
      <c r="O348" t="s">
        <v>123</v>
      </c>
      <c r="P348" t="s">
        <v>32</v>
      </c>
    </row>
    <row r="349" spans="1:16" x14ac:dyDescent="0.35">
      <c r="A349" t="s">
        <v>310</v>
      </c>
      <c r="B349" t="s">
        <v>311</v>
      </c>
      <c r="C349" t="s">
        <v>84</v>
      </c>
      <c r="D349" t="s">
        <v>4178</v>
      </c>
      <c r="E349" t="s">
        <v>4178</v>
      </c>
      <c r="F349" s="1">
        <v>42744</v>
      </c>
      <c r="G349">
        <v>2032</v>
      </c>
      <c r="H349" t="s">
        <v>107</v>
      </c>
      <c r="I349" t="s">
        <v>4223</v>
      </c>
      <c r="J349" t="s">
        <v>72</v>
      </c>
      <c r="K349">
        <v>5.5</v>
      </c>
      <c r="L349">
        <v>12327862</v>
      </c>
      <c r="M349">
        <v>308617</v>
      </c>
      <c r="N349">
        <v>63</v>
      </c>
      <c r="O349" t="s">
        <v>4178</v>
      </c>
      <c r="P349" t="s">
        <v>4178</v>
      </c>
    </row>
    <row r="350" spans="1:16" x14ac:dyDescent="0.35">
      <c r="A350" t="s">
        <v>1950</v>
      </c>
      <c r="B350" t="s">
        <v>1951</v>
      </c>
      <c r="C350" t="s">
        <v>84</v>
      </c>
      <c r="D350" t="s">
        <v>75</v>
      </c>
      <c r="E350" t="s">
        <v>113</v>
      </c>
      <c r="F350" s="1">
        <v>42744</v>
      </c>
      <c r="G350">
        <v>2003</v>
      </c>
      <c r="H350" t="s">
        <v>81</v>
      </c>
      <c r="I350" t="s">
        <v>4230</v>
      </c>
      <c r="J350" t="s">
        <v>23</v>
      </c>
      <c r="K350">
        <v>7.5</v>
      </c>
      <c r="L350">
        <v>9033594</v>
      </c>
      <c r="M350">
        <v>1046306</v>
      </c>
      <c r="N350">
        <v>67</v>
      </c>
      <c r="O350" t="s">
        <v>123</v>
      </c>
      <c r="P350" t="s">
        <v>4181</v>
      </c>
    </row>
    <row r="351" spans="1:16" x14ac:dyDescent="0.35">
      <c r="A351" t="s">
        <v>1068</v>
      </c>
      <c r="B351" t="s">
        <v>1069</v>
      </c>
      <c r="C351" t="s">
        <v>53</v>
      </c>
      <c r="D351" t="s">
        <v>36</v>
      </c>
      <c r="E351" t="s">
        <v>113</v>
      </c>
      <c r="F351" s="1">
        <v>42745</v>
      </c>
      <c r="G351">
        <v>2006</v>
      </c>
      <c r="H351" t="s">
        <v>107</v>
      </c>
      <c r="I351" t="s">
        <v>71</v>
      </c>
      <c r="J351" t="s">
        <v>40</v>
      </c>
      <c r="K351">
        <v>5.8</v>
      </c>
      <c r="L351">
        <v>21805759</v>
      </c>
      <c r="M351">
        <v>1243964</v>
      </c>
      <c r="N351">
        <v>71</v>
      </c>
      <c r="O351" t="s">
        <v>91</v>
      </c>
      <c r="P351" t="s">
        <v>50</v>
      </c>
    </row>
    <row r="352" spans="1:16" x14ac:dyDescent="0.35">
      <c r="A352" t="s">
        <v>3263</v>
      </c>
      <c r="B352" t="s">
        <v>3264</v>
      </c>
      <c r="C352" t="s">
        <v>53</v>
      </c>
      <c r="D352" t="s">
        <v>61</v>
      </c>
      <c r="E352" t="s">
        <v>28</v>
      </c>
      <c r="F352" s="1">
        <v>42753</v>
      </c>
      <c r="G352">
        <v>2009</v>
      </c>
      <c r="H352" t="s">
        <v>38</v>
      </c>
      <c r="I352" t="s">
        <v>71</v>
      </c>
      <c r="J352" t="s">
        <v>96</v>
      </c>
      <c r="K352">
        <v>11.2</v>
      </c>
      <c r="L352">
        <v>3278876</v>
      </c>
      <c r="M352">
        <v>4709380</v>
      </c>
      <c r="N352">
        <v>93</v>
      </c>
      <c r="O352" t="s">
        <v>31</v>
      </c>
      <c r="P352" t="s">
        <v>4181</v>
      </c>
    </row>
    <row r="353" spans="1:16" x14ac:dyDescent="0.35">
      <c r="A353" t="s">
        <v>956</v>
      </c>
      <c r="B353" t="s">
        <v>957</v>
      </c>
      <c r="C353" t="s">
        <v>84</v>
      </c>
      <c r="D353" t="s">
        <v>4178</v>
      </c>
      <c r="E353" t="s">
        <v>99</v>
      </c>
      <c r="F353" s="1">
        <v>42755</v>
      </c>
      <c r="G353">
        <v>2015</v>
      </c>
      <c r="H353" t="s">
        <v>85</v>
      </c>
      <c r="I353" t="s">
        <v>4285</v>
      </c>
      <c r="J353" t="s">
        <v>133</v>
      </c>
      <c r="K353">
        <v>8.6</v>
      </c>
      <c r="L353">
        <v>12529831</v>
      </c>
      <c r="M353">
        <v>2609883</v>
      </c>
      <c r="N353">
        <v>72</v>
      </c>
      <c r="O353" t="s">
        <v>123</v>
      </c>
      <c r="P353" t="s">
        <v>87</v>
      </c>
    </row>
    <row r="354" spans="1:16" x14ac:dyDescent="0.35">
      <c r="A354" t="s">
        <v>1496</v>
      </c>
      <c r="B354" t="s">
        <v>1497</v>
      </c>
      <c r="C354" t="s">
        <v>53</v>
      </c>
      <c r="D354" t="s">
        <v>61</v>
      </c>
      <c r="E354" t="s">
        <v>131</v>
      </c>
      <c r="F354" s="1">
        <v>42756</v>
      </c>
      <c r="G354">
        <v>2022</v>
      </c>
      <c r="H354" t="s">
        <v>38</v>
      </c>
      <c r="I354" t="s">
        <v>56</v>
      </c>
      <c r="J354" t="s">
        <v>133</v>
      </c>
      <c r="K354">
        <v>5.9</v>
      </c>
      <c r="L354">
        <v>8631627</v>
      </c>
      <c r="M354">
        <v>1716592</v>
      </c>
      <c r="N354">
        <v>82</v>
      </c>
      <c r="O354" t="s">
        <v>49</v>
      </c>
      <c r="P354" t="s">
        <v>32</v>
      </c>
    </row>
    <row r="355" spans="1:16" x14ac:dyDescent="0.35">
      <c r="A355" t="s">
        <v>2168</v>
      </c>
      <c r="B355" t="s">
        <v>2169</v>
      </c>
      <c r="C355" t="s">
        <v>53</v>
      </c>
      <c r="D355" t="s">
        <v>75</v>
      </c>
      <c r="E355" t="s">
        <v>69</v>
      </c>
      <c r="F355" s="1">
        <v>42759</v>
      </c>
      <c r="G355">
        <v>2012</v>
      </c>
      <c r="H355" t="s">
        <v>121</v>
      </c>
      <c r="I355" t="s">
        <v>64</v>
      </c>
      <c r="J355" t="s">
        <v>57</v>
      </c>
      <c r="K355">
        <v>5.3</v>
      </c>
      <c r="L355">
        <v>9738312</v>
      </c>
      <c r="M355">
        <v>2890693</v>
      </c>
      <c r="N355">
        <v>48</v>
      </c>
      <c r="O355" t="s">
        <v>41</v>
      </c>
      <c r="P355" t="s">
        <v>32</v>
      </c>
    </row>
    <row r="356" spans="1:16" x14ac:dyDescent="0.35">
      <c r="A356" t="s">
        <v>2435</v>
      </c>
      <c r="B356" t="s">
        <v>4355</v>
      </c>
      <c r="C356" t="s">
        <v>53</v>
      </c>
      <c r="D356" t="s">
        <v>54</v>
      </c>
      <c r="E356" t="s">
        <v>37</v>
      </c>
      <c r="F356" s="1">
        <v>42764</v>
      </c>
      <c r="G356">
        <v>2021</v>
      </c>
      <c r="H356" t="s">
        <v>4178</v>
      </c>
      <c r="I356" t="s">
        <v>56</v>
      </c>
      <c r="J356" t="s">
        <v>4178</v>
      </c>
      <c r="K356">
        <v>7.8</v>
      </c>
      <c r="L356">
        <v>3679955</v>
      </c>
      <c r="M356">
        <v>2527150</v>
      </c>
      <c r="N356">
        <v>74</v>
      </c>
      <c r="O356" t="s">
        <v>31</v>
      </c>
      <c r="P356" t="s">
        <v>50</v>
      </c>
    </row>
    <row r="357" spans="1:16" x14ac:dyDescent="0.35">
      <c r="A357" t="s">
        <v>2687</v>
      </c>
      <c r="B357" t="s">
        <v>2688</v>
      </c>
      <c r="C357" t="s">
        <v>84</v>
      </c>
      <c r="D357" t="s">
        <v>75</v>
      </c>
      <c r="E357" t="s">
        <v>37</v>
      </c>
      <c r="F357" s="1">
        <v>42765</v>
      </c>
      <c r="G357">
        <v>2017</v>
      </c>
      <c r="H357" t="s">
        <v>121</v>
      </c>
      <c r="I357" t="s">
        <v>4208</v>
      </c>
      <c r="J357" t="s">
        <v>48</v>
      </c>
      <c r="K357">
        <v>9.4</v>
      </c>
      <c r="L357">
        <v>16356949</v>
      </c>
      <c r="M357">
        <v>3124954</v>
      </c>
      <c r="N357">
        <v>59</v>
      </c>
      <c r="O357" t="s">
        <v>104</v>
      </c>
      <c r="P357" t="s">
        <v>4178</v>
      </c>
    </row>
    <row r="358" spans="1:16" x14ac:dyDescent="0.35">
      <c r="A358" t="s">
        <v>2760</v>
      </c>
      <c r="B358" t="s">
        <v>2761</v>
      </c>
      <c r="C358" t="s">
        <v>4178</v>
      </c>
      <c r="D358" t="s">
        <v>156</v>
      </c>
      <c r="E358" t="s">
        <v>80</v>
      </c>
      <c r="F358" s="1">
        <v>42765</v>
      </c>
      <c r="G358">
        <v>2011</v>
      </c>
      <c r="H358" t="s">
        <v>85</v>
      </c>
      <c r="I358" t="s">
        <v>162</v>
      </c>
      <c r="J358" t="s">
        <v>30</v>
      </c>
      <c r="K358">
        <v>6.8</v>
      </c>
      <c r="L358">
        <v>9307550</v>
      </c>
      <c r="M358">
        <v>4954016</v>
      </c>
      <c r="N358">
        <v>58</v>
      </c>
      <c r="O358" t="s">
        <v>104</v>
      </c>
      <c r="P358" t="s">
        <v>50</v>
      </c>
    </row>
    <row r="359" spans="1:16" x14ac:dyDescent="0.35">
      <c r="A359" t="s">
        <v>1061</v>
      </c>
      <c r="B359" t="s">
        <v>1062</v>
      </c>
      <c r="C359" t="s">
        <v>84</v>
      </c>
      <c r="D359" t="s">
        <v>4178</v>
      </c>
      <c r="E359" t="s">
        <v>99</v>
      </c>
      <c r="F359" s="1">
        <v>42766</v>
      </c>
      <c r="G359">
        <v>2014</v>
      </c>
      <c r="H359" t="s">
        <v>114</v>
      </c>
      <c r="I359" t="s">
        <v>4222</v>
      </c>
      <c r="J359" t="s">
        <v>72</v>
      </c>
      <c r="K359">
        <v>5.9</v>
      </c>
      <c r="L359">
        <v>17643502</v>
      </c>
      <c r="M359">
        <v>3979500</v>
      </c>
      <c r="N359">
        <v>120</v>
      </c>
      <c r="O359" t="s">
        <v>24</v>
      </c>
      <c r="P359" t="s">
        <v>32</v>
      </c>
    </row>
    <row r="360" spans="1:16" x14ac:dyDescent="0.35">
      <c r="A360" t="s">
        <v>1735</v>
      </c>
      <c r="B360" t="s">
        <v>1736</v>
      </c>
      <c r="C360" t="s">
        <v>84</v>
      </c>
      <c r="D360" t="s">
        <v>36</v>
      </c>
      <c r="E360" t="s">
        <v>28</v>
      </c>
      <c r="F360" s="1">
        <v>42772</v>
      </c>
      <c r="G360">
        <v>2021</v>
      </c>
      <c r="H360" t="s">
        <v>21</v>
      </c>
      <c r="I360" t="s">
        <v>4258</v>
      </c>
      <c r="J360" t="s">
        <v>4178</v>
      </c>
      <c r="K360">
        <v>7.9</v>
      </c>
      <c r="L360">
        <v>7635064</v>
      </c>
      <c r="M360">
        <v>4957603</v>
      </c>
      <c r="N360">
        <v>65</v>
      </c>
      <c r="O360" t="s">
        <v>123</v>
      </c>
      <c r="P360" t="s">
        <v>4178</v>
      </c>
    </row>
    <row r="361" spans="1:16" x14ac:dyDescent="0.35">
      <c r="A361" t="s">
        <v>3584</v>
      </c>
      <c r="B361" t="s">
        <v>3585</v>
      </c>
      <c r="C361" t="s">
        <v>84</v>
      </c>
      <c r="D361" t="s">
        <v>68</v>
      </c>
      <c r="E361" t="s">
        <v>55</v>
      </c>
      <c r="F361" s="1">
        <v>42772</v>
      </c>
      <c r="G361">
        <v>2025</v>
      </c>
      <c r="H361" t="s">
        <v>107</v>
      </c>
      <c r="I361" t="s">
        <v>4223</v>
      </c>
      <c r="J361" t="s">
        <v>96</v>
      </c>
      <c r="K361">
        <v>5.5</v>
      </c>
      <c r="L361">
        <v>14150254</v>
      </c>
      <c r="M361">
        <v>2342846</v>
      </c>
      <c r="N361">
        <v>71</v>
      </c>
      <c r="O361" t="s">
        <v>24</v>
      </c>
      <c r="P361" t="s">
        <v>4181</v>
      </c>
    </row>
    <row r="362" spans="1:16" x14ac:dyDescent="0.35">
      <c r="A362" t="s">
        <v>592</v>
      </c>
      <c r="B362" t="s">
        <v>593</v>
      </c>
      <c r="C362" t="s">
        <v>84</v>
      </c>
      <c r="D362" t="s">
        <v>156</v>
      </c>
      <c r="E362" t="s">
        <v>69</v>
      </c>
      <c r="F362" s="1">
        <v>42775</v>
      </c>
      <c r="G362">
        <v>2023</v>
      </c>
      <c r="H362" t="s">
        <v>114</v>
      </c>
      <c r="I362" t="s">
        <v>4256</v>
      </c>
      <c r="J362" t="s">
        <v>4178</v>
      </c>
      <c r="K362">
        <v>7.3</v>
      </c>
      <c r="L362">
        <v>10613443</v>
      </c>
      <c r="M362">
        <v>1376585</v>
      </c>
      <c r="N362">
        <v>78</v>
      </c>
      <c r="O362" t="s">
        <v>58</v>
      </c>
      <c r="P362" t="s">
        <v>4181</v>
      </c>
    </row>
    <row r="363" spans="1:16" x14ac:dyDescent="0.35">
      <c r="A363" t="s">
        <v>842</v>
      </c>
      <c r="B363" t="s">
        <v>843</v>
      </c>
      <c r="C363" t="s">
        <v>84</v>
      </c>
      <c r="D363" t="s">
        <v>94</v>
      </c>
      <c r="E363" t="s">
        <v>62</v>
      </c>
      <c r="F363" s="1">
        <v>42780</v>
      </c>
      <c r="G363">
        <v>2017</v>
      </c>
      <c r="H363" t="s">
        <v>38</v>
      </c>
      <c r="I363" t="s">
        <v>4198</v>
      </c>
      <c r="J363" t="s">
        <v>30</v>
      </c>
      <c r="K363">
        <v>7.5</v>
      </c>
      <c r="L363">
        <v>5108634</v>
      </c>
      <c r="M363">
        <v>2755112</v>
      </c>
      <c r="N363">
        <v>66</v>
      </c>
      <c r="O363" t="s">
        <v>24</v>
      </c>
      <c r="P363" t="s">
        <v>4178</v>
      </c>
    </row>
    <row r="364" spans="1:16" x14ac:dyDescent="0.35">
      <c r="A364" t="s">
        <v>2615</v>
      </c>
      <c r="B364" t="s">
        <v>2616</v>
      </c>
      <c r="C364" t="s">
        <v>53</v>
      </c>
      <c r="D364" t="s">
        <v>61</v>
      </c>
      <c r="E364" t="s">
        <v>45</v>
      </c>
      <c r="F364" s="1">
        <v>42780</v>
      </c>
      <c r="G364">
        <v>2014</v>
      </c>
      <c r="H364" t="s">
        <v>85</v>
      </c>
      <c r="I364" t="s">
        <v>64</v>
      </c>
      <c r="J364" t="s">
        <v>133</v>
      </c>
      <c r="K364">
        <v>7.5</v>
      </c>
      <c r="L364">
        <v>17734392</v>
      </c>
      <c r="M364">
        <v>4450253</v>
      </c>
      <c r="N364">
        <v>43</v>
      </c>
      <c r="O364" t="s">
        <v>24</v>
      </c>
      <c r="P364" t="s">
        <v>32</v>
      </c>
    </row>
    <row r="365" spans="1:16" x14ac:dyDescent="0.35">
      <c r="A365" t="s">
        <v>1577</v>
      </c>
      <c r="B365" t="s">
        <v>1578</v>
      </c>
      <c r="C365" t="s">
        <v>84</v>
      </c>
      <c r="D365" t="s">
        <v>36</v>
      </c>
      <c r="E365" t="s">
        <v>113</v>
      </c>
      <c r="F365" s="1">
        <v>42784</v>
      </c>
      <c r="G365">
        <v>2022</v>
      </c>
      <c r="H365" t="s">
        <v>114</v>
      </c>
      <c r="I365" t="s">
        <v>4231</v>
      </c>
      <c r="J365" t="s">
        <v>48</v>
      </c>
      <c r="K365">
        <v>5.0999999999999996</v>
      </c>
      <c r="L365">
        <v>18521903</v>
      </c>
      <c r="M365">
        <v>1174543</v>
      </c>
      <c r="N365">
        <v>90</v>
      </c>
      <c r="O365" t="s">
        <v>41</v>
      </c>
      <c r="P365" t="s">
        <v>87</v>
      </c>
    </row>
    <row r="366" spans="1:16" x14ac:dyDescent="0.35">
      <c r="A366" t="s">
        <v>3797</v>
      </c>
      <c r="B366" t="s">
        <v>3796</v>
      </c>
      <c r="C366" t="s">
        <v>84</v>
      </c>
      <c r="D366" t="s">
        <v>75</v>
      </c>
      <c r="E366" t="s">
        <v>99</v>
      </c>
      <c r="F366" s="1">
        <v>42785</v>
      </c>
      <c r="G366">
        <v>2004</v>
      </c>
      <c r="H366" t="s">
        <v>4178</v>
      </c>
      <c r="I366" t="s">
        <v>4258</v>
      </c>
      <c r="J366" t="s">
        <v>153</v>
      </c>
      <c r="K366">
        <v>7.7</v>
      </c>
      <c r="L366">
        <v>3348010</v>
      </c>
      <c r="M366">
        <v>2319454</v>
      </c>
      <c r="N366">
        <v>87</v>
      </c>
      <c r="O366" t="s">
        <v>4178</v>
      </c>
      <c r="P366" t="s">
        <v>50</v>
      </c>
    </row>
    <row r="367" spans="1:16" x14ac:dyDescent="0.35">
      <c r="A367" t="s">
        <v>3365</v>
      </c>
      <c r="B367" t="s">
        <v>3366</v>
      </c>
      <c r="C367" t="s">
        <v>84</v>
      </c>
      <c r="D367" t="s">
        <v>19</v>
      </c>
      <c r="E367" t="s">
        <v>55</v>
      </c>
      <c r="F367" s="1">
        <v>42787</v>
      </c>
      <c r="G367">
        <v>2003</v>
      </c>
      <c r="H367" t="s">
        <v>81</v>
      </c>
      <c r="I367" t="s">
        <v>4292</v>
      </c>
      <c r="J367" t="s">
        <v>153</v>
      </c>
      <c r="K367">
        <v>6.6</v>
      </c>
      <c r="L367">
        <v>5268856</v>
      </c>
      <c r="M367">
        <v>1564631</v>
      </c>
      <c r="N367">
        <v>45</v>
      </c>
      <c r="O367" t="s">
        <v>65</v>
      </c>
      <c r="P367" t="s">
        <v>87</v>
      </c>
    </row>
    <row r="368" spans="1:16" x14ac:dyDescent="0.35">
      <c r="A368" t="s">
        <v>711</v>
      </c>
      <c r="B368" t="s">
        <v>712</v>
      </c>
      <c r="C368" t="s">
        <v>53</v>
      </c>
      <c r="D368" t="s">
        <v>4178</v>
      </c>
      <c r="E368" t="s">
        <v>4178</v>
      </c>
      <c r="F368" s="1">
        <v>42788</v>
      </c>
      <c r="G368">
        <v>2021</v>
      </c>
      <c r="H368" t="s">
        <v>21</v>
      </c>
      <c r="I368" t="s">
        <v>95</v>
      </c>
      <c r="J368" t="s">
        <v>153</v>
      </c>
      <c r="K368">
        <v>8.3000000000000007</v>
      </c>
      <c r="L368">
        <v>3389706</v>
      </c>
      <c r="M368">
        <v>1310733</v>
      </c>
      <c r="N368">
        <v>72</v>
      </c>
      <c r="O368" t="s">
        <v>91</v>
      </c>
      <c r="P368" t="s">
        <v>50</v>
      </c>
    </row>
    <row r="369" spans="1:16" x14ac:dyDescent="0.35">
      <c r="A369" t="s">
        <v>2511</v>
      </c>
      <c r="B369" t="s">
        <v>2512</v>
      </c>
      <c r="C369" t="s">
        <v>53</v>
      </c>
      <c r="D369" t="s">
        <v>19</v>
      </c>
      <c r="E369" t="s">
        <v>4196</v>
      </c>
      <c r="F369" s="1">
        <v>42789</v>
      </c>
      <c r="G369">
        <v>2007</v>
      </c>
      <c r="H369" t="s">
        <v>81</v>
      </c>
      <c r="I369" t="s">
        <v>71</v>
      </c>
      <c r="J369" t="s">
        <v>133</v>
      </c>
      <c r="K369">
        <v>4.5999999999999996</v>
      </c>
      <c r="L369">
        <v>1324698</v>
      </c>
      <c r="M369">
        <v>2428988</v>
      </c>
      <c r="N369">
        <v>81</v>
      </c>
      <c r="O369" t="s">
        <v>31</v>
      </c>
      <c r="P369" t="s">
        <v>32</v>
      </c>
    </row>
    <row r="370" spans="1:16" x14ac:dyDescent="0.35">
      <c r="A370" t="s">
        <v>2328</v>
      </c>
      <c r="B370" t="s">
        <v>2329</v>
      </c>
      <c r="C370" t="s">
        <v>53</v>
      </c>
      <c r="D370" t="s">
        <v>4178</v>
      </c>
      <c r="E370" t="s">
        <v>69</v>
      </c>
      <c r="F370" s="1">
        <v>42792</v>
      </c>
      <c r="G370">
        <v>2010</v>
      </c>
      <c r="H370" t="s">
        <v>63</v>
      </c>
      <c r="I370" t="s">
        <v>39</v>
      </c>
      <c r="J370" t="s">
        <v>4178</v>
      </c>
      <c r="K370">
        <v>6.7</v>
      </c>
      <c r="L370">
        <v>21613941</v>
      </c>
      <c r="M370">
        <v>3750796</v>
      </c>
      <c r="N370">
        <v>92</v>
      </c>
      <c r="O370" t="s">
        <v>4178</v>
      </c>
      <c r="P370" t="s">
        <v>32</v>
      </c>
    </row>
    <row r="371" spans="1:16" x14ac:dyDescent="0.35">
      <c r="A371" t="s">
        <v>2589</v>
      </c>
      <c r="B371" t="s">
        <v>2590</v>
      </c>
      <c r="C371" t="s">
        <v>84</v>
      </c>
      <c r="D371" t="s">
        <v>61</v>
      </c>
      <c r="E371" t="s">
        <v>69</v>
      </c>
      <c r="F371" s="1">
        <v>42796</v>
      </c>
      <c r="G371">
        <v>2025</v>
      </c>
      <c r="H371" t="s">
        <v>21</v>
      </c>
      <c r="I371" t="s">
        <v>4250</v>
      </c>
      <c r="J371" t="s">
        <v>133</v>
      </c>
      <c r="K371">
        <v>7.1</v>
      </c>
      <c r="L371">
        <v>10200597</v>
      </c>
      <c r="M371">
        <v>348168</v>
      </c>
      <c r="N371">
        <v>62</v>
      </c>
      <c r="O371" t="s">
        <v>123</v>
      </c>
      <c r="P371" t="s">
        <v>4178</v>
      </c>
    </row>
    <row r="372" spans="1:16" x14ac:dyDescent="0.35">
      <c r="A372" t="s">
        <v>2066</v>
      </c>
      <c r="B372" t="s">
        <v>2067</v>
      </c>
      <c r="C372" t="s">
        <v>4178</v>
      </c>
      <c r="D372" t="s">
        <v>156</v>
      </c>
      <c r="E372" t="s">
        <v>99</v>
      </c>
      <c r="F372" s="1">
        <v>42798</v>
      </c>
      <c r="G372">
        <v>2022</v>
      </c>
      <c r="H372" t="s">
        <v>85</v>
      </c>
      <c r="I372" t="s">
        <v>64</v>
      </c>
      <c r="J372" t="s">
        <v>72</v>
      </c>
      <c r="K372">
        <v>7.3</v>
      </c>
      <c r="L372">
        <v>24212071</v>
      </c>
      <c r="M372">
        <v>4927079</v>
      </c>
      <c r="N372">
        <v>70</v>
      </c>
      <c r="O372" t="s">
        <v>91</v>
      </c>
      <c r="P372" t="s">
        <v>4181</v>
      </c>
    </row>
    <row r="373" spans="1:16" x14ac:dyDescent="0.35">
      <c r="A373" t="s">
        <v>3795</v>
      </c>
      <c r="B373" t="s">
        <v>3796</v>
      </c>
      <c r="C373" t="s">
        <v>53</v>
      </c>
      <c r="D373" t="s">
        <v>90</v>
      </c>
      <c r="E373" t="s">
        <v>113</v>
      </c>
      <c r="F373" s="1">
        <v>42798</v>
      </c>
      <c r="G373">
        <v>2012</v>
      </c>
      <c r="H373" t="s">
        <v>81</v>
      </c>
      <c r="I373" t="s">
        <v>118</v>
      </c>
      <c r="J373" t="s">
        <v>48</v>
      </c>
      <c r="K373">
        <v>9.1999999999999993</v>
      </c>
      <c r="L373">
        <v>12647552</v>
      </c>
      <c r="M373">
        <v>64215</v>
      </c>
      <c r="N373">
        <v>89</v>
      </c>
      <c r="O373" t="s">
        <v>91</v>
      </c>
      <c r="P373" t="s">
        <v>32</v>
      </c>
    </row>
    <row r="374" spans="1:16" x14ac:dyDescent="0.35">
      <c r="A374" t="s">
        <v>3164</v>
      </c>
      <c r="B374" t="s">
        <v>4372</v>
      </c>
      <c r="C374" t="s">
        <v>84</v>
      </c>
      <c r="D374" t="s">
        <v>90</v>
      </c>
      <c r="E374" t="s">
        <v>28</v>
      </c>
      <c r="F374" s="1">
        <v>42802</v>
      </c>
      <c r="G374">
        <v>2003</v>
      </c>
      <c r="H374" t="s">
        <v>4178</v>
      </c>
      <c r="I374" t="s">
        <v>4248</v>
      </c>
      <c r="J374" t="s">
        <v>4178</v>
      </c>
      <c r="K374">
        <v>7</v>
      </c>
      <c r="L374">
        <v>5285298</v>
      </c>
      <c r="M374">
        <v>4257903</v>
      </c>
      <c r="N374">
        <v>41</v>
      </c>
      <c r="O374" t="s">
        <v>65</v>
      </c>
      <c r="P374" t="s">
        <v>87</v>
      </c>
    </row>
    <row r="375" spans="1:16" x14ac:dyDescent="0.35">
      <c r="A375" t="s">
        <v>3486</v>
      </c>
      <c r="B375" t="s">
        <v>3487</v>
      </c>
      <c r="C375" t="s">
        <v>84</v>
      </c>
      <c r="D375" t="s">
        <v>19</v>
      </c>
      <c r="E375" t="s">
        <v>4178</v>
      </c>
      <c r="F375" s="1">
        <v>42803</v>
      </c>
      <c r="G375">
        <v>2014</v>
      </c>
      <c r="H375" t="s">
        <v>63</v>
      </c>
      <c r="I375" t="s">
        <v>4262</v>
      </c>
      <c r="J375" t="s">
        <v>57</v>
      </c>
      <c r="K375">
        <v>7.9</v>
      </c>
      <c r="L375">
        <v>19824308</v>
      </c>
      <c r="M375">
        <v>1249499</v>
      </c>
      <c r="N375">
        <v>66</v>
      </c>
      <c r="O375" t="s">
        <v>65</v>
      </c>
      <c r="P375" t="s">
        <v>50</v>
      </c>
    </row>
    <row r="376" spans="1:16" x14ac:dyDescent="0.35">
      <c r="A376" t="s">
        <v>975</v>
      </c>
      <c r="B376" t="s">
        <v>976</v>
      </c>
      <c r="C376" t="s">
        <v>4178</v>
      </c>
      <c r="D376" t="s">
        <v>156</v>
      </c>
      <c r="E376" t="s">
        <v>62</v>
      </c>
      <c r="F376" s="1">
        <v>42804</v>
      </c>
      <c r="G376">
        <v>2016</v>
      </c>
      <c r="H376" t="s">
        <v>38</v>
      </c>
      <c r="I376" t="s">
        <v>56</v>
      </c>
      <c r="J376" t="s">
        <v>133</v>
      </c>
      <c r="K376">
        <v>5.5</v>
      </c>
      <c r="L376">
        <v>6789082</v>
      </c>
      <c r="M376">
        <v>4027102</v>
      </c>
      <c r="N376">
        <v>70</v>
      </c>
      <c r="O376" t="s">
        <v>91</v>
      </c>
      <c r="P376" t="s">
        <v>4181</v>
      </c>
    </row>
    <row r="377" spans="1:16" x14ac:dyDescent="0.35">
      <c r="A377" t="s">
        <v>234</v>
      </c>
      <c r="B377" t="s">
        <v>235</v>
      </c>
      <c r="C377" t="s">
        <v>84</v>
      </c>
      <c r="D377" t="s">
        <v>90</v>
      </c>
      <c r="E377" t="s">
        <v>55</v>
      </c>
      <c r="F377" s="1">
        <v>42810</v>
      </c>
      <c r="G377">
        <v>2022</v>
      </c>
      <c r="H377" t="s">
        <v>114</v>
      </c>
      <c r="I377" t="s">
        <v>4211</v>
      </c>
      <c r="J377" t="s">
        <v>23</v>
      </c>
      <c r="K377">
        <v>8.9</v>
      </c>
      <c r="L377">
        <v>9643802</v>
      </c>
      <c r="M377">
        <v>1430177</v>
      </c>
      <c r="N377">
        <v>73</v>
      </c>
      <c r="O377" t="s">
        <v>31</v>
      </c>
      <c r="P377" t="s">
        <v>50</v>
      </c>
    </row>
    <row r="378" spans="1:16" x14ac:dyDescent="0.35">
      <c r="A378" t="s">
        <v>1405</v>
      </c>
      <c r="B378" t="s">
        <v>1406</v>
      </c>
      <c r="C378" t="s">
        <v>84</v>
      </c>
      <c r="D378" t="s">
        <v>68</v>
      </c>
      <c r="E378" t="s">
        <v>113</v>
      </c>
      <c r="F378" s="1">
        <v>42811</v>
      </c>
      <c r="G378">
        <v>2018</v>
      </c>
      <c r="H378" t="s">
        <v>107</v>
      </c>
      <c r="I378" t="s">
        <v>4274</v>
      </c>
      <c r="J378" t="s">
        <v>72</v>
      </c>
      <c r="K378">
        <v>5.6</v>
      </c>
      <c r="L378">
        <v>5303183</v>
      </c>
      <c r="M378">
        <v>126236</v>
      </c>
      <c r="N378">
        <v>43</v>
      </c>
      <c r="O378" t="s">
        <v>31</v>
      </c>
      <c r="P378" t="s">
        <v>87</v>
      </c>
    </row>
    <row r="379" spans="1:16" x14ac:dyDescent="0.35">
      <c r="A379" t="s">
        <v>3113</v>
      </c>
      <c r="B379" t="s">
        <v>3114</v>
      </c>
      <c r="C379" t="s">
        <v>53</v>
      </c>
      <c r="D379" t="s">
        <v>19</v>
      </c>
      <c r="E379" t="s">
        <v>55</v>
      </c>
      <c r="F379" s="1">
        <v>42813</v>
      </c>
      <c r="G379">
        <v>2026</v>
      </c>
      <c r="H379" t="s">
        <v>85</v>
      </c>
      <c r="I379" t="s">
        <v>64</v>
      </c>
      <c r="J379" t="s">
        <v>153</v>
      </c>
      <c r="K379">
        <v>6.1</v>
      </c>
      <c r="L379">
        <v>6070148</v>
      </c>
      <c r="M379">
        <v>235277</v>
      </c>
      <c r="N379">
        <v>120</v>
      </c>
      <c r="O379" t="s">
        <v>24</v>
      </c>
      <c r="P379" t="s">
        <v>87</v>
      </c>
    </row>
    <row r="380" spans="1:16" x14ac:dyDescent="0.35">
      <c r="A380" t="s">
        <v>3761</v>
      </c>
      <c r="B380" t="s">
        <v>3762</v>
      </c>
      <c r="C380" t="s">
        <v>84</v>
      </c>
      <c r="D380" t="s">
        <v>54</v>
      </c>
      <c r="E380" t="s">
        <v>4178</v>
      </c>
      <c r="F380" s="1">
        <v>42816</v>
      </c>
      <c r="G380">
        <v>2005</v>
      </c>
      <c r="H380" t="s">
        <v>38</v>
      </c>
      <c r="I380" t="s">
        <v>4245</v>
      </c>
      <c r="J380" t="s">
        <v>4178</v>
      </c>
      <c r="K380">
        <v>5.2</v>
      </c>
      <c r="L380">
        <v>6461772</v>
      </c>
      <c r="M380">
        <v>4991886</v>
      </c>
      <c r="N380">
        <v>80</v>
      </c>
      <c r="O380" t="s">
        <v>24</v>
      </c>
      <c r="P380" t="s">
        <v>4181</v>
      </c>
    </row>
    <row r="381" spans="1:16" x14ac:dyDescent="0.35">
      <c r="A381" t="s">
        <v>2967</v>
      </c>
      <c r="B381" t="s">
        <v>2968</v>
      </c>
      <c r="C381" t="s">
        <v>84</v>
      </c>
      <c r="D381" t="s">
        <v>75</v>
      </c>
      <c r="E381" t="s">
        <v>4178</v>
      </c>
      <c r="F381" s="1">
        <v>42817</v>
      </c>
      <c r="G381">
        <v>2003</v>
      </c>
      <c r="H381" t="s">
        <v>81</v>
      </c>
      <c r="I381" t="s">
        <v>4293</v>
      </c>
      <c r="J381" t="s">
        <v>40</v>
      </c>
      <c r="K381">
        <v>7.1</v>
      </c>
      <c r="L381">
        <v>5693390</v>
      </c>
      <c r="M381">
        <v>2355341</v>
      </c>
      <c r="N381">
        <v>67</v>
      </c>
      <c r="O381" t="s">
        <v>123</v>
      </c>
      <c r="P381" t="s">
        <v>50</v>
      </c>
    </row>
    <row r="382" spans="1:16" x14ac:dyDescent="0.35">
      <c r="A382" t="s">
        <v>3097</v>
      </c>
      <c r="B382" t="s">
        <v>3098</v>
      </c>
      <c r="C382" t="s">
        <v>53</v>
      </c>
      <c r="D382" t="s">
        <v>61</v>
      </c>
      <c r="E382" t="s">
        <v>4178</v>
      </c>
      <c r="F382" s="1">
        <v>42821</v>
      </c>
      <c r="G382">
        <v>2010</v>
      </c>
      <c r="H382" t="s">
        <v>38</v>
      </c>
      <c r="I382" t="s">
        <v>136</v>
      </c>
      <c r="J382" t="s">
        <v>96</v>
      </c>
      <c r="K382">
        <v>9.3000000000000007</v>
      </c>
      <c r="L382">
        <v>16791471</v>
      </c>
      <c r="M382">
        <v>4586151</v>
      </c>
      <c r="N382">
        <v>77</v>
      </c>
      <c r="O382" t="s">
        <v>41</v>
      </c>
      <c r="P382" t="s">
        <v>50</v>
      </c>
    </row>
    <row r="383" spans="1:16" x14ac:dyDescent="0.35">
      <c r="A383" t="s">
        <v>2812</v>
      </c>
      <c r="B383" t="s">
        <v>2813</v>
      </c>
      <c r="C383" t="s">
        <v>53</v>
      </c>
      <c r="D383" t="s">
        <v>94</v>
      </c>
      <c r="E383" t="s">
        <v>4178</v>
      </c>
      <c r="F383" s="1">
        <v>42822</v>
      </c>
      <c r="G383">
        <v>2011</v>
      </c>
      <c r="H383" t="s">
        <v>4178</v>
      </c>
      <c r="I383" t="s">
        <v>118</v>
      </c>
      <c r="J383" t="s">
        <v>57</v>
      </c>
      <c r="K383">
        <v>5.6</v>
      </c>
      <c r="L383">
        <v>12459876</v>
      </c>
      <c r="M383">
        <v>904893</v>
      </c>
      <c r="N383">
        <v>120</v>
      </c>
      <c r="O383" t="s">
        <v>24</v>
      </c>
      <c r="P383" t="s">
        <v>50</v>
      </c>
    </row>
    <row r="384" spans="1:16" x14ac:dyDescent="0.35">
      <c r="A384" t="s">
        <v>232</v>
      </c>
      <c r="B384" t="s">
        <v>233</v>
      </c>
      <c r="C384" t="s">
        <v>4178</v>
      </c>
      <c r="D384" t="s">
        <v>4178</v>
      </c>
      <c r="E384" t="s">
        <v>4196</v>
      </c>
      <c r="F384" s="1">
        <v>42823</v>
      </c>
      <c r="G384">
        <v>2025</v>
      </c>
      <c r="H384" t="s">
        <v>4178</v>
      </c>
      <c r="I384" t="s">
        <v>56</v>
      </c>
      <c r="J384" t="s">
        <v>40</v>
      </c>
      <c r="K384">
        <v>5.9</v>
      </c>
      <c r="L384">
        <v>9492255</v>
      </c>
      <c r="M384">
        <v>407076</v>
      </c>
      <c r="N384">
        <v>63</v>
      </c>
      <c r="O384" t="s">
        <v>41</v>
      </c>
      <c r="P384" t="s">
        <v>4178</v>
      </c>
    </row>
    <row r="385" spans="1:16" x14ac:dyDescent="0.35">
      <c r="A385" t="s">
        <v>2485</v>
      </c>
      <c r="B385" t="s">
        <v>2486</v>
      </c>
      <c r="C385" t="s">
        <v>84</v>
      </c>
      <c r="D385" t="s">
        <v>75</v>
      </c>
      <c r="E385" t="s">
        <v>4178</v>
      </c>
      <c r="F385" s="1">
        <v>42826</v>
      </c>
      <c r="G385">
        <v>2001</v>
      </c>
      <c r="H385" t="s">
        <v>38</v>
      </c>
      <c r="I385" t="s">
        <v>4354</v>
      </c>
      <c r="J385" t="s">
        <v>103</v>
      </c>
      <c r="K385">
        <v>7.9</v>
      </c>
      <c r="L385">
        <v>21214923</v>
      </c>
      <c r="M385">
        <v>116204</v>
      </c>
      <c r="N385">
        <v>57</v>
      </c>
      <c r="O385" t="s">
        <v>58</v>
      </c>
      <c r="P385" t="s">
        <v>4178</v>
      </c>
    </row>
    <row r="386" spans="1:16" x14ac:dyDescent="0.35">
      <c r="A386" t="s">
        <v>3315</v>
      </c>
      <c r="B386" t="s">
        <v>3316</v>
      </c>
      <c r="C386" t="s">
        <v>84</v>
      </c>
      <c r="D386" t="s">
        <v>61</v>
      </c>
      <c r="E386" t="s">
        <v>28</v>
      </c>
      <c r="F386" s="1">
        <v>42826</v>
      </c>
      <c r="G386">
        <v>2006</v>
      </c>
      <c r="H386" t="s">
        <v>21</v>
      </c>
      <c r="I386" t="s">
        <v>4185</v>
      </c>
      <c r="J386" t="s">
        <v>23</v>
      </c>
      <c r="K386">
        <v>5</v>
      </c>
      <c r="L386">
        <v>13373947</v>
      </c>
      <c r="M386">
        <v>4531056</v>
      </c>
      <c r="N386">
        <v>78</v>
      </c>
      <c r="O386" t="s">
        <v>104</v>
      </c>
      <c r="P386" t="s">
        <v>50</v>
      </c>
    </row>
    <row r="387" spans="1:16" x14ac:dyDescent="0.35">
      <c r="A387" t="s">
        <v>3381</v>
      </c>
      <c r="B387" t="s">
        <v>3382</v>
      </c>
      <c r="C387" t="s">
        <v>84</v>
      </c>
      <c r="D387" t="s">
        <v>19</v>
      </c>
      <c r="E387" t="s">
        <v>4196</v>
      </c>
      <c r="F387" s="1">
        <v>42827</v>
      </c>
      <c r="G387">
        <v>2005</v>
      </c>
      <c r="H387" t="s">
        <v>107</v>
      </c>
      <c r="I387" t="s">
        <v>4265</v>
      </c>
      <c r="J387" t="s">
        <v>40</v>
      </c>
      <c r="K387">
        <v>6.2</v>
      </c>
      <c r="L387">
        <v>16366065</v>
      </c>
      <c r="M387">
        <v>2402357</v>
      </c>
      <c r="N387">
        <v>68</v>
      </c>
      <c r="O387" t="s">
        <v>123</v>
      </c>
      <c r="P387" t="s">
        <v>4181</v>
      </c>
    </row>
    <row r="388" spans="1:16" x14ac:dyDescent="0.35">
      <c r="A388" t="s">
        <v>3206</v>
      </c>
      <c r="B388" t="s">
        <v>3207</v>
      </c>
      <c r="C388" t="s">
        <v>53</v>
      </c>
      <c r="D388" t="s">
        <v>4178</v>
      </c>
      <c r="E388" t="s">
        <v>69</v>
      </c>
      <c r="F388" s="1">
        <v>42829</v>
      </c>
      <c r="G388">
        <v>2023</v>
      </c>
      <c r="H388" t="s">
        <v>85</v>
      </c>
      <c r="I388" t="s">
        <v>136</v>
      </c>
      <c r="J388" t="s">
        <v>57</v>
      </c>
      <c r="K388">
        <v>5.0999999999999996</v>
      </c>
      <c r="L388">
        <v>4507590</v>
      </c>
      <c r="M388">
        <v>1842816</v>
      </c>
      <c r="N388">
        <v>82</v>
      </c>
      <c r="O388" t="s">
        <v>58</v>
      </c>
      <c r="P388" t="s">
        <v>32</v>
      </c>
    </row>
    <row r="389" spans="1:16" x14ac:dyDescent="0.35">
      <c r="A389" t="s">
        <v>4063</v>
      </c>
      <c r="B389" t="s">
        <v>4064</v>
      </c>
      <c r="C389" t="s">
        <v>53</v>
      </c>
      <c r="D389" t="s">
        <v>19</v>
      </c>
      <c r="E389" t="s">
        <v>113</v>
      </c>
      <c r="F389" s="1">
        <v>42832</v>
      </c>
      <c r="G389">
        <v>2001</v>
      </c>
      <c r="H389" t="s">
        <v>4178</v>
      </c>
      <c r="I389" t="s">
        <v>162</v>
      </c>
      <c r="J389" t="s">
        <v>30</v>
      </c>
      <c r="K389">
        <v>9.6</v>
      </c>
      <c r="L389">
        <v>9937260</v>
      </c>
      <c r="M389">
        <v>3894124</v>
      </c>
      <c r="N389">
        <v>90</v>
      </c>
      <c r="O389" t="s">
        <v>123</v>
      </c>
      <c r="P389" t="s">
        <v>50</v>
      </c>
    </row>
    <row r="390" spans="1:16" x14ac:dyDescent="0.35">
      <c r="A390" t="s">
        <v>3870</v>
      </c>
      <c r="B390" t="s">
        <v>3871</v>
      </c>
      <c r="C390" t="s">
        <v>53</v>
      </c>
      <c r="D390" t="s">
        <v>54</v>
      </c>
      <c r="E390" t="s">
        <v>45</v>
      </c>
      <c r="F390" s="1">
        <v>42835</v>
      </c>
      <c r="G390">
        <v>2012</v>
      </c>
      <c r="H390" t="s">
        <v>81</v>
      </c>
      <c r="I390" t="s">
        <v>39</v>
      </c>
      <c r="J390" t="s">
        <v>153</v>
      </c>
      <c r="K390">
        <v>5.6</v>
      </c>
      <c r="L390">
        <v>20473888</v>
      </c>
      <c r="M390">
        <v>4858920</v>
      </c>
      <c r="N390">
        <v>48</v>
      </c>
      <c r="O390" t="s">
        <v>123</v>
      </c>
      <c r="P390" t="s">
        <v>50</v>
      </c>
    </row>
    <row r="391" spans="1:16" x14ac:dyDescent="0.35">
      <c r="A391" t="s">
        <v>243</v>
      </c>
      <c r="B391" t="s">
        <v>244</v>
      </c>
      <c r="C391" t="s">
        <v>53</v>
      </c>
      <c r="D391" t="s">
        <v>4178</v>
      </c>
      <c r="E391" t="s">
        <v>69</v>
      </c>
      <c r="F391" s="1">
        <v>42837</v>
      </c>
      <c r="G391">
        <v>2004</v>
      </c>
      <c r="H391" t="s">
        <v>63</v>
      </c>
      <c r="I391" t="s">
        <v>118</v>
      </c>
      <c r="J391" t="s">
        <v>133</v>
      </c>
      <c r="K391">
        <v>6</v>
      </c>
      <c r="L391">
        <v>3595952</v>
      </c>
      <c r="M391">
        <v>2356558</v>
      </c>
      <c r="N391">
        <v>64</v>
      </c>
      <c r="O391" t="s">
        <v>49</v>
      </c>
      <c r="P391" t="s">
        <v>87</v>
      </c>
    </row>
    <row r="392" spans="1:16" x14ac:dyDescent="0.35">
      <c r="A392" t="s">
        <v>4087</v>
      </c>
      <c r="B392" t="s">
        <v>4088</v>
      </c>
      <c r="C392" t="s">
        <v>4178</v>
      </c>
      <c r="D392" t="s">
        <v>4178</v>
      </c>
      <c r="E392" t="s">
        <v>131</v>
      </c>
      <c r="F392" s="1">
        <v>42837</v>
      </c>
      <c r="G392">
        <v>2002</v>
      </c>
      <c r="H392" t="s">
        <v>46</v>
      </c>
      <c r="I392" t="s">
        <v>162</v>
      </c>
      <c r="J392" t="s">
        <v>72</v>
      </c>
      <c r="K392">
        <v>7.8</v>
      </c>
      <c r="L392">
        <v>1709500</v>
      </c>
      <c r="M392">
        <v>1857782</v>
      </c>
      <c r="N392">
        <v>65</v>
      </c>
      <c r="O392" t="s">
        <v>41</v>
      </c>
      <c r="P392" t="s">
        <v>4178</v>
      </c>
    </row>
    <row r="393" spans="1:16" x14ac:dyDescent="0.35">
      <c r="A393" t="s">
        <v>2946</v>
      </c>
      <c r="B393" t="s">
        <v>2947</v>
      </c>
      <c r="C393" t="s">
        <v>84</v>
      </c>
      <c r="D393" t="s">
        <v>94</v>
      </c>
      <c r="E393" t="s">
        <v>131</v>
      </c>
      <c r="F393" s="1">
        <v>42838</v>
      </c>
      <c r="G393">
        <v>2009</v>
      </c>
      <c r="H393" t="s">
        <v>114</v>
      </c>
      <c r="I393" t="s">
        <v>4250</v>
      </c>
      <c r="J393" t="s">
        <v>57</v>
      </c>
      <c r="K393">
        <v>7</v>
      </c>
      <c r="L393">
        <v>891129</v>
      </c>
      <c r="M393">
        <v>1080941</v>
      </c>
      <c r="N393">
        <v>80</v>
      </c>
      <c r="O393" t="s">
        <v>41</v>
      </c>
      <c r="P393" t="s">
        <v>4178</v>
      </c>
    </row>
    <row r="394" spans="1:16" x14ac:dyDescent="0.35">
      <c r="A394" t="s">
        <v>745</v>
      </c>
      <c r="B394" t="s">
        <v>746</v>
      </c>
      <c r="C394" t="s">
        <v>84</v>
      </c>
      <c r="D394" t="s">
        <v>68</v>
      </c>
      <c r="E394" t="s">
        <v>62</v>
      </c>
      <c r="F394" s="1">
        <v>42844</v>
      </c>
      <c r="G394">
        <v>2004</v>
      </c>
      <c r="H394" t="s">
        <v>38</v>
      </c>
      <c r="I394" t="s">
        <v>4270</v>
      </c>
      <c r="J394" t="s">
        <v>4178</v>
      </c>
      <c r="K394">
        <v>9</v>
      </c>
      <c r="L394">
        <v>8985786</v>
      </c>
      <c r="M394">
        <v>1728635</v>
      </c>
      <c r="N394">
        <v>40</v>
      </c>
      <c r="O394" t="s">
        <v>58</v>
      </c>
      <c r="P394" t="s">
        <v>4181</v>
      </c>
    </row>
    <row r="395" spans="1:16" x14ac:dyDescent="0.35">
      <c r="A395" t="s">
        <v>3405</v>
      </c>
      <c r="B395" t="s">
        <v>3406</v>
      </c>
      <c r="C395" t="s">
        <v>53</v>
      </c>
      <c r="D395" t="s">
        <v>36</v>
      </c>
      <c r="E395" t="s">
        <v>55</v>
      </c>
      <c r="F395" s="1">
        <v>42845</v>
      </c>
      <c r="G395">
        <v>2001</v>
      </c>
      <c r="H395" t="s">
        <v>21</v>
      </c>
      <c r="I395" t="s">
        <v>71</v>
      </c>
      <c r="J395" t="s">
        <v>57</v>
      </c>
      <c r="K395">
        <v>5.9</v>
      </c>
      <c r="L395">
        <v>20999863</v>
      </c>
      <c r="M395">
        <v>2088947</v>
      </c>
      <c r="N395">
        <v>81</v>
      </c>
      <c r="O395" t="s">
        <v>49</v>
      </c>
      <c r="P395" t="s">
        <v>87</v>
      </c>
    </row>
    <row r="396" spans="1:16" x14ac:dyDescent="0.35">
      <c r="A396" t="s">
        <v>3856</v>
      </c>
      <c r="B396" t="s">
        <v>3857</v>
      </c>
      <c r="C396" t="s">
        <v>84</v>
      </c>
      <c r="D396" t="s">
        <v>4178</v>
      </c>
      <c r="E396" t="s">
        <v>99</v>
      </c>
      <c r="F396" s="1">
        <v>42845</v>
      </c>
      <c r="G396">
        <v>2032</v>
      </c>
      <c r="H396" t="s">
        <v>107</v>
      </c>
      <c r="I396" t="s">
        <v>4354</v>
      </c>
      <c r="J396" t="s">
        <v>48</v>
      </c>
      <c r="K396">
        <v>7.1</v>
      </c>
      <c r="L396">
        <v>21435462</v>
      </c>
      <c r="M396">
        <v>4590418</v>
      </c>
      <c r="N396">
        <v>83</v>
      </c>
      <c r="O396" t="s">
        <v>91</v>
      </c>
      <c r="P396" t="s">
        <v>32</v>
      </c>
    </row>
    <row r="397" spans="1:16" x14ac:dyDescent="0.35">
      <c r="A397" t="s">
        <v>3663</v>
      </c>
      <c r="B397" t="s">
        <v>3664</v>
      </c>
      <c r="C397" t="s">
        <v>53</v>
      </c>
      <c r="D397" t="s">
        <v>4178</v>
      </c>
      <c r="E397" t="s">
        <v>4178</v>
      </c>
      <c r="F397" s="1">
        <v>42852</v>
      </c>
      <c r="G397">
        <v>2003</v>
      </c>
      <c r="H397" t="s">
        <v>121</v>
      </c>
      <c r="I397" t="s">
        <v>162</v>
      </c>
      <c r="J397" t="s">
        <v>23</v>
      </c>
      <c r="K397">
        <v>5.0999999999999996</v>
      </c>
      <c r="L397">
        <v>11096803</v>
      </c>
      <c r="M397">
        <v>3728807</v>
      </c>
      <c r="N397">
        <v>85</v>
      </c>
      <c r="O397" t="s">
        <v>41</v>
      </c>
      <c r="P397" t="s">
        <v>4181</v>
      </c>
    </row>
    <row r="398" spans="1:16" x14ac:dyDescent="0.35">
      <c r="A398" t="s">
        <v>2744</v>
      </c>
      <c r="B398" t="s">
        <v>2745</v>
      </c>
      <c r="C398" t="s">
        <v>84</v>
      </c>
      <c r="D398" t="s">
        <v>68</v>
      </c>
      <c r="E398" t="s">
        <v>62</v>
      </c>
      <c r="F398" s="1">
        <v>42860</v>
      </c>
      <c r="G398">
        <v>2025</v>
      </c>
      <c r="H398" t="s">
        <v>85</v>
      </c>
      <c r="I398" t="s">
        <v>4193</v>
      </c>
      <c r="J398" t="s">
        <v>30</v>
      </c>
      <c r="K398">
        <v>9.1999999999999993</v>
      </c>
      <c r="L398">
        <v>10443462</v>
      </c>
      <c r="M398">
        <v>4436312</v>
      </c>
      <c r="N398">
        <v>50</v>
      </c>
      <c r="O398" t="s">
        <v>65</v>
      </c>
      <c r="P398" t="s">
        <v>4181</v>
      </c>
    </row>
    <row r="399" spans="1:16" x14ac:dyDescent="0.35">
      <c r="A399" t="s">
        <v>1980</v>
      </c>
      <c r="B399" t="s">
        <v>1981</v>
      </c>
      <c r="C399" t="s">
        <v>84</v>
      </c>
      <c r="D399" t="s">
        <v>4178</v>
      </c>
      <c r="E399" t="s">
        <v>99</v>
      </c>
      <c r="F399" s="1">
        <v>42863</v>
      </c>
      <c r="G399">
        <v>2019</v>
      </c>
      <c r="H399" t="s">
        <v>114</v>
      </c>
      <c r="I399" t="s">
        <v>4301</v>
      </c>
      <c r="J399" t="s">
        <v>40</v>
      </c>
      <c r="K399">
        <v>7.3</v>
      </c>
      <c r="L399">
        <v>2521410</v>
      </c>
      <c r="M399">
        <v>534168</v>
      </c>
      <c r="N399">
        <v>93</v>
      </c>
      <c r="O399" t="s">
        <v>123</v>
      </c>
      <c r="P399" t="s">
        <v>4181</v>
      </c>
    </row>
    <row r="400" spans="1:16" x14ac:dyDescent="0.35">
      <c r="A400" t="s">
        <v>2350</v>
      </c>
      <c r="B400" t="s">
        <v>2351</v>
      </c>
      <c r="C400" t="s">
        <v>84</v>
      </c>
      <c r="D400" t="s">
        <v>54</v>
      </c>
      <c r="E400" t="s">
        <v>113</v>
      </c>
      <c r="F400" s="1">
        <v>42863</v>
      </c>
      <c r="G400">
        <v>2020</v>
      </c>
      <c r="H400" t="s">
        <v>4178</v>
      </c>
      <c r="I400" t="s">
        <v>4231</v>
      </c>
      <c r="J400" t="s">
        <v>48</v>
      </c>
      <c r="K400">
        <v>4.5999999999999996</v>
      </c>
      <c r="L400">
        <v>13465212</v>
      </c>
      <c r="M400">
        <v>3641831</v>
      </c>
      <c r="N400">
        <v>64</v>
      </c>
      <c r="O400" t="s">
        <v>24</v>
      </c>
      <c r="P400" t="s">
        <v>87</v>
      </c>
    </row>
    <row r="401" spans="1:16" x14ac:dyDescent="0.35">
      <c r="A401" t="s">
        <v>1084</v>
      </c>
      <c r="B401" t="s">
        <v>1085</v>
      </c>
      <c r="C401" t="s">
        <v>84</v>
      </c>
      <c r="D401" t="s">
        <v>54</v>
      </c>
      <c r="E401" t="s">
        <v>20</v>
      </c>
      <c r="F401" s="1">
        <v>42864</v>
      </c>
      <c r="G401">
        <v>2000</v>
      </c>
      <c r="H401" t="s">
        <v>121</v>
      </c>
      <c r="I401" t="s">
        <v>4223</v>
      </c>
      <c r="J401" t="s">
        <v>103</v>
      </c>
      <c r="K401">
        <v>5.7</v>
      </c>
      <c r="L401">
        <v>22291540</v>
      </c>
      <c r="M401">
        <v>3238509</v>
      </c>
      <c r="N401">
        <v>64</v>
      </c>
      <c r="O401" t="s">
        <v>58</v>
      </c>
      <c r="P401" t="s">
        <v>32</v>
      </c>
    </row>
    <row r="402" spans="1:16" x14ac:dyDescent="0.35">
      <c r="A402" t="s">
        <v>3822</v>
      </c>
      <c r="B402" t="s">
        <v>4392</v>
      </c>
      <c r="C402" t="s">
        <v>84</v>
      </c>
      <c r="D402" t="s">
        <v>61</v>
      </c>
      <c r="E402" t="s">
        <v>45</v>
      </c>
      <c r="F402" s="1">
        <v>42866</v>
      </c>
      <c r="G402">
        <v>2010</v>
      </c>
      <c r="H402" t="s">
        <v>21</v>
      </c>
      <c r="I402" t="s">
        <v>4250</v>
      </c>
      <c r="J402" t="s">
        <v>57</v>
      </c>
      <c r="K402">
        <v>6.2</v>
      </c>
      <c r="L402">
        <v>11877772</v>
      </c>
      <c r="M402">
        <v>918826</v>
      </c>
      <c r="N402">
        <v>96</v>
      </c>
      <c r="O402" t="s">
        <v>65</v>
      </c>
      <c r="P402" t="s">
        <v>50</v>
      </c>
    </row>
    <row r="403" spans="1:16" x14ac:dyDescent="0.35">
      <c r="A403" t="s">
        <v>3840</v>
      </c>
      <c r="B403" t="s">
        <v>3841</v>
      </c>
      <c r="C403" t="s">
        <v>84</v>
      </c>
      <c r="D403" t="s">
        <v>4178</v>
      </c>
      <c r="E403" t="s">
        <v>37</v>
      </c>
      <c r="F403" s="1">
        <v>42867</v>
      </c>
      <c r="G403">
        <v>2020</v>
      </c>
      <c r="H403" t="s">
        <v>114</v>
      </c>
      <c r="I403" t="s">
        <v>4202</v>
      </c>
      <c r="J403" t="s">
        <v>4178</v>
      </c>
      <c r="K403">
        <v>6.2</v>
      </c>
      <c r="L403">
        <v>11989522</v>
      </c>
      <c r="M403">
        <v>2231714</v>
      </c>
      <c r="N403">
        <v>74</v>
      </c>
      <c r="O403" t="s">
        <v>123</v>
      </c>
      <c r="P403" t="s">
        <v>32</v>
      </c>
    </row>
    <row r="404" spans="1:16" x14ac:dyDescent="0.35">
      <c r="A404" t="s">
        <v>1986</v>
      </c>
      <c r="B404" t="s">
        <v>1987</v>
      </c>
      <c r="C404" t="s">
        <v>84</v>
      </c>
      <c r="D404" t="s">
        <v>61</v>
      </c>
      <c r="E404" t="s">
        <v>80</v>
      </c>
      <c r="F404" s="1">
        <v>42872</v>
      </c>
      <c r="G404">
        <v>2014</v>
      </c>
      <c r="H404" t="s">
        <v>46</v>
      </c>
      <c r="I404" t="s">
        <v>4190</v>
      </c>
      <c r="J404" t="s">
        <v>72</v>
      </c>
      <c r="K404">
        <v>7</v>
      </c>
      <c r="L404">
        <v>4815741</v>
      </c>
      <c r="M404">
        <v>19022</v>
      </c>
      <c r="N404">
        <v>59</v>
      </c>
      <c r="O404" t="s">
        <v>91</v>
      </c>
      <c r="P404" t="s">
        <v>4178</v>
      </c>
    </row>
    <row r="405" spans="1:16" x14ac:dyDescent="0.35">
      <c r="A405" t="s">
        <v>1110</v>
      </c>
      <c r="B405" t="s">
        <v>1111</v>
      </c>
      <c r="C405" t="s">
        <v>53</v>
      </c>
      <c r="D405" t="s">
        <v>19</v>
      </c>
      <c r="E405" t="s">
        <v>99</v>
      </c>
      <c r="F405" s="1">
        <v>42875</v>
      </c>
      <c r="G405">
        <v>2012</v>
      </c>
      <c r="H405" t="s">
        <v>38</v>
      </c>
      <c r="I405" t="s">
        <v>56</v>
      </c>
      <c r="J405" t="s">
        <v>133</v>
      </c>
      <c r="K405">
        <v>9.3000000000000007</v>
      </c>
      <c r="L405">
        <v>13340948</v>
      </c>
      <c r="M405">
        <v>1473180</v>
      </c>
      <c r="N405">
        <v>46</v>
      </c>
      <c r="O405" t="s">
        <v>58</v>
      </c>
      <c r="P405" t="s">
        <v>87</v>
      </c>
    </row>
    <row r="406" spans="1:16" x14ac:dyDescent="0.35">
      <c r="A406" t="s">
        <v>3717</v>
      </c>
      <c r="B406" t="s">
        <v>3718</v>
      </c>
      <c r="C406" t="s">
        <v>84</v>
      </c>
      <c r="D406" t="s">
        <v>4178</v>
      </c>
      <c r="E406" t="s">
        <v>4178</v>
      </c>
      <c r="F406" s="1">
        <v>42876</v>
      </c>
      <c r="G406">
        <v>2016</v>
      </c>
      <c r="H406" t="s">
        <v>107</v>
      </c>
      <c r="I406" t="s">
        <v>4266</v>
      </c>
      <c r="J406" t="s">
        <v>48</v>
      </c>
      <c r="K406">
        <v>7.3</v>
      </c>
      <c r="L406">
        <v>14458874</v>
      </c>
      <c r="M406">
        <v>660459</v>
      </c>
      <c r="N406">
        <v>71</v>
      </c>
      <c r="O406" t="s">
        <v>65</v>
      </c>
      <c r="P406" t="s">
        <v>4178</v>
      </c>
    </row>
    <row r="407" spans="1:16" x14ac:dyDescent="0.35">
      <c r="A407" t="s">
        <v>344</v>
      </c>
      <c r="B407" t="s">
        <v>345</v>
      </c>
      <c r="C407" t="s">
        <v>53</v>
      </c>
      <c r="D407" t="s">
        <v>90</v>
      </c>
      <c r="E407" t="s">
        <v>131</v>
      </c>
      <c r="F407" s="1">
        <v>42878</v>
      </c>
      <c r="G407">
        <v>2020</v>
      </c>
      <c r="H407" t="s">
        <v>4178</v>
      </c>
      <c r="I407" t="s">
        <v>64</v>
      </c>
      <c r="J407" t="s">
        <v>133</v>
      </c>
      <c r="K407">
        <v>8.6999999999999993</v>
      </c>
      <c r="L407">
        <v>23185974</v>
      </c>
      <c r="M407">
        <v>4639332</v>
      </c>
      <c r="N407">
        <v>120</v>
      </c>
      <c r="O407" t="s">
        <v>123</v>
      </c>
      <c r="P407" t="s">
        <v>32</v>
      </c>
    </row>
    <row r="408" spans="1:16" x14ac:dyDescent="0.35">
      <c r="A408" t="s">
        <v>818</v>
      </c>
      <c r="B408" t="s">
        <v>4278</v>
      </c>
      <c r="C408" t="s">
        <v>53</v>
      </c>
      <c r="D408" t="s">
        <v>75</v>
      </c>
      <c r="E408" t="s">
        <v>80</v>
      </c>
      <c r="F408" s="1">
        <v>42878</v>
      </c>
      <c r="G408">
        <v>2023</v>
      </c>
      <c r="H408" t="s">
        <v>85</v>
      </c>
      <c r="I408" t="s">
        <v>39</v>
      </c>
      <c r="J408" t="s">
        <v>4178</v>
      </c>
      <c r="K408">
        <v>7.6</v>
      </c>
      <c r="L408">
        <v>22962813</v>
      </c>
      <c r="M408">
        <v>400237</v>
      </c>
      <c r="N408">
        <v>77</v>
      </c>
      <c r="O408" t="s">
        <v>24</v>
      </c>
      <c r="P408" t="s">
        <v>32</v>
      </c>
    </row>
    <row r="409" spans="1:16" x14ac:dyDescent="0.35">
      <c r="A409" t="s">
        <v>1167</v>
      </c>
      <c r="B409" t="s">
        <v>1168</v>
      </c>
      <c r="C409" t="s">
        <v>53</v>
      </c>
      <c r="D409" t="s">
        <v>27</v>
      </c>
      <c r="E409" t="s">
        <v>28</v>
      </c>
      <c r="F409" s="1">
        <v>42880</v>
      </c>
      <c r="G409">
        <v>2017</v>
      </c>
      <c r="H409" t="s">
        <v>114</v>
      </c>
      <c r="I409" t="s">
        <v>162</v>
      </c>
      <c r="J409" t="s">
        <v>40</v>
      </c>
      <c r="K409">
        <v>6.4</v>
      </c>
      <c r="L409">
        <v>24184811</v>
      </c>
      <c r="M409">
        <v>4671368</v>
      </c>
      <c r="N409">
        <v>87</v>
      </c>
      <c r="O409" t="s">
        <v>4178</v>
      </c>
      <c r="P409" t="s">
        <v>4178</v>
      </c>
    </row>
    <row r="410" spans="1:16" x14ac:dyDescent="0.35">
      <c r="A410" t="s">
        <v>1080</v>
      </c>
      <c r="B410" t="s">
        <v>1081</v>
      </c>
      <c r="C410" t="s">
        <v>4178</v>
      </c>
      <c r="D410" t="s">
        <v>61</v>
      </c>
      <c r="E410" t="s">
        <v>80</v>
      </c>
      <c r="F410" s="1">
        <v>42882</v>
      </c>
      <c r="G410">
        <v>2011</v>
      </c>
      <c r="H410" t="s">
        <v>21</v>
      </c>
      <c r="I410" t="s">
        <v>136</v>
      </c>
      <c r="J410" t="s">
        <v>30</v>
      </c>
      <c r="K410">
        <v>7.4</v>
      </c>
      <c r="L410">
        <v>2163277</v>
      </c>
      <c r="M410">
        <v>4801067</v>
      </c>
      <c r="N410">
        <v>63</v>
      </c>
      <c r="O410" t="s">
        <v>58</v>
      </c>
      <c r="P410" t="s">
        <v>87</v>
      </c>
    </row>
    <row r="411" spans="1:16" x14ac:dyDescent="0.35">
      <c r="A411" t="s">
        <v>2249</v>
      </c>
      <c r="B411" t="s">
        <v>2250</v>
      </c>
      <c r="C411" t="s">
        <v>4178</v>
      </c>
      <c r="D411" t="s">
        <v>68</v>
      </c>
      <c r="E411" t="s">
        <v>20</v>
      </c>
      <c r="F411" s="1">
        <v>42882</v>
      </c>
      <c r="G411">
        <v>2011</v>
      </c>
      <c r="H411" t="s">
        <v>107</v>
      </c>
      <c r="I411" t="s">
        <v>136</v>
      </c>
      <c r="J411" t="s">
        <v>4178</v>
      </c>
      <c r="K411">
        <v>8.8000000000000007</v>
      </c>
      <c r="L411">
        <v>14215993</v>
      </c>
      <c r="M411">
        <v>1899108</v>
      </c>
      <c r="N411">
        <v>64</v>
      </c>
      <c r="O411" t="s">
        <v>24</v>
      </c>
      <c r="P411" t="s">
        <v>4181</v>
      </c>
    </row>
    <row r="412" spans="1:16" x14ac:dyDescent="0.35">
      <c r="A412" t="s">
        <v>2611</v>
      </c>
      <c r="B412" t="s">
        <v>2612</v>
      </c>
      <c r="C412" t="s">
        <v>53</v>
      </c>
      <c r="D412" t="s">
        <v>68</v>
      </c>
      <c r="E412" t="s">
        <v>4196</v>
      </c>
      <c r="F412" s="1">
        <v>42890</v>
      </c>
      <c r="G412">
        <v>2023</v>
      </c>
      <c r="H412" t="s">
        <v>107</v>
      </c>
      <c r="I412" t="s">
        <v>162</v>
      </c>
      <c r="J412" t="s">
        <v>48</v>
      </c>
      <c r="K412">
        <v>7.9</v>
      </c>
      <c r="L412">
        <v>21326993</v>
      </c>
      <c r="M412">
        <v>2072578</v>
      </c>
      <c r="N412">
        <v>43</v>
      </c>
      <c r="O412" t="s">
        <v>49</v>
      </c>
      <c r="P412" t="s">
        <v>50</v>
      </c>
    </row>
    <row r="413" spans="1:16" x14ac:dyDescent="0.35">
      <c r="A413" t="s">
        <v>1247</v>
      </c>
      <c r="B413" t="s">
        <v>1248</v>
      </c>
      <c r="C413" t="s">
        <v>84</v>
      </c>
      <c r="D413" t="s">
        <v>75</v>
      </c>
      <c r="E413" t="s">
        <v>45</v>
      </c>
      <c r="F413" s="1">
        <v>42891</v>
      </c>
      <c r="G413">
        <v>2017</v>
      </c>
      <c r="H413" t="s">
        <v>63</v>
      </c>
      <c r="I413" t="s">
        <v>4231</v>
      </c>
      <c r="J413" t="s">
        <v>48</v>
      </c>
      <c r="K413">
        <v>5</v>
      </c>
      <c r="L413">
        <v>17305863</v>
      </c>
      <c r="M413">
        <v>1768708</v>
      </c>
      <c r="N413">
        <v>90</v>
      </c>
      <c r="O413" t="s">
        <v>4178</v>
      </c>
      <c r="P413" t="s">
        <v>4181</v>
      </c>
    </row>
    <row r="414" spans="1:16" x14ac:dyDescent="0.35">
      <c r="A414" t="s">
        <v>3194</v>
      </c>
      <c r="B414" t="s">
        <v>3195</v>
      </c>
      <c r="C414" t="s">
        <v>84</v>
      </c>
      <c r="D414" t="s">
        <v>36</v>
      </c>
      <c r="E414" t="s">
        <v>80</v>
      </c>
      <c r="F414" s="1">
        <v>42896</v>
      </c>
      <c r="G414">
        <v>2018</v>
      </c>
      <c r="H414" t="s">
        <v>46</v>
      </c>
      <c r="I414" t="s">
        <v>4233</v>
      </c>
      <c r="J414" t="s">
        <v>72</v>
      </c>
      <c r="K414">
        <v>4.8</v>
      </c>
      <c r="L414">
        <v>20901160</v>
      </c>
      <c r="M414">
        <v>307808</v>
      </c>
      <c r="N414">
        <v>40</v>
      </c>
      <c r="O414" t="s">
        <v>123</v>
      </c>
      <c r="P414" t="s">
        <v>4181</v>
      </c>
    </row>
    <row r="415" spans="1:16" x14ac:dyDescent="0.35">
      <c r="A415" t="s">
        <v>2002</v>
      </c>
      <c r="B415" t="s">
        <v>2003</v>
      </c>
      <c r="C415" t="s">
        <v>84</v>
      </c>
      <c r="D415" t="s">
        <v>36</v>
      </c>
      <c r="E415" t="s">
        <v>69</v>
      </c>
      <c r="F415" s="1">
        <v>42897</v>
      </c>
      <c r="G415">
        <v>2009</v>
      </c>
      <c r="H415" t="s">
        <v>81</v>
      </c>
      <c r="I415" t="s">
        <v>4211</v>
      </c>
      <c r="J415" t="s">
        <v>133</v>
      </c>
      <c r="K415">
        <v>9.1</v>
      </c>
      <c r="L415">
        <v>17486112</v>
      </c>
      <c r="M415">
        <v>4457623</v>
      </c>
      <c r="N415">
        <v>95</v>
      </c>
      <c r="O415" t="s">
        <v>31</v>
      </c>
      <c r="P415" t="s">
        <v>32</v>
      </c>
    </row>
    <row r="416" spans="1:16" x14ac:dyDescent="0.35">
      <c r="A416" t="s">
        <v>2176</v>
      </c>
      <c r="B416" t="s">
        <v>2177</v>
      </c>
      <c r="C416" t="s">
        <v>84</v>
      </c>
      <c r="D416" t="s">
        <v>61</v>
      </c>
      <c r="E416" t="s">
        <v>55</v>
      </c>
      <c r="F416" s="1">
        <v>42903</v>
      </c>
      <c r="G416">
        <v>2001</v>
      </c>
      <c r="H416" t="s">
        <v>63</v>
      </c>
      <c r="I416" t="s">
        <v>4336</v>
      </c>
      <c r="J416" t="s">
        <v>72</v>
      </c>
      <c r="K416">
        <v>8.3000000000000007</v>
      </c>
      <c r="L416">
        <v>15241135</v>
      </c>
      <c r="M416">
        <v>75982</v>
      </c>
      <c r="N416">
        <v>72</v>
      </c>
      <c r="O416" t="s">
        <v>104</v>
      </c>
      <c r="P416" t="s">
        <v>50</v>
      </c>
    </row>
    <row r="417" spans="1:16" x14ac:dyDescent="0.35">
      <c r="A417" t="s">
        <v>1300</v>
      </c>
      <c r="B417" t="s">
        <v>1301</v>
      </c>
      <c r="C417" t="s">
        <v>53</v>
      </c>
      <c r="D417" t="s">
        <v>68</v>
      </c>
      <c r="E417" t="s">
        <v>20</v>
      </c>
      <c r="F417" s="1">
        <v>42915</v>
      </c>
      <c r="G417">
        <v>2018</v>
      </c>
      <c r="H417" t="s">
        <v>121</v>
      </c>
      <c r="I417" t="s">
        <v>39</v>
      </c>
      <c r="J417" t="s">
        <v>153</v>
      </c>
      <c r="K417">
        <v>5.9</v>
      </c>
      <c r="L417">
        <v>9396362</v>
      </c>
      <c r="M417">
        <v>1612390</v>
      </c>
      <c r="N417">
        <v>40</v>
      </c>
      <c r="O417" t="s">
        <v>31</v>
      </c>
      <c r="P417" t="s">
        <v>32</v>
      </c>
    </row>
    <row r="418" spans="1:16" x14ac:dyDescent="0.35">
      <c r="A418" t="s">
        <v>4038</v>
      </c>
      <c r="B418" t="s">
        <v>4402</v>
      </c>
      <c r="C418" t="s">
        <v>84</v>
      </c>
      <c r="D418" t="s">
        <v>61</v>
      </c>
      <c r="E418" t="s">
        <v>45</v>
      </c>
      <c r="F418" s="1">
        <v>42915</v>
      </c>
      <c r="G418">
        <v>2005</v>
      </c>
      <c r="H418" t="s">
        <v>107</v>
      </c>
      <c r="I418" t="s">
        <v>4260</v>
      </c>
      <c r="J418" t="s">
        <v>57</v>
      </c>
      <c r="K418">
        <v>4.8</v>
      </c>
      <c r="L418">
        <v>15302623</v>
      </c>
      <c r="M418">
        <v>3909371</v>
      </c>
      <c r="N418">
        <v>41</v>
      </c>
      <c r="O418" t="s">
        <v>24</v>
      </c>
      <c r="P418" t="s">
        <v>32</v>
      </c>
    </row>
    <row r="419" spans="1:16" x14ac:dyDescent="0.35">
      <c r="A419" t="s">
        <v>1228</v>
      </c>
      <c r="B419" t="s">
        <v>1229</v>
      </c>
      <c r="C419" t="s">
        <v>84</v>
      </c>
      <c r="D419" t="s">
        <v>156</v>
      </c>
      <c r="E419" t="s">
        <v>37</v>
      </c>
      <c r="F419" s="1">
        <v>42916</v>
      </c>
      <c r="G419">
        <v>2007</v>
      </c>
      <c r="H419" t="s">
        <v>107</v>
      </c>
      <c r="I419" t="s">
        <v>4216</v>
      </c>
      <c r="J419" t="s">
        <v>72</v>
      </c>
      <c r="K419">
        <v>6.6</v>
      </c>
      <c r="L419">
        <v>18330849</v>
      </c>
      <c r="M419">
        <v>3751764</v>
      </c>
      <c r="N419">
        <v>51</v>
      </c>
      <c r="O419" t="s">
        <v>65</v>
      </c>
      <c r="P419" t="s">
        <v>50</v>
      </c>
    </row>
    <row r="420" spans="1:16" x14ac:dyDescent="0.35">
      <c r="A420" t="s">
        <v>3099</v>
      </c>
      <c r="B420" t="s">
        <v>3100</v>
      </c>
      <c r="C420" t="s">
        <v>84</v>
      </c>
      <c r="D420" t="s">
        <v>19</v>
      </c>
      <c r="E420" t="s">
        <v>4178</v>
      </c>
      <c r="F420" s="1">
        <v>42917</v>
      </c>
      <c r="G420">
        <v>2018</v>
      </c>
      <c r="H420" t="s">
        <v>121</v>
      </c>
      <c r="I420" t="s">
        <v>4260</v>
      </c>
      <c r="J420" t="s">
        <v>40</v>
      </c>
      <c r="K420">
        <v>8.4</v>
      </c>
      <c r="L420">
        <v>22484206</v>
      </c>
      <c r="M420">
        <v>3084433</v>
      </c>
      <c r="N420">
        <v>52</v>
      </c>
      <c r="O420" t="s">
        <v>24</v>
      </c>
      <c r="P420" t="s">
        <v>32</v>
      </c>
    </row>
    <row r="421" spans="1:16" x14ac:dyDescent="0.35">
      <c r="A421" t="s">
        <v>3311</v>
      </c>
      <c r="B421" t="s">
        <v>3312</v>
      </c>
      <c r="C421" t="s">
        <v>84</v>
      </c>
      <c r="D421" t="s">
        <v>27</v>
      </c>
      <c r="E421" t="s">
        <v>69</v>
      </c>
      <c r="F421" s="1">
        <v>42920</v>
      </c>
      <c r="G421">
        <v>2006</v>
      </c>
      <c r="H421" t="s">
        <v>21</v>
      </c>
      <c r="I421" t="s">
        <v>4199</v>
      </c>
      <c r="J421" t="s">
        <v>57</v>
      </c>
      <c r="K421">
        <v>7.7</v>
      </c>
      <c r="L421">
        <v>14970096</v>
      </c>
      <c r="M421">
        <v>3405702</v>
      </c>
      <c r="N421">
        <v>47</v>
      </c>
      <c r="O421" t="s">
        <v>91</v>
      </c>
      <c r="P421" t="s">
        <v>50</v>
      </c>
    </row>
    <row r="422" spans="1:16" x14ac:dyDescent="0.35">
      <c r="A422" t="s">
        <v>522</v>
      </c>
      <c r="B422" t="s">
        <v>523</v>
      </c>
      <c r="C422" t="s">
        <v>4178</v>
      </c>
      <c r="D422" t="s">
        <v>68</v>
      </c>
      <c r="E422" t="s">
        <v>45</v>
      </c>
      <c r="F422" s="1">
        <v>42921</v>
      </c>
      <c r="G422">
        <v>2009</v>
      </c>
      <c r="H422" t="s">
        <v>81</v>
      </c>
      <c r="I422" t="s">
        <v>162</v>
      </c>
      <c r="J422" t="s">
        <v>103</v>
      </c>
      <c r="K422">
        <v>11.2</v>
      </c>
      <c r="L422">
        <v>23623494</v>
      </c>
      <c r="M422">
        <v>1651311</v>
      </c>
      <c r="N422">
        <v>52</v>
      </c>
      <c r="O422" t="s">
        <v>65</v>
      </c>
      <c r="P422" t="s">
        <v>50</v>
      </c>
    </row>
    <row r="423" spans="1:16" x14ac:dyDescent="0.35">
      <c r="A423" t="s">
        <v>1394</v>
      </c>
      <c r="B423" t="s">
        <v>1395</v>
      </c>
      <c r="C423" t="s">
        <v>53</v>
      </c>
      <c r="D423" t="s">
        <v>4178</v>
      </c>
      <c r="E423" t="s">
        <v>45</v>
      </c>
      <c r="F423" s="1">
        <v>42923</v>
      </c>
      <c r="G423">
        <v>2021</v>
      </c>
      <c r="H423" t="s">
        <v>81</v>
      </c>
      <c r="I423" t="s">
        <v>71</v>
      </c>
      <c r="J423" t="s">
        <v>40</v>
      </c>
      <c r="K423">
        <v>7.2</v>
      </c>
      <c r="L423">
        <v>8658920</v>
      </c>
      <c r="M423">
        <v>4108080</v>
      </c>
      <c r="N423">
        <v>120</v>
      </c>
      <c r="O423" t="s">
        <v>49</v>
      </c>
      <c r="P423" t="s">
        <v>50</v>
      </c>
    </row>
    <row r="424" spans="1:16" x14ac:dyDescent="0.35">
      <c r="A424" t="s">
        <v>964</v>
      </c>
      <c r="B424" t="s">
        <v>965</v>
      </c>
      <c r="C424" t="s">
        <v>84</v>
      </c>
      <c r="D424" t="s">
        <v>4178</v>
      </c>
      <c r="E424" t="s">
        <v>99</v>
      </c>
      <c r="F424" s="1">
        <v>42928</v>
      </c>
      <c r="G424">
        <v>2010</v>
      </c>
      <c r="H424" t="s">
        <v>21</v>
      </c>
      <c r="I424" t="s">
        <v>4287</v>
      </c>
      <c r="J424" t="s">
        <v>72</v>
      </c>
      <c r="K424">
        <v>7.2</v>
      </c>
      <c r="L424">
        <v>23812947</v>
      </c>
      <c r="M424">
        <v>4863078</v>
      </c>
      <c r="N424">
        <v>42</v>
      </c>
      <c r="O424" t="s">
        <v>123</v>
      </c>
      <c r="P424" t="s">
        <v>4181</v>
      </c>
    </row>
    <row r="425" spans="1:16" x14ac:dyDescent="0.35">
      <c r="A425" t="s">
        <v>1146</v>
      </c>
      <c r="B425" t="s">
        <v>1147</v>
      </c>
      <c r="C425" t="s">
        <v>4178</v>
      </c>
      <c r="D425" t="s">
        <v>61</v>
      </c>
      <c r="E425" t="s">
        <v>4178</v>
      </c>
      <c r="F425" s="1">
        <v>42928</v>
      </c>
      <c r="G425">
        <v>2021</v>
      </c>
      <c r="H425" t="s">
        <v>85</v>
      </c>
      <c r="I425" t="s">
        <v>56</v>
      </c>
      <c r="J425" t="s">
        <v>103</v>
      </c>
      <c r="K425">
        <v>8.1</v>
      </c>
      <c r="L425">
        <v>12344054</v>
      </c>
      <c r="M425">
        <v>2888132</v>
      </c>
      <c r="N425">
        <v>79</v>
      </c>
      <c r="O425" t="s">
        <v>49</v>
      </c>
      <c r="P425" t="s">
        <v>50</v>
      </c>
    </row>
    <row r="426" spans="1:16" x14ac:dyDescent="0.35">
      <c r="A426" t="s">
        <v>374</v>
      </c>
      <c r="B426" t="s">
        <v>375</v>
      </c>
      <c r="C426" t="s">
        <v>53</v>
      </c>
      <c r="D426" t="s">
        <v>4178</v>
      </c>
      <c r="E426" t="s">
        <v>28</v>
      </c>
      <c r="F426" s="1">
        <v>42930</v>
      </c>
      <c r="G426">
        <v>2014</v>
      </c>
      <c r="H426" t="s">
        <v>107</v>
      </c>
      <c r="I426" t="s">
        <v>56</v>
      </c>
      <c r="J426" t="s">
        <v>48</v>
      </c>
      <c r="K426">
        <v>4.9000000000000004</v>
      </c>
      <c r="L426">
        <v>-769</v>
      </c>
      <c r="M426">
        <v>4073877</v>
      </c>
      <c r="N426">
        <v>85</v>
      </c>
      <c r="O426" t="s">
        <v>41</v>
      </c>
      <c r="P426" t="s">
        <v>4178</v>
      </c>
    </row>
    <row r="427" spans="1:16" x14ac:dyDescent="0.35">
      <c r="A427" t="s">
        <v>389</v>
      </c>
      <c r="B427" t="s">
        <v>390</v>
      </c>
      <c r="C427" t="s">
        <v>53</v>
      </c>
      <c r="D427" t="s">
        <v>68</v>
      </c>
      <c r="E427" t="s">
        <v>99</v>
      </c>
      <c r="F427" s="1">
        <v>42930</v>
      </c>
      <c r="G427">
        <v>2018</v>
      </c>
      <c r="H427" t="s">
        <v>107</v>
      </c>
      <c r="I427" t="s">
        <v>162</v>
      </c>
      <c r="J427" t="s">
        <v>153</v>
      </c>
      <c r="K427">
        <v>8.6999999999999993</v>
      </c>
      <c r="L427">
        <v>16892261</v>
      </c>
      <c r="M427">
        <v>4619455</v>
      </c>
      <c r="N427">
        <v>93</v>
      </c>
      <c r="O427" t="s">
        <v>104</v>
      </c>
      <c r="P427" t="s">
        <v>4178</v>
      </c>
    </row>
    <row r="428" spans="1:16" x14ac:dyDescent="0.35">
      <c r="A428" t="s">
        <v>4002</v>
      </c>
      <c r="B428" t="s">
        <v>4003</v>
      </c>
      <c r="C428" t="s">
        <v>53</v>
      </c>
      <c r="D428" t="s">
        <v>4178</v>
      </c>
      <c r="E428" t="s">
        <v>4196</v>
      </c>
      <c r="F428" s="1">
        <v>42933</v>
      </c>
      <c r="G428">
        <v>2005</v>
      </c>
      <c r="H428" t="s">
        <v>81</v>
      </c>
      <c r="I428" t="s">
        <v>136</v>
      </c>
      <c r="J428" t="s">
        <v>72</v>
      </c>
      <c r="K428">
        <v>7.4</v>
      </c>
      <c r="L428">
        <v>24055263</v>
      </c>
      <c r="M428">
        <v>4364372</v>
      </c>
      <c r="N428">
        <v>90</v>
      </c>
      <c r="O428" t="s">
        <v>58</v>
      </c>
      <c r="P428" t="s">
        <v>50</v>
      </c>
    </row>
    <row r="429" spans="1:16" x14ac:dyDescent="0.35">
      <c r="A429" t="s">
        <v>1455</v>
      </c>
      <c r="B429" t="s">
        <v>1456</v>
      </c>
      <c r="C429" t="s">
        <v>84</v>
      </c>
      <c r="D429" t="s">
        <v>4178</v>
      </c>
      <c r="E429" t="s">
        <v>99</v>
      </c>
      <c r="F429" s="1">
        <v>42936</v>
      </c>
      <c r="G429">
        <v>2007</v>
      </c>
      <c r="H429" t="s">
        <v>38</v>
      </c>
      <c r="I429" t="s">
        <v>4311</v>
      </c>
      <c r="J429" t="s">
        <v>48</v>
      </c>
      <c r="K429">
        <v>6.1</v>
      </c>
      <c r="L429">
        <v>4463774</v>
      </c>
      <c r="M429">
        <v>1792516</v>
      </c>
      <c r="N429">
        <v>79</v>
      </c>
      <c r="O429" t="s">
        <v>31</v>
      </c>
      <c r="P429" t="s">
        <v>87</v>
      </c>
    </row>
    <row r="430" spans="1:16" x14ac:dyDescent="0.35">
      <c r="A430" t="s">
        <v>3403</v>
      </c>
      <c r="B430" t="s">
        <v>3404</v>
      </c>
      <c r="C430" t="s">
        <v>53</v>
      </c>
      <c r="D430" t="s">
        <v>61</v>
      </c>
      <c r="E430" t="s">
        <v>62</v>
      </c>
      <c r="F430" s="1">
        <v>42936</v>
      </c>
      <c r="G430">
        <v>2015</v>
      </c>
      <c r="H430" t="s">
        <v>121</v>
      </c>
      <c r="I430" t="s">
        <v>136</v>
      </c>
      <c r="J430" t="s">
        <v>133</v>
      </c>
      <c r="K430">
        <v>7.6</v>
      </c>
      <c r="L430">
        <v>1562416</v>
      </c>
      <c r="M430">
        <v>3944239</v>
      </c>
      <c r="N430">
        <v>77</v>
      </c>
      <c r="O430" t="s">
        <v>31</v>
      </c>
      <c r="P430" t="s">
        <v>4181</v>
      </c>
    </row>
    <row r="431" spans="1:16" x14ac:dyDescent="0.35">
      <c r="A431" t="s">
        <v>1830</v>
      </c>
      <c r="B431" t="s">
        <v>1831</v>
      </c>
      <c r="C431" t="s">
        <v>53</v>
      </c>
      <c r="D431" t="s">
        <v>4178</v>
      </c>
      <c r="E431" t="s">
        <v>4178</v>
      </c>
      <c r="F431" s="1">
        <v>42939</v>
      </c>
      <c r="G431">
        <v>2026</v>
      </c>
      <c r="H431" t="s">
        <v>21</v>
      </c>
      <c r="I431" t="s">
        <v>136</v>
      </c>
      <c r="J431" t="s">
        <v>30</v>
      </c>
      <c r="K431">
        <v>7.4</v>
      </c>
      <c r="L431">
        <v>22074413</v>
      </c>
      <c r="M431">
        <v>1446637</v>
      </c>
      <c r="N431">
        <v>91</v>
      </c>
      <c r="O431" t="s">
        <v>41</v>
      </c>
      <c r="P431" t="s">
        <v>4178</v>
      </c>
    </row>
    <row r="432" spans="1:16" x14ac:dyDescent="0.35">
      <c r="A432" t="s">
        <v>304</v>
      </c>
      <c r="B432" t="s">
        <v>305</v>
      </c>
      <c r="C432" t="s">
        <v>53</v>
      </c>
      <c r="D432" t="s">
        <v>19</v>
      </c>
      <c r="E432" t="s">
        <v>62</v>
      </c>
      <c r="F432" s="1">
        <v>42940</v>
      </c>
      <c r="G432">
        <v>2016</v>
      </c>
      <c r="H432" t="s">
        <v>114</v>
      </c>
      <c r="I432" t="s">
        <v>56</v>
      </c>
      <c r="J432" t="s">
        <v>4178</v>
      </c>
      <c r="K432">
        <v>5.6</v>
      </c>
      <c r="L432">
        <v>9614390</v>
      </c>
      <c r="M432">
        <v>1000830</v>
      </c>
      <c r="N432">
        <v>52</v>
      </c>
      <c r="O432" t="s">
        <v>41</v>
      </c>
      <c r="P432" t="s">
        <v>32</v>
      </c>
    </row>
    <row r="433" spans="1:16" x14ac:dyDescent="0.35">
      <c r="A433" t="s">
        <v>1024</v>
      </c>
      <c r="B433" t="s">
        <v>4295</v>
      </c>
      <c r="C433" t="s">
        <v>53</v>
      </c>
      <c r="D433" t="s">
        <v>90</v>
      </c>
      <c r="E433" t="s">
        <v>28</v>
      </c>
      <c r="F433" s="1">
        <v>42941</v>
      </c>
      <c r="G433">
        <v>2023</v>
      </c>
      <c r="H433" t="s">
        <v>114</v>
      </c>
      <c r="I433" t="s">
        <v>64</v>
      </c>
      <c r="J433" t="s">
        <v>133</v>
      </c>
      <c r="K433">
        <v>8.6</v>
      </c>
      <c r="L433">
        <v>22955568</v>
      </c>
      <c r="M433">
        <v>202191</v>
      </c>
      <c r="N433">
        <v>42</v>
      </c>
      <c r="O433" t="s">
        <v>49</v>
      </c>
      <c r="P433" t="s">
        <v>50</v>
      </c>
    </row>
    <row r="434" spans="1:16" x14ac:dyDescent="0.35">
      <c r="A434" t="s">
        <v>1763</v>
      </c>
      <c r="B434" t="s">
        <v>1764</v>
      </c>
      <c r="C434" t="s">
        <v>4178</v>
      </c>
      <c r="D434" t="s">
        <v>4178</v>
      </c>
      <c r="E434" t="s">
        <v>4196</v>
      </c>
      <c r="F434" s="1">
        <v>42944</v>
      </c>
      <c r="G434">
        <v>2021</v>
      </c>
      <c r="H434" t="s">
        <v>81</v>
      </c>
      <c r="I434" t="s">
        <v>162</v>
      </c>
      <c r="J434" t="s">
        <v>72</v>
      </c>
      <c r="K434">
        <v>8.4</v>
      </c>
      <c r="L434">
        <v>7158965</v>
      </c>
      <c r="M434">
        <v>858431</v>
      </c>
      <c r="N434">
        <v>120</v>
      </c>
      <c r="O434" t="s">
        <v>91</v>
      </c>
      <c r="P434" t="s">
        <v>87</v>
      </c>
    </row>
    <row r="435" spans="1:16" x14ac:dyDescent="0.35">
      <c r="A435" t="s">
        <v>2721</v>
      </c>
      <c r="B435" t="s">
        <v>2722</v>
      </c>
      <c r="C435" t="s">
        <v>4178</v>
      </c>
      <c r="D435" t="s">
        <v>4178</v>
      </c>
      <c r="E435" t="s">
        <v>4196</v>
      </c>
      <c r="F435" s="1">
        <v>42945</v>
      </c>
      <c r="G435">
        <v>2004</v>
      </c>
      <c r="H435" t="s">
        <v>107</v>
      </c>
      <c r="I435" t="s">
        <v>162</v>
      </c>
      <c r="J435" t="s">
        <v>133</v>
      </c>
      <c r="K435">
        <v>5.7</v>
      </c>
      <c r="L435">
        <v>7494632</v>
      </c>
      <c r="M435">
        <v>2411763</v>
      </c>
      <c r="N435">
        <v>41</v>
      </c>
      <c r="O435" t="s">
        <v>58</v>
      </c>
      <c r="P435" t="s">
        <v>87</v>
      </c>
    </row>
    <row r="436" spans="1:16" x14ac:dyDescent="0.35">
      <c r="A436" t="s">
        <v>3011</v>
      </c>
      <c r="B436" t="s">
        <v>3012</v>
      </c>
      <c r="C436" t="s">
        <v>53</v>
      </c>
      <c r="D436" t="s">
        <v>27</v>
      </c>
      <c r="E436" t="s">
        <v>4196</v>
      </c>
      <c r="F436" s="1">
        <v>42945</v>
      </c>
      <c r="G436">
        <v>2001</v>
      </c>
      <c r="H436" t="s">
        <v>38</v>
      </c>
      <c r="I436" t="s">
        <v>56</v>
      </c>
      <c r="J436" t="s">
        <v>133</v>
      </c>
      <c r="K436">
        <v>8.8000000000000007</v>
      </c>
      <c r="L436">
        <v>20309626</v>
      </c>
      <c r="M436">
        <v>817460</v>
      </c>
      <c r="N436">
        <v>66</v>
      </c>
      <c r="O436" t="s">
        <v>65</v>
      </c>
      <c r="P436" t="s">
        <v>87</v>
      </c>
    </row>
    <row r="437" spans="1:16" x14ac:dyDescent="0.35">
      <c r="A437" t="s">
        <v>2948</v>
      </c>
      <c r="B437" t="s">
        <v>2949</v>
      </c>
      <c r="C437" t="s">
        <v>84</v>
      </c>
      <c r="D437" t="s">
        <v>36</v>
      </c>
      <c r="E437" t="s">
        <v>55</v>
      </c>
      <c r="F437" s="1">
        <v>42946</v>
      </c>
      <c r="G437">
        <v>2032</v>
      </c>
      <c r="H437" t="s">
        <v>38</v>
      </c>
      <c r="I437" t="s">
        <v>4191</v>
      </c>
      <c r="J437" t="s">
        <v>57</v>
      </c>
      <c r="K437">
        <v>9.4</v>
      </c>
      <c r="L437">
        <v>20693063</v>
      </c>
      <c r="M437">
        <v>4159306</v>
      </c>
      <c r="N437">
        <v>57</v>
      </c>
      <c r="O437" t="s">
        <v>41</v>
      </c>
      <c r="P437" t="s">
        <v>4181</v>
      </c>
    </row>
    <row r="438" spans="1:16" x14ac:dyDescent="0.35">
      <c r="A438" t="s">
        <v>3733</v>
      </c>
      <c r="B438" t="s">
        <v>3734</v>
      </c>
      <c r="C438" t="s">
        <v>84</v>
      </c>
      <c r="D438" t="s">
        <v>19</v>
      </c>
      <c r="E438" t="s">
        <v>55</v>
      </c>
      <c r="F438" s="1">
        <v>42949</v>
      </c>
      <c r="G438">
        <v>2023</v>
      </c>
      <c r="H438" t="s">
        <v>21</v>
      </c>
      <c r="I438" t="s">
        <v>4334</v>
      </c>
      <c r="J438" t="s">
        <v>103</v>
      </c>
      <c r="K438">
        <v>5</v>
      </c>
      <c r="L438">
        <v>3606122</v>
      </c>
      <c r="M438">
        <v>3252377</v>
      </c>
      <c r="N438">
        <v>45</v>
      </c>
      <c r="O438" t="s">
        <v>91</v>
      </c>
      <c r="P438" t="s">
        <v>32</v>
      </c>
    </row>
    <row r="439" spans="1:16" x14ac:dyDescent="0.35">
      <c r="A439" t="s">
        <v>905</v>
      </c>
      <c r="B439" t="s">
        <v>906</v>
      </c>
      <c r="C439" t="s">
        <v>53</v>
      </c>
      <c r="D439" t="s">
        <v>27</v>
      </c>
      <c r="E439" t="s">
        <v>62</v>
      </c>
      <c r="F439" s="1">
        <v>42951</v>
      </c>
      <c r="G439">
        <v>2015</v>
      </c>
      <c r="H439" t="s">
        <v>46</v>
      </c>
      <c r="I439" t="s">
        <v>118</v>
      </c>
      <c r="J439" t="s">
        <v>103</v>
      </c>
      <c r="K439">
        <v>8.3000000000000007</v>
      </c>
      <c r="L439">
        <v>3944681</v>
      </c>
      <c r="M439">
        <v>843996</v>
      </c>
      <c r="N439">
        <v>92</v>
      </c>
      <c r="O439" t="s">
        <v>31</v>
      </c>
      <c r="P439" t="s">
        <v>32</v>
      </c>
    </row>
    <row r="440" spans="1:16" x14ac:dyDescent="0.35">
      <c r="A440" t="s">
        <v>2356</v>
      </c>
      <c r="B440" t="s">
        <v>2357</v>
      </c>
      <c r="C440" t="s">
        <v>84</v>
      </c>
      <c r="D440" t="s">
        <v>75</v>
      </c>
      <c r="E440" t="s">
        <v>55</v>
      </c>
      <c r="F440" s="1">
        <v>42960</v>
      </c>
      <c r="G440">
        <v>2005</v>
      </c>
      <c r="H440" t="s">
        <v>38</v>
      </c>
      <c r="I440" t="s">
        <v>4348</v>
      </c>
      <c r="J440" t="s">
        <v>133</v>
      </c>
      <c r="K440">
        <v>6.6</v>
      </c>
      <c r="L440">
        <v>9993462</v>
      </c>
      <c r="M440">
        <v>4274629</v>
      </c>
      <c r="N440">
        <v>43</v>
      </c>
      <c r="O440" t="s">
        <v>104</v>
      </c>
      <c r="P440" t="s">
        <v>32</v>
      </c>
    </row>
    <row r="441" spans="1:16" x14ac:dyDescent="0.35">
      <c r="A441" t="s">
        <v>1304</v>
      </c>
      <c r="B441" t="s">
        <v>1305</v>
      </c>
      <c r="C441" t="s">
        <v>84</v>
      </c>
      <c r="D441" t="s">
        <v>19</v>
      </c>
      <c r="E441" t="s">
        <v>99</v>
      </c>
      <c r="F441" s="1">
        <v>42964</v>
      </c>
      <c r="G441">
        <v>2005</v>
      </c>
      <c r="H441" t="s">
        <v>63</v>
      </c>
      <c r="I441" t="s">
        <v>4220</v>
      </c>
      <c r="J441" t="s">
        <v>103</v>
      </c>
      <c r="K441">
        <v>7.5</v>
      </c>
      <c r="L441">
        <v>9530995</v>
      </c>
      <c r="M441">
        <v>4253393</v>
      </c>
      <c r="N441">
        <v>59</v>
      </c>
      <c r="O441" t="s">
        <v>49</v>
      </c>
      <c r="P441" t="s">
        <v>4178</v>
      </c>
    </row>
    <row r="442" spans="1:16" x14ac:dyDescent="0.35">
      <c r="A442" t="s">
        <v>2079</v>
      </c>
      <c r="B442" t="s">
        <v>2080</v>
      </c>
      <c r="C442" t="s">
        <v>53</v>
      </c>
      <c r="D442" t="s">
        <v>4178</v>
      </c>
      <c r="E442" t="s">
        <v>131</v>
      </c>
      <c r="F442" s="1">
        <v>42965</v>
      </c>
      <c r="G442">
        <v>2017</v>
      </c>
      <c r="H442" t="s">
        <v>121</v>
      </c>
      <c r="I442" t="s">
        <v>118</v>
      </c>
      <c r="J442" t="s">
        <v>23</v>
      </c>
      <c r="K442">
        <v>5.8</v>
      </c>
      <c r="L442">
        <v>16122903</v>
      </c>
      <c r="M442">
        <v>1724489</v>
      </c>
      <c r="N442">
        <v>58</v>
      </c>
      <c r="O442" t="s">
        <v>49</v>
      </c>
      <c r="P442" t="s">
        <v>32</v>
      </c>
    </row>
    <row r="443" spans="1:16" x14ac:dyDescent="0.35">
      <c r="A443" t="s">
        <v>25</v>
      </c>
      <c r="B443" t="s">
        <v>4179</v>
      </c>
      <c r="C443" t="s">
        <v>84</v>
      </c>
      <c r="D443" t="s">
        <v>27</v>
      </c>
      <c r="E443" t="s">
        <v>28</v>
      </c>
      <c r="F443" s="1">
        <v>42969</v>
      </c>
      <c r="G443">
        <v>2017</v>
      </c>
      <c r="H443" t="s">
        <v>4178</v>
      </c>
      <c r="I443" t="s">
        <v>4180</v>
      </c>
      <c r="J443" t="s">
        <v>30</v>
      </c>
      <c r="K443">
        <v>5.5</v>
      </c>
      <c r="L443">
        <v>23904472</v>
      </c>
      <c r="M443">
        <v>527712</v>
      </c>
      <c r="N443">
        <v>79</v>
      </c>
      <c r="O443" t="s">
        <v>31</v>
      </c>
      <c r="P443" t="s">
        <v>32</v>
      </c>
    </row>
    <row r="444" spans="1:16" x14ac:dyDescent="0.35">
      <c r="A444" t="s">
        <v>371</v>
      </c>
      <c r="B444" t="s">
        <v>372</v>
      </c>
      <c r="C444" t="s">
        <v>84</v>
      </c>
      <c r="D444" t="s">
        <v>68</v>
      </c>
      <c r="E444" t="s">
        <v>45</v>
      </c>
      <c r="F444" s="1">
        <v>42971</v>
      </c>
      <c r="G444">
        <v>2024</v>
      </c>
      <c r="H444" t="s">
        <v>63</v>
      </c>
      <c r="I444" t="s">
        <v>4232</v>
      </c>
      <c r="J444" t="s">
        <v>96</v>
      </c>
      <c r="K444">
        <v>6.9</v>
      </c>
      <c r="L444">
        <v>6933131</v>
      </c>
      <c r="M444">
        <v>961313</v>
      </c>
      <c r="N444">
        <v>40</v>
      </c>
      <c r="O444" t="s">
        <v>41</v>
      </c>
      <c r="P444" t="s">
        <v>32</v>
      </c>
    </row>
    <row r="445" spans="1:16" x14ac:dyDescent="0.35">
      <c r="A445" t="s">
        <v>604</v>
      </c>
      <c r="B445" t="s">
        <v>605</v>
      </c>
      <c r="C445" t="s">
        <v>53</v>
      </c>
      <c r="D445" t="s">
        <v>19</v>
      </c>
      <c r="E445" t="s">
        <v>37</v>
      </c>
      <c r="F445" s="1">
        <v>42974</v>
      </c>
      <c r="G445">
        <v>2000</v>
      </c>
      <c r="H445" t="s">
        <v>114</v>
      </c>
      <c r="I445" t="s">
        <v>39</v>
      </c>
      <c r="J445" t="s">
        <v>133</v>
      </c>
      <c r="K445">
        <v>7.1</v>
      </c>
      <c r="L445">
        <v>15514434</v>
      </c>
      <c r="M445">
        <v>3371915</v>
      </c>
      <c r="N445">
        <v>70</v>
      </c>
      <c r="O445" t="s">
        <v>58</v>
      </c>
      <c r="P445" t="s">
        <v>50</v>
      </c>
    </row>
    <row r="446" spans="1:16" x14ac:dyDescent="0.35">
      <c r="A446" t="s">
        <v>588</v>
      </c>
      <c r="B446" t="s">
        <v>589</v>
      </c>
      <c r="C446" t="s">
        <v>4178</v>
      </c>
      <c r="D446" t="s">
        <v>54</v>
      </c>
      <c r="E446" t="s">
        <v>55</v>
      </c>
      <c r="F446" s="1">
        <v>42984</v>
      </c>
      <c r="G446">
        <v>2022</v>
      </c>
      <c r="H446" t="s">
        <v>38</v>
      </c>
      <c r="I446" t="s">
        <v>64</v>
      </c>
      <c r="J446" t="s">
        <v>72</v>
      </c>
      <c r="K446">
        <v>7.3</v>
      </c>
      <c r="L446">
        <v>3574009</v>
      </c>
      <c r="M446">
        <v>588653</v>
      </c>
      <c r="N446">
        <v>67</v>
      </c>
      <c r="O446" t="s">
        <v>49</v>
      </c>
      <c r="P446" t="s">
        <v>87</v>
      </c>
    </row>
    <row r="447" spans="1:16" x14ac:dyDescent="0.35">
      <c r="A447" t="s">
        <v>648</v>
      </c>
      <c r="B447" t="s">
        <v>649</v>
      </c>
      <c r="C447" t="s">
        <v>84</v>
      </c>
      <c r="D447" t="s">
        <v>36</v>
      </c>
      <c r="E447" t="s">
        <v>131</v>
      </c>
      <c r="F447" s="1">
        <v>42985</v>
      </c>
      <c r="G447">
        <v>2012</v>
      </c>
      <c r="H447" t="s">
        <v>63</v>
      </c>
      <c r="I447" t="s">
        <v>4240</v>
      </c>
      <c r="J447" t="s">
        <v>57</v>
      </c>
      <c r="K447">
        <v>9.4</v>
      </c>
      <c r="L447">
        <v>3328911</v>
      </c>
      <c r="M447">
        <v>4648580</v>
      </c>
      <c r="N447">
        <v>77</v>
      </c>
      <c r="O447" t="s">
        <v>41</v>
      </c>
      <c r="P447" t="s">
        <v>4181</v>
      </c>
    </row>
    <row r="448" spans="1:16" x14ac:dyDescent="0.35">
      <c r="A448" t="s">
        <v>1856</v>
      </c>
      <c r="B448" t="s">
        <v>1857</v>
      </c>
      <c r="C448" t="s">
        <v>84</v>
      </c>
      <c r="D448" t="s">
        <v>54</v>
      </c>
      <c r="E448" t="s">
        <v>113</v>
      </c>
      <c r="F448" s="1">
        <v>42985</v>
      </c>
      <c r="G448">
        <v>2024</v>
      </c>
      <c r="H448" t="s">
        <v>46</v>
      </c>
      <c r="I448" t="s">
        <v>4285</v>
      </c>
      <c r="J448" t="s">
        <v>30</v>
      </c>
      <c r="K448">
        <v>9.1999999999999993</v>
      </c>
      <c r="L448">
        <v>11153050</v>
      </c>
      <c r="M448">
        <v>3266507</v>
      </c>
      <c r="N448">
        <v>50</v>
      </c>
      <c r="O448" t="s">
        <v>104</v>
      </c>
      <c r="P448" t="s">
        <v>4181</v>
      </c>
    </row>
    <row r="449" spans="1:16" x14ac:dyDescent="0.35">
      <c r="A449" t="s">
        <v>295</v>
      </c>
      <c r="B449" t="s">
        <v>296</v>
      </c>
      <c r="C449" t="s">
        <v>84</v>
      </c>
      <c r="D449" t="s">
        <v>94</v>
      </c>
      <c r="E449" t="s">
        <v>4196</v>
      </c>
      <c r="F449" s="1">
        <v>42987</v>
      </c>
      <c r="G449">
        <v>2002</v>
      </c>
      <c r="H449" t="s">
        <v>121</v>
      </c>
      <c r="I449" t="s">
        <v>4190</v>
      </c>
      <c r="J449" t="s">
        <v>23</v>
      </c>
      <c r="K449">
        <v>9.6</v>
      </c>
      <c r="L449">
        <v>13200860</v>
      </c>
      <c r="M449">
        <v>1533349</v>
      </c>
      <c r="N449">
        <v>50</v>
      </c>
      <c r="O449" t="s">
        <v>41</v>
      </c>
      <c r="P449" t="s">
        <v>4181</v>
      </c>
    </row>
    <row r="450" spans="1:16" x14ac:dyDescent="0.35">
      <c r="A450" t="s">
        <v>1269</v>
      </c>
      <c r="B450" t="s">
        <v>1270</v>
      </c>
      <c r="C450" t="s">
        <v>53</v>
      </c>
      <c r="D450" t="s">
        <v>4178</v>
      </c>
      <c r="E450" t="s">
        <v>62</v>
      </c>
      <c r="F450" s="1">
        <v>42988</v>
      </c>
      <c r="G450">
        <v>2014</v>
      </c>
      <c r="H450" t="s">
        <v>107</v>
      </c>
      <c r="I450" t="s">
        <v>64</v>
      </c>
      <c r="J450" t="s">
        <v>48</v>
      </c>
      <c r="K450">
        <v>7.4</v>
      </c>
      <c r="L450">
        <v>7960583</v>
      </c>
      <c r="M450">
        <v>4107246</v>
      </c>
      <c r="N450">
        <v>44</v>
      </c>
      <c r="O450" t="s">
        <v>58</v>
      </c>
      <c r="P450" t="s">
        <v>32</v>
      </c>
    </row>
    <row r="451" spans="1:16" x14ac:dyDescent="0.35">
      <c r="A451" t="s">
        <v>2623</v>
      </c>
      <c r="B451" t="s">
        <v>2624</v>
      </c>
      <c r="C451" t="s">
        <v>4178</v>
      </c>
      <c r="D451" t="s">
        <v>54</v>
      </c>
      <c r="E451" t="s">
        <v>4196</v>
      </c>
      <c r="F451" s="1">
        <v>42988</v>
      </c>
      <c r="G451">
        <v>2021</v>
      </c>
      <c r="H451" t="s">
        <v>107</v>
      </c>
      <c r="I451" t="s">
        <v>39</v>
      </c>
      <c r="J451" t="s">
        <v>133</v>
      </c>
      <c r="K451">
        <v>9.6</v>
      </c>
      <c r="L451">
        <v>2517384</v>
      </c>
      <c r="M451">
        <v>27703</v>
      </c>
      <c r="N451">
        <v>61</v>
      </c>
      <c r="O451" t="s">
        <v>41</v>
      </c>
      <c r="P451" t="s">
        <v>87</v>
      </c>
    </row>
    <row r="452" spans="1:16" x14ac:dyDescent="0.35">
      <c r="A452" t="s">
        <v>101</v>
      </c>
      <c r="B452" t="s">
        <v>102</v>
      </c>
      <c r="C452" t="s">
        <v>53</v>
      </c>
      <c r="D452" t="s">
        <v>27</v>
      </c>
      <c r="E452" t="s">
        <v>62</v>
      </c>
      <c r="F452" s="1">
        <v>42990</v>
      </c>
      <c r="G452">
        <v>2010</v>
      </c>
      <c r="H452" t="s">
        <v>4178</v>
      </c>
      <c r="I452" t="s">
        <v>95</v>
      </c>
      <c r="J452" t="s">
        <v>103</v>
      </c>
      <c r="K452">
        <v>8.6</v>
      </c>
      <c r="L452">
        <v>1916649</v>
      </c>
      <c r="M452">
        <v>2085521</v>
      </c>
      <c r="N452">
        <v>42</v>
      </c>
      <c r="O452" t="s">
        <v>104</v>
      </c>
      <c r="P452" t="s">
        <v>4178</v>
      </c>
    </row>
    <row r="453" spans="1:16" x14ac:dyDescent="0.35">
      <c r="A453" t="s">
        <v>565</v>
      </c>
      <c r="B453" t="s">
        <v>566</v>
      </c>
      <c r="C453" t="s">
        <v>84</v>
      </c>
      <c r="D453" t="s">
        <v>90</v>
      </c>
      <c r="E453" t="s">
        <v>131</v>
      </c>
      <c r="F453" s="1">
        <v>42992</v>
      </c>
      <c r="G453">
        <v>2013</v>
      </c>
      <c r="H453" t="s">
        <v>63</v>
      </c>
      <c r="I453" t="s">
        <v>4209</v>
      </c>
      <c r="J453" t="s">
        <v>103</v>
      </c>
      <c r="K453">
        <v>6.2</v>
      </c>
      <c r="L453">
        <v>5638682</v>
      </c>
      <c r="M453">
        <v>1966536</v>
      </c>
      <c r="N453">
        <v>45</v>
      </c>
      <c r="O453" t="s">
        <v>4178</v>
      </c>
      <c r="P453" t="s">
        <v>32</v>
      </c>
    </row>
    <row r="454" spans="1:16" x14ac:dyDescent="0.35">
      <c r="A454" t="s">
        <v>1352</v>
      </c>
      <c r="B454" t="s">
        <v>1353</v>
      </c>
      <c r="C454" t="s">
        <v>53</v>
      </c>
      <c r="D454" t="s">
        <v>75</v>
      </c>
      <c r="E454" t="s">
        <v>4178</v>
      </c>
      <c r="F454" s="1">
        <v>42997</v>
      </c>
      <c r="G454">
        <v>2010</v>
      </c>
      <c r="H454" t="s">
        <v>21</v>
      </c>
      <c r="I454" t="s">
        <v>56</v>
      </c>
      <c r="J454" t="s">
        <v>23</v>
      </c>
      <c r="K454">
        <v>6.8</v>
      </c>
      <c r="L454">
        <v>13795239</v>
      </c>
      <c r="M454">
        <v>3212357</v>
      </c>
      <c r="N454">
        <v>55</v>
      </c>
      <c r="O454" t="s">
        <v>24</v>
      </c>
      <c r="P454" t="s">
        <v>32</v>
      </c>
    </row>
    <row r="455" spans="1:16" x14ac:dyDescent="0.35">
      <c r="A455" t="s">
        <v>1526</v>
      </c>
      <c r="B455" t="s">
        <v>1527</v>
      </c>
      <c r="C455" t="s">
        <v>84</v>
      </c>
      <c r="D455" t="s">
        <v>27</v>
      </c>
      <c r="E455" t="s">
        <v>99</v>
      </c>
      <c r="F455" s="1">
        <v>42997</v>
      </c>
      <c r="G455">
        <v>2005</v>
      </c>
      <c r="H455" t="s">
        <v>121</v>
      </c>
      <c r="I455" t="s">
        <v>4203</v>
      </c>
      <c r="J455" t="s">
        <v>57</v>
      </c>
      <c r="K455">
        <v>6.7</v>
      </c>
      <c r="L455">
        <v>13176724</v>
      </c>
      <c r="M455">
        <v>99749</v>
      </c>
      <c r="N455">
        <v>93</v>
      </c>
      <c r="O455" t="s">
        <v>91</v>
      </c>
      <c r="P455" t="s">
        <v>4181</v>
      </c>
    </row>
    <row r="456" spans="1:16" x14ac:dyDescent="0.35">
      <c r="A456" t="s">
        <v>3117</v>
      </c>
      <c r="B456" t="s">
        <v>3118</v>
      </c>
      <c r="C456" t="s">
        <v>53</v>
      </c>
      <c r="D456" t="s">
        <v>54</v>
      </c>
      <c r="E456" t="s">
        <v>4196</v>
      </c>
      <c r="F456" s="1">
        <v>42997</v>
      </c>
      <c r="G456">
        <v>2017</v>
      </c>
      <c r="H456" t="s">
        <v>46</v>
      </c>
      <c r="I456" t="s">
        <v>64</v>
      </c>
      <c r="J456" t="s">
        <v>133</v>
      </c>
      <c r="K456">
        <v>7.5</v>
      </c>
      <c r="L456">
        <v>13518818</v>
      </c>
      <c r="M456">
        <v>4029878</v>
      </c>
      <c r="N456">
        <v>54</v>
      </c>
      <c r="O456" t="s">
        <v>41</v>
      </c>
      <c r="P456" t="s">
        <v>32</v>
      </c>
    </row>
    <row r="457" spans="1:16" x14ac:dyDescent="0.35">
      <c r="A457" t="s">
        <v>1524</v>
      </c>
      <c r="B457" t="s">
        <v>1525</v>
      </c>
      <c r="C457" t="s">
        <v>84</v>
      </c>
      <c r="D457" t="s">
        <v>156</v>
      </c>
      <c r="E457" t="s">
        <v>4178</v>
      </c>
      <c r="F457" s="1">
        <v>42999</v>
      </c>
      <c r="G457">
        <v>2017</v>
      </c>
      <c r="H457" t="s">
        <v>121</v>
      </c>
      <c r="I457" t="s">
        <v>4247</v>
      </c>
      <c r="J457" t="s">
        <v>23</v>
      </c>
      <c r="K457">
        <v>7.3</v>
      </c>
      <c r="L457">
        <v>288565</v>
      </c>
      <c r="M457">
        <v>2541288</v>
      </c>
      <c r="N457">
        <v>96</v>
      </c>
      <c r="O457" t="s">
        <v>123</v>
      </c>
      <c r="P457" t="s">
        <v>50</v>
      </c>
    </row>
    <row r="458" spans="1:16" x14ac:dyDescent="0.35">
      <c r="A458" t="s">
        <v>1651</v>
      </c>
      <c r="B458" t="s">
        <v>1652</v>
      </c>
      <c r="C458" t="s">
        <v>84</v>
      </c>
      <c r="D458" t="s">
        <v>36</v>
      </c>
      <c r="E458" t="s">
        <v>37</v>
      </c>
      <c r="F458" s="1">
        <v>42999</v>
      </c>
      <c r="G458">
        <v>2011</v>
      </c>
      <c r="H458" t="s">
        <v>63</v>
      </c>
      <c r="I458" t="s">
        <v>4248</v>
      </c>
      <c r="J458" t="s">
        <v>72</v>
      </c>
      <c r="K458">
        <v>6.1</v>
      </c>
      <c r="L458">
        <v>21968175</v>
      </c>
      <c r="M458">
        <v>2604854</v>
      </c>
      <c r="N458">
        <v>93</v>
      </c>
      <c r="O458" t="s">
        <v>65</v>
      </c>
      <c r="P458" t="s">
        <v>4178</v>
      </c>
    </row>
    <row r="459" spans="1:16" x14ac:dyDescent="0.35">
      <c r="A459" t="s">
        <v>2539</v>
      </c>
      <c r="B459" t="s">
        <v>2540</v>
      </c>
      <c r="C459" t="s">
        <v>4178</v>
      </c>
      <c r="D459" t="s">
        <v>94</v>
      </c>
      <c r="E459" t="s">
        <v>99</v>
      </c>
      <c r="F459" s="1">
        <v>43000</v>
      </c>
      <c r="G459">
        <v>2025</v>
      </c>
      <c r="H459" t="s">
        <v>46</v>
      </c>
      <c r="I459" t="s">
        <v>56</v>
      </c>
      <c r="J459" t="s">
        <v>133</v>
      </c>
      <c r="K459">
        <v>7.6</v>
      </c>
      <c r="L459">
        <v>12455226</v>
      </c>
      <c r="M459">
        <v>3910734</v>
      </c>
      <c r="N459">
        <v>120</v>
      </c>
      <c r="O459" t="s">
        <v>91</v>
      </c>
      <c r="P459" t="s">
        <v>4178</v>
      </c>
    </row>
    <row r="460" spans="1:16" x14ac:dyDescent="0.35">
      <c r="A460" t="s">
        <v>1575</v>
      </c>
      <c r="B460" t="s">
        <v>1576</v>
      </c>
      <c r="C460" t="s">
        <v>84</v>
      </c>
      <c r="D460" t="s">
        <v>94</v>
      </c>
      <c r="E460" t="s">
        <v>99</v>
      </c>
      <c r="F460" s="1">
        <v>43001</v>
      </c>
      <c r="G460">
        <v>2017</v>
      </c>
      <c r="H460" t="s">
        <v>121</v>
      </c>
      <c r="I460" t="s">
        <v>4273</v>
      </c>
      <c r="J460" t="s">
        <v>133</v>
      </c>
      <c r="K460">
        <v>8.3000000000000007</v>
      </c>
      <c r="L460">
        <v>1610211</v>
      </c>
      <c r="M460">
        <v>1147940</v>
      </c>
      <c r="N460">
        <v>83</v>
      </c>
      <c r="O460" t="s">
        <v>4178</v>
      </c>
      <c r="P460" t="s">
        <v>50</v>
      </c>
    </row>
    <row r="461" spans="1:16" x14ac:dyDescent="0.35">
      <c r="A461" t="s">
        <v>2709</v>
      </c>
      <c r="B461" t="s">
        <v>2710</v>
      </c>
      <c r="C461" t="s">
        <v>53</v>
      </c>
      <c r="D461" t="s">
        <v>61</v>
      </c>
      <c r="E461" t="s">
        <v>4178</v>
      </c>
      <c r="F461" s="1">
        <v>43004</v>
      </c>
      <c r="G461">
        <v>2020</v>
      </c>
      <c r="H461" t="s">
        <v>81</v>
      </c>
      <c r="I461" t="s">
        <v>95</v>
      </c>
      <c r="J461" t="s">
        <v>72</v>
      </c>
      <c r="K461">
        <v>8.3000000000000007</v>
      </c>
      <c r="L461">
        <v>19196206</v>
      </c>
      <c r="M461">
        <v>1260493</v>
      </c>
      <c r="N461">
        <v>54</v>
      </c>
      <c r="O461" t="s">
        <v>104</v>
      </c>
      <c r="P461" t="s">
        <v>50</v>
      </c>
    </row>
    <row r="462" spans="1:16" x14ac:dyDescent="0.35">
      <c r="A462" t="s">
        <v>3329</v>
      </c>
      <c r="B462" t="s">
        <v>3330</v>
      </c>
      <c r="C462" t="s">
        <v>84</v>
      </c>
      <c r="D462" t="s">
        <v>27</v>
      </c>
      <c r="E462" t="s">
        <v>99</v>
      </c>
      <c r="F462" s="1">
        <v>43007</v>
      </c>
      <c r="G462">
        <v>2015</v>
      </c>
      <c r="H462" t="s">
        <v>4178</v>
      </c>
      <c r="I462" t="s">
        <v>4220</v>
      </c>
      <c r="J462" t="s">
        <v>48</v>
      </c>
      <c r="K462">
        <v>8.6</v>
      </c>
      <c r="L462">
        <v>17965951</v>
      </c>
      <c r="M462">
        <v>1869245</v>
      </c>
      <c r="N462">
        <v>77</v>
      </c>
      <c r="O462" t="s">
        <v>49</v>
      </c>
      <c r="P462" t="s">
        <v>4181</v>
      </c>
    </row>
    <row r="463" spans="1:16" x14ac:dyDescent="0.35">
      <c r="A463" t="s">
        <v>2595</v>
      </c>
      <c r="B463" t="s">
        <v>2596</v>
      </c>
      <c r="C463" t="s">
        <v>4178</v>
      </c>
      <c r="D463" t="s">
        <v>90</v>
      </c>
      <c r="E463" t="s">
        <v>62</v>
      </c>
      <c r="F463" s="1">
        <v>43009</v>
      </c>
      <c r="G463">
        <v>2008</v>
      </c>
      <c r="H463" t="s">
        <v>107</v>
      </c>
      <c r="I463" t="s">
        <v>162</v>
      </c>
      <c r="J463" t="s">
        <v>72</v>
      </c>
      <c r="K463">
        <v>11.2</v>
      </c>
      <c r="L463">
        <v>19141779</v>
      </c>
      <c r="M463">
        <v>3579862</v>
      </c>
      <c r="N463">
        <v>87</v>
      </c>
      <c r="O463" t="s">
        <v>4178</v>
      </c>
      <c r="P463" t="s">
        <v>4181</v>
      </c>
    </row>
    <row r="464" spans="1:16" x14ac:dyDescent="0.35">
      <c r="A464" t="s">
        <v>2936</v>
      </c>
      <c r="B464" t="s">
        <v>2937</v>
      </c>
      <c r="C464" t="s">
        <v>84</v>
      </c>
      <c r="D464" t="s">
        <v>4178</v>
      </c>
      <c r="E464" t="s">
        <v>4178</v>
      </c>
      <c r="F464" s="1">
        <v>43011</v>
      </c>
      <c r="G464">
        <v>2011</v>
      </c>
      <c r="H464" t="s">
        <v>38</v>
      </c>
      <c r="I464" t="s">
        <v>4237</v>
      </c>
      <c r="J464" t="s">
        <v>133</v>
      </c>
      <c r="K464">
        <v>8.6</v>
      </c>
      <c r="L464">
        <v>6661089</v>
      </c>
      <c r="M464">
        <v>1219564</v>
      </c>
      <c r="N464">
        <v>100</v>
      </c>
      <c r="O464" t="s">
        <v>4178</v>
      </c>
      <c r="P464" t="s">
        <v>4178</v>
      </c>
    </row>
    <row r="465" spans="1:16" x14ac:dyDescent="0.35">
      <c r="A465" t="s">
        <v>3986</v>
      </c>
      <c r="B465" t="s">
        <v>3987</v>
      </c>
      <c r="C465" t="s">
        <v>84</v>
      </c>
      <c r="D465" t="s">
        <v>36</v>
      </c>
      <c r="E465" t="s">
        <v>4178</v>
      </c>
      <c r="F465" s="1">
        <v>43013</v>
      </c>
      <c r="G465">
        <v>2007</v>
      </c>
      <c r="H465" t="s">
        <v>114</v>
      </c>
      <c r="I465" t="s">
        <v>4188</v>
      </c>
      <c r="J465" t="s">
        <v>72</v>
      </c>
      <c r="K465">
        <v>7</v>
      </c>
      <c r="L465">
        <v>2414324</v>
      </c>
      <c r="M465">
        <v>2271276</v>
      </c>
      <c r="N465">
        <v>49</v>
      </c>
      <c r="O465" t="s">
        <v>41</v>
      </c>
      <c r="P465" t="s">
        <v>32</v>
      </c>
    </row>
    <row r="466" spans="1:16" x14ac:dyDescent="0.35">
      <c r="A466" t="s">
        <v>3321</v>
      </c>
      <c r="B466" t="s">
        <v>3322</v>
      </c>
      <c r="C466" t="s">
        <v>53</v>
      </c>
      <c r="D466" t="s">
        <v>90</v>
      </c>
      <c r="E466" t="s">
        <v>131</v>
      </c>
      <c r="F466" s="1">
        <v>43022</v>
      </c>
      <c r="G466">
        <v>2006</v>
      </c>
      <c r="H466" t="s">
        <v>38</v>
      </c>
      <c r="I466" t="s">
        <v>95</v>
      </c>
      <c r="J466" t="s">
        <v>96</v>
      </c>
      <c r="K466">
        <v>5</v>
      </c>
      <c r="L466">
        <v>16607042</v>
      </c>
      <c r="M466">
        <v>496811</v>
      </c>
      <c r="N466">
        <v>120</v>
      </c>
      <c r="O466" t="s">
        <v>24</v>
      </c>
      <c r="P466" t="s">
        <v>87</v>
      </c>
    </row>
    <row r="467" spans="1:16" x14ac:dyDescent="0.35">
      <c r="A467" t="s">
        <v>3681</v>
      </c>
      <c r="B467" t="s">
        <v>3682</v>
      </c>
      <c r="C467" t="s">
        <v>84</v>
      </c>
      <c r="D467" t="s">
        <v>4178</v>
      </c>
      <c r="E467" t="s">
        <v>113</v>
      </c>
      <c r="F467" s="1">
        <v>43022</v>
      </c>
      <c r="G467">
        <v>2021</v>
      </c>
      <c r="H467" t="s">
        <v>81</v>
      </c>
      <c r="I467" t="s">
        <v>4178</v>
      </c>
      <c r="J467" t="s">
        <v>30</v>
      </c>
      <c r="K467">
        <v>7.7</v>
      </c>
      <c r="L467">
        <v>3867220</v>
      </c>
      <c r="M467">
        <v>1323533</v>
      </c>
      <c r="N467">
        <v>87</v>
      </c>
      <c r="O467" t="s">
        <v>24</v>
      </c>
      <c r="P467" t="s">
        <v>4181</v>
      </c>
    </row>
    <row r="468" spans="1:16" x14ac:dyDescent="0.35">
      <c r="A468" t="s">
        <v>1721</v>
      </c>
      <c r="B468" t="s">
        <v>1722</v>
      </c>
      <c r="C468" t="s">
        <v>53</v>
      </c>
      <c r="D468" t="s">
        <v>4178</v>
      </c>
      <c r="E468" t="s">
        <v>62</v>
      </c>
      <c r="F468" s="1">
        <v>43028</v>
      </c>
      <c r="G468">
        <v>2011</v>
      </c>
      <c r="H468" t="s">
        <v>107</v>
      </c>
      <c r="I468" t="s">
        <v>71</v>
      </c>
      <c r="J468" t="s">
        <v>23</v>
      </c>
      <c r="K468">
        <v>6.5</v>
      </c>
      <c r="L468">
        <v>9828743</v>
      </c>
      <c r="M468">
        <v>4174827</v>
      </c>
      <c r="N468">
        <v>49</v>
      </c>
      <c r="O468" t="s">
        <v>4178</v>
      </c>
      <c r="P468" t="s">
        <v>4178</v>
      </c>
    </row>
    <row r="469" spans="1:16" x14ac:dyDescent="0.35">
      <c r="A469" t="s">
        <v>3697</v>
      </c>
      <c r="B469" t="s">
        <v>3698</v>
      </c>
      <c r="C469" t="s">
        <v>4178</v>
      </c>
      <c r="D469" t="s">
        <v>27</v>
      </c>
      <c r="E469" t="s">
        <v>62</v>
      </c>
      <c r="F469" s="1">
        <v>43028</v>
      </c>
      <c r="G469">
        <v>2026</v>
      </c>
      <c r="H469" t="s">
        <v>107</v>
      </c>
      <c r="I469" t="s">
        <v>162</v>
      </c>
      <c r="J469" t="s">
        <v>57</v>
      </c>
      <c r="K469">
        <v>5.8</v>
      </c>
      <c r="L469">
        <v>20451193</v>
      </c>
      <c r="M469">
        <v>1339547</v>
      </c>
      <c r="N469">
        <v>74</v>
      </c>
      <c r="O469" t="s">
        <v>123</v>
      </c>
      <c r="P469" t="s">
        <v>4181</v>
      </c>
    </row>
    <row r="470" spans="1:16" x14ac:dyDescent="0.35">
      <c r="A470" t="s">
        <v>1567</v>
      </c>
      <c r="B470" t="s">
        <v>1568</v>
      </c>
      <c r="C470" t="s">
        <v>53</v>
      </c>
      <c r="D470" t="s">
        <v>90</v>
      </c>
      <c r="E470" t="s">
        <v>28</v>
      </c>
      <c r="F470" s="1">
        <v>43031</v>
      </c>
      <c r="G470">
        <v>2010</v>
      </c>
      <c r="H470" t="s">
        <v>4178</v>
      </c>
      <c r="I470" t="s">
        <v>136</v>
      </c>
      <c r="J470" t="s">
        <v>153</v>
      </c>
      <c r="K470">
        <v>9.8000000000000007</v>
      </c>
      <c r="L470">
        <v>19793239</v>
      </c>
      <c r="M470">
        <v>201103</v>
      </c>
      <c r="N470">
        <v>66</v>
      </c>
      <c r="O470" t="s">
        <v>49</v>
      </c>
      <c r="P470" t="s">
        <v>32</v>
      </c>
    </row>
    <row r="471" spans="1:16" x14ac:dyDescent="0.35">
      <c r="A471" t="s">
        <v>2858</v>
      </c>
      <c r="B471" t="s">
        <v>2859</v>
      </c>
      <c r="C471" t="s">
        <v>84</v>
      </c>
      <c r="D471" t="s">
        <v>27</v>
      </c>
      <c r="E471" t="s">
        <v>4178</v>
      </c>
      <c r="F471" s="1">
        <v>43032</v>
      </c>
      <c r="G471">
        <v>2026</v>
      </c>
      <c r="H471" t="s">
        <v>4178</v>
      </c>
      <c r="I471" t="s">
        <v>4306</v>
      </c>
      <c r="J471" t="s">
        <v>103</v>
      </c>
      <c r="K471">
        <v>6.5</v>
      </c>
      <c r="L471">
        <v>20242762</v>
      </c>
      <c r="M471">
        <v>2847465</v>
      </c>
      <c r="N471">
        <v>44</v>
      </c>
      <c r="O471" t="s">
        <v>41</v>
      </c>
      <c r="P471" t="s">
        <v>4178</v>
      </c>
    </row>
    <row r="472" spans="1:16" x14ac:dyDescent="0.35">
      <c r="A472" t="s">
        <v>3078</v>
      </c>
      <c r="B472" t="s">
        <v>3079</v>
      </c>
      <c r="C472" t="s">
        <v>84</v>
      </c>
      <c r="D472" t="s">
        <v>156</v>
      </c>
      <c r="E472" t="s">
        <v>131</v>
      </c>
      <c r="F472" s="1">
        <v>43033</v>
      </c>
      <c r="G472">
        <v>2011</v>
      </c>
      <c r="H472" t="s">
        <v>107</v>
      </c>
      <c r="I472" t="s">
        <v>4218</v>
      </c>
      <c r="J472" t="s">
        <v>133</v>
      </c>
      <c r="K472">
        <v>9.6999999999999993</v>
      </c>
      <c r="L472">
        <v>17832738</v>
      </c>
      <c r="M472">
        <v>3837676</v>
      </c>
      <c r="N472">
        <v>65</v>
      </c>
      <c r="O472" t="s">
        <v>58</v>
      </c>
      <c r="P472" t="s">
        <v>4181</v>
      </c>
    </row>
    <row r="473" spans="1:16" x14ac:dyDescent="0.35">
      <c r="A473" t="s">
        <v>3093</v>
      </c>
      <c r="B473" t="s">
        <v>3094</v>
      </c>
      <c r="C473" t="s">
        <v>4178</v>
      </c>
      <c r="D473" t="s">
        <v>27</v>
      </c>
      <c r="E473" t="s">
        <v>4196</v>
      </c>
      <c r="F473" s="1">
        <v>43037</v>
      </c>
      <c r="G473">
        <v>2001</v>
      </c>
      <c r="H473" t="s">
        <v>107</v>
      </c>
      <c r="I473" t="s">
        <v>56</v>
      </c>
      <c r="J473" t="s">
        <v>103</v>
      </c>
      <c r="K473">
        <v>8.9</v>
      </c>
      <c r="L473">
        <v>19452024</v>
      </c>
      <c r="M473">
        <v>152568</v>
      </c>
      <c r="N473">
        <v>90</v>
      </c>
      <c r="O473" t="s">
        <v>49</v>
      </c>
      <c r="P473" t="s">
        <v>87</v>
      </c>
    </row>
    <row r="474" spans="1:16" x14ac:dyDescent="0.35">
      <c r="A474" t="s">
        <v>2742</v>
      </c>
      <c r="B474" t="s">
        <v>2743</v>
      </c>
      <c r="C474" t="s">
        <v>4178</v>
      </c>
      <c r="D474" t="s">
        <v>4178</v>
      </c>
      <c r="E474" t="s">
        <v>20</v>
      </c>
      <c r="F474" s="1">
        <v>43040</v>
      </c>
      <c r="G474">
        <v>2016</v>
      </c>
      <c r="H474" t="s">
        <v>4178</v>
      </c>
      <c r="I474" t="s">
        <v>71</v>
      </c>
      <c r="J474" t="s">
        <v>103</v>
      </c>
      <c r="K474">
        <v>6.4</v>
      </c>
      <c r="L474">
        <v>14577910</v>
      </c>
      <c r="M474">
        <v>4824670</v>
      </c>
      <c r="N474">
        <v>43</v>
      </c>
      <c r="O474" t="s">
        <v>24</v>
      </c>
      <c r="P474" t="s">
        <v>4181</v>
      </c>
    </row>
    <row r="475" spans="1:16" x14ac:dyDescent="0.35">
      <c r="A475" t="s">
        <v>3005</v>
      </c>
      <c r="B475" t="s">
        <v>4370</v>
      </c>
      <c r="C475" t="s">
        <v>84</v>
      </c>
      <c r="D475" t="s">
        <v>54</v>
      </c>
      <c r="E475" t="s">
        <v>20</v>
      </c>
      <c r="F475" s="1">
        <v>43045</v>
      </c>
      <c r="G475">
        <v>2024</v>
      </c>
      <c r="H475" t="s">
        <v>63</v>
      </c>
      <c r="I475" t="s">
        <v>4215</v>
      </c>
      <c r="J475" t="s">
        <v>48</v>
      </c>
      <c r="K475">
        <v>7.9</v>
      </c>
      <c r="L475">
        <v>1503232</v>
      </c>
      <c r="M475">
        <v>1710125</v>
      </c>
      <c r="N475">
        <v>76</v>
      </c>
      <c r="O475" t="s">
        <v>41</v>
      </c>
      <c r="P475" t="s">
        <v>87</v>
      </c>
    </row>
    <row r="476" spans="1:16" x14ac:dyDescent="0.35">
      <c r="A476" t="s">
        <v>3401</v>
      </c>
      <c r="B476" t="s">
        <v>3402</v>
      </c>
      <c r="C476" t="s">
        <v>84</v>
      </c>
      <c r="D476" t="s">
        <v>156</v>
      </c>
      <c r="E476" t="s">
        <v>113</v>
      </c>
      <c r="F476" s="1">
        <v>43051</v>
      </c>
      <c r="G476">
        <v>2024</v>
      </c>
      <c r="H476" t="s">
        <v>107</v>
      </c>
      <c r="I476" t="s">
        <v>4269</v>
      </c>
      <c r="J476" t="s">
        <v>72</v>
      </c>
      <c r="K476">
        <v>4.5</v>
      </c>
      <c r="L476">
        <v>13116865</v>
      </c>
      <c r="M476">
        <v>2778319</v>
      </c>
      <c r="N476">
        <v>72</v>
      </c>
      <c r="O476" t="s">
        <v>31</v>
      </c>
      <c r="P476" t="s">
        <v>32</v>
      </c>
    </row>
    <row r="477" spans="1:16" x14ac:dyDescent="0.35">
      <c r="A477" t="s">
        <v>4011</v>
      </c>
      <c r="B477" t="s">
        <v>4012</v>
      </c>
      <c r="C477" t="s">
        <v>84</v>
      </c>
      <c r="D477" t="s">
        <v>19</v>
      </c>
      <c r="E477" t="s">
        <v>20</v>
      </c>
      <c r="F477" s="1">
        <v>43051</v>
      </c>
      <c r="G477">
        <v>2012</v>
      </c>
      <c r="H477" t="s">
        <v>85</v>
      </c>
      <c r="I477" t="s">
        <v>4207</v>
      </c>
      <c r="J477" t="s">
        <v>153</v>
      </c>
      <c r="K477">
        <v>5</v>
      </c>
      <c r="L477">
        <v>6601867</v>
      </c>
      <c r="M477">
        <v>4395762</v>
      </c>
      <c r="N477">
        <v>72</v>
      </c>
      <c r="O477" t="s">
        <v>123</v>
      </c>
      <c r="P477" t="s">
        <v>4178</v>
      </c>
    </row>
    <row r="478" spans="1:16" x14ac:dyDescent="0.35">
      <c r="A478" t="s">
        <v>2587</v>
      </c>
      <c r="B478" t="s">
        <v>2588</v>
      </c>
      <c r="C478" t="s">
        <v>4178</v>
      </c>
      <c r="D478" t="s">
        <v>36</v>
      </c>
      <c r="E478" t="s">
        <v>99</v>
      </c>
      <c r="F478" s="1">
        <v>43052</v>
      </c>
      <c r="G478">
        <v>2025</v>
      </c>
      <c r="H478" t="s">
        <v>38</v>
      </c>
      <c r="I478" t="s">
        <v>162</v>
      </c>
      <c r="J478" t="s">
        <v>133</v>
      </c>
      <c r="K478">
        <v>8.4</v>
      </c>
      <c r="L478">
        <v>13463435</v>
      </c>
      <c r="M478">
        <v>1171029</v>
      </c>
      <c r="N478">
        <v>91</v>
      </c>
      <c r="O478" t="s">
        <v>41</v>
      </c>
      <c r="P478" t="s">
        <v>32</v>
      </c>
    </row>
    <row r="479" spans="1:16" x14ac:dyDescent="0.35">
      <c r="A479" t="s">
        <v>4095</v>
      </c>
      <c r="B479" t="s">
        <v>4096</v>
      </c>
      <c r="C479" t="s">
        <v>53</v>
      </c>
      <c r="D479" t="s">
        <v>61</v>
      </c>
      <c r="E479" t="s">
        <v>4196</v>
      </c>
      <c r="F479" s="1">
        <v>43052</v>
      </c>
      <c r="G479">
        <v>2004</v>
      </c>
      <c r="H479" t="s">
        <v>81</v>
      </c>
      <c r="I479" t="s">
        <v>95</v>
      </c>
      <c r="J479" t="s">
        <v>40</v>
      </c>
      <c r="K479">
        <v>6.6</v>
      </c>
      <c r="L479">
        <v>21176187</v>
      </c>
      <c r="M479">
        <v>774200</v>
      </c>
      <c r="N479">
        <v>80</v>
      </c>
      <c r="O479" t="s">
        <v>104</v>
      </c>
      <c r="P479" t="s">
        <v>4178</v>
      </c>
    </row>
    <row r="480" spans="1:16" x14ac:dyDescent="0.35">
      <c r="A480" t="s">
        <v>3972</v>
      </c>
      <c r="B480" t="s">
        <v>3973</v>
      </c>
      <c r="C480" t="s">
        <v>84</v>
      </c>
      <c r="D480" t="s">
        <v>4178</v>
      </c>
      <c r="E480" t="s">
        <v>28</v>
      </c>
      <c r="F480" s="1">
        <v>43053</v>
      </c>
      <c r="G480">
        <v>2003</v>
      </c>
      <c r="H480" t="s">
        <v>63</v>
      </c>
      <c r="I480" t="s">
        <v>4270</v>
      </c>
      <c r="J480" t="s">
        <v>23</v>
      </c>
      <c r="K480">
        <v>8.8000000000000007</v>
      </c>
      <c r="L480">
        <v>9496221</v>
      </c>
      <c r="M480">
        <v>1556810</v>
      </c>
      <c r="N480">
        <v>59</v>
      </c>
      <c r="O480" t="s">
        <v>58</v>
      </c>
      <c r="P480" t="s">
        <v>4181</v>
      </c>
    </row>
    <row r="481" spans="1:16" x14ac:dyDescent="0.35">
      <c r="A481" t="s">
        <v>881</v>
      </c>
      <c r="B481" t="s">
        <v>882</v>
      </c>
      <c r="C481" t="s">
        <v>84</v>
      </c>
      <c r="D481" t="s">
        <v>61</v>
      </c>
      <c r="E481" t="s">
        <v>45</v>
      </c>
      <c r="F481" s="1">
        <v>43054</v>
      </c>
      <c r="G481">
        <v>2026</v>
      </c>
      <c r="H481" t="s">
        <v>107</v>
      </c>
      <c r="I481" t="s">
        <v>4248</v>
      </c>
      <c r="J481" t="s">
        <v>48</v>
      </c>
      <c r="K481">
        <v>8.6</v>
      </c>
      <c r="L481">
        <v>13882603</v>
      </c>
      <c r="M481">
        <v>1729289</v>
      </c>
      <c r="N481">
        <v>84</v>
      </c>
      <c r="O481" t="s">
        <v>31</v>
      </c>
      <c r="P481" t="s">
        <v>50</v>
      </c>
    </row>
    <row r="482" spans="1:16" x14ac:dyDescent="0.35">
      <c r="A482" t="s">
        <v>3054</v>
      </c>
      <c r="B482" t="s">
        <v>3055</v>
      </c>
      <c r="C482" t="s">
        <v>84</v>
      </c>
      <c r="D482" t="s">
        <v>36</v>
      </c>
      <c r="E482" t="s">
        <v>28</v>
      </c>
      <c r="F482" s="1">
        <v>43058</v>
      </c>
      <c r="G482">
        <v>2024</v>
      </c>
      <c r="H482" t="s">
        <v>121</v>
      </c>
      <c r="I482" t="s">
        <v>4281</v>
      </c>
      <c r="J482" t="s">
        <v>40</v>
      </c>
      <c r="K482">
        <v>9.1999999999999993</v>
      </c>
      <c r="L482">
        <v>6263018</v>
      </c>
      <c r="M482">
        <v>3921785</v>
      </c>
      <c r="N482">
        <v>65</v>
      </c>
      <c r="O482" t="s">
        <v>123</v>
      </c>
      <c r="P482" t="s">
        <v>32</v>
      </c>
    </row>
    <row r="483" spans="1:16" x14ac:dyDescent="0.35">
      <c r="A483" t="s">
        <v>3932</v>
      </c>
      <c r="B483" t="s">
        <v>3933</v>
      </c>
      <c r="C483" t="s">
        <v>53</v>
      </c>
      <c r="D483" t="s">
        <v>90</v>
      </c>
      <c r="E483" t="s">
        <v>55</v>
      </c>
      <c r="F483" s="1">
        <v>43058</v>
      </c>
      <c r="G483">
        <v>2012</v>
      </c>
      <c r="H483" t="s">
        <v>63</v>
      </c>
      <c r="I483" t="s">
        <v>56</v>
      </c>
      <c r="J483" t="s">
        <v>40</v>
      </c>
      <c r="K483">
        <v>7.2</v>
      </c>
      <c r="L483">
        <v>9448106</v>
      </c>
      <c r="M483">
        <v>2373092</v>
      </c>
      <c r="N483">
        <v>64</v>
      </c>
      <c r="O483" t="s">
        <v>65</v>
      </c>
      <c r="P483" t="s">
        <v>50</v>
      </c>
    </row>
    <row r="484" spans="1:16" x14ac:dyDescent="0.35">
      <c r="A484" t="s">
        <v>1626</v>
      </c>
      <c r="B484" t="s">
        <v>1627</v>
      </c>
      <c r="C484" t="s">
        <v>84</v>
      </c>
      <c r="D484" t="s">
        <v>90</v>
      </c>
      <c r="E484" t="s">
        <v>131</v>
      </c>
      <c r="F484" s="1">
        <v>43063</v>
      </c>
      <c r="G484">
        <v>2022</v>
      </c>
      <c r="H484" t="s">
        <v>4178</v>
      </c>
      <c r="I484" t="s">
        <v>4258</v>
      </c>
      <c r="J484" t="s">
        <v>103</v>
      </c>
      <c r="K484">
        <v>4.7</v>
      </c>
      <c r="L484">
        <v>1790622</v>
      </c>
      <c r="M484">
        <v>1251462</v>
      </c>
      <c r="N484">
        <v>64</v>
      </c>
      <c r="O484" t="s">
        <v>41</v>
      </c>
      <c r="P484" t="s">
        <v>32</v>
      </c>
    </row>
    <row r="485" spans="1:16" x14ac:dyDescent="0.35">
      <c r="A485" t="s">
        <v>1586</v>
      </c>
      <c r="B485" t="s">
        <v>1587</v>
      </c>
      <c r="C485" t="s">
        <v>53</v>
      </c>
      <c r="D485" t="s">
        <v>94</v>
      </c>
      <c r="E485" t="s">
        <v>99</v>
      </c>
      <c r="F485" s="1">
        <v>43064</v>
      </c>
      <c r="G485">
        <v>2020</v>
      </c>
      <c r="H485" t="s">
        <v>85</v>
      </c>
      <c r="I485" t="s">
        <v>56</v>
      </c>
      <c r="J485" t="s">
        <v>72</v>
      </c>
      <c r="K485">
        <v>7.8</v>
      </c>
      <c r="L485">
        <v>24439948</v>
      </c>
      <c r="M485">
        <v>2612482</v>
      </c>
      <c r="N485">
        <v>99</v>
      </c>
      <c r="O485" t="s">
        <v>24</v>
      </c>
      <c r="P485" t="s">
        <v>32</v>
      </c>
    </row>
    <row r="486" spans="1:16" x14ac:dyDescent="0.35">
      <c r="A486" t="s">
        <v>3844</v>
      </c>
      <c r="B486" t="s">
        <v>3845</v>
      </c>
      <c r="C486" t="s">
        <v>84</v>
      </c>
      <c r="D486" t="s">
        <v>27</v>
      </c>
      <c r="E486" t="s">
        <v>62</v>
      </c>
      <c r="F486" s="1">
        <v>43064</v>
      </c>
      <c r="G486">
        <v>2026</v>
      </c>
      <c r="H486" t="s">
        <v>63</v>
      </c>
      <c r="I486" t="s">
        <v>4354</v>
      </c>
      <c r="J486" t="s">
        <v>153</v>
      </c>
      <c r="K486">
        <v>8.8000000000000007</v>
      </c>
      <c r="L486">
        <v>11032926</v>
      </c>
      <c r="M486">
        <v>2973330</v>
      </c>
      <c r="N486">
        <v>74</v>
      </c>
      <c r="O486" t="s">
        <v>65</v>
      </c>
      <c r="P486" t="s">
        <v>4178</v>
      </c>
    </row>
    <row r="487" spans="1:16" x14ac:dyDescent="0.35">
      <c r="A487" t="s">
        <v>1588</v>
      </c>
      <c r="B487" t="s">
        <v>1589</v>
      </c>
      <c r="C487" t="s">
        <v>84</v>
      </c>
      <c r="D487" t="s">
        <v>90</v>
      </c>
      <c r="E487" t="s">
        <v>69</v>
      </c>
      <c r="F487" s="1">
        <v>43069</v>
      </c>
      <c r="G487">
        <v>2000</v>
      </c>
      <c r="H487" t="s">
        <v>21</v>
      </c>
      <c r="I487" t="s">
        <v>4254</v>
      </c>
      <c r="J487" t="s">
        <v>72</v>
      </c>
      <c r="K487">
        <v>8.5</v>
      </c>
      <c r="L487">
        <v>24807100</v>
      </c>
      <c r="M487">
        <v>1241100</v>
      </c>
      <c r="N487">
        <v>90</v>
      </c>
      <c r="O487" t="s">
        <v>91</v>
      </c>
      <c r="P487" t="s">
        <v>87</v>
      </c>
    </row>
    <row r="488" spans="1:16" x14ac:dyDescent="0.35">
      <c r="A488" t="s">
        <v>1125</v>
      </c>
      <c r="B488" t="s">
        <v>1126</v>
      </c>
      <c r="C488" t="s">
        <v>84</v>
      </c>
      <c r="D488" t="s">
        <v>27</v>
      </c>
      <c r="E488" t="s">
        <v>80</v>
      </c>
      <c r="F488" s="1">
        <v>43072</v>
      </c>
      <c r="G488">
        <v>2024</v>
      </c>
      <c r="H488" t="s">
        <v>114</v>
      </c>
      <c r="I488" t="s">
        <v>4254</v>
      </c>
      <c r="J488" t="s">
        <v>4178</v>
      </c>
      <c r="K488">
        <v>6.7</v>
      </c>
      <c r="L488">
        <v>20014024</v>
      </c>
      <c r="M488">
        <v>2547365</v>
      </c>
      <c r="N488">
        <v>61</v>
      </c>
      <c r="O488" t="s">
        <v>104</v>
      </c>
      <c r="P488" t="s">
        <v>50</v>
      </c>
    </row>
    <row r="489" spans="1:16" x14ac:dyDescent="0.35">
      <c r="A489" t="s">
        <v>2483</v>
      </c>
      <c r="B489" t="s">
        <v>2484</v>
      </c>
      <c r="C489" t="s">
        <v>84</v>
      </c>
      <c r="D489" t="s">
        <v>61</v>
      </c>
      <c r="E489" t="s">
        <v>4196</v>
      </c>
      <c r="F489" s="1">
        <v>43072</v>
      </c>
      <c r="G489">
        <v>2007</v>
      </c>
      <c r="H489" t="s">
        <v>63</v>
      </c>
      <c r="I489" t="s">
        <v>4256</v>
      </c>
      <c r="J489" t="s">
        <v>4178</v>
      </c>
      <c r="K489">
        <v>7.3</v>
      </c>
      <c r="L489">
        <v>21414967</v>
      </c>
      <c r="M489">
        <v>2156623</v>
      </c>
      <c r="N489">
        <v>92</v>
      </c>
      <c r="O489" t="s">
        <v>49</v>
      </c>
      <c r="P489" t="s">
        <v>87</v>
      </c>
    </row>
    <row r="490" spans="1:16" x14ac:dyDescent="0.35">
      <c r="A490" t="s">
        <v>1761</v>
      </c>
      <c r="B490" t="s">
        <v>1762</v>
      </c>
      <c r="C490" t="s">
        <v>84</v>
      </c>
      <c r="D490" t="s">
        <v>54</v>
      </c>
      <c r="E490" t="s">
        <v>62</v>
      </c>
      <c r="F490" s="1">
        <v>43073</v>
      </c>
      <c r="G490">
        <v>2010</v>
      </c>
      <c r="H490" t="s">
        <v>21</v>
      </c>
      <c r="I490" t="s">
        <v>4273</v>
      </c>
      <c r="J490" t="s">
        <v>96</v>
      </c>
      <c r="K490">
        <v>9.1999999999999993</v>
      </c>
      <c r="L490">
        <v>15692567</v>
      </c>
      <c r="M490">
        <v>3972908</v>
      </c>
      <c r="N490">
        <v>43</v>
      </c>
      <c r="O490" t="s">
        <v>123</v>
      </c>
      <c r="P490" t="s">
        <v>50</v>
      </c>
    </row>
    <row r="491" spans="1:16" x14ac:dyDescent="0.35">
      <c r="A491" t="s">
        <v>1940</v>
      </c>
      <c r="B491" t="s">
        <v>1941</v>
      </c>
      <c r="C491" t="s">
        <v>84</v>
      </c>
      <c r="D491" t="s">
        <v>27</v>
      </c>
      <c r="E491" t="s">
        <v>80</v>
      </c>
      <c r="F491" s="1">
        <v>43074</v>
      </c>
      <c r="G491">
        <v>2000</v>
      </c>
      <c r="H491" t="s">
        <v>107</v>
      </c>
      <c r="I491" t="s">
        <v>4185</v>
      </c>
      <c r="J491" t="s">
        <v>4178</v>
      </c>
      <c r="K491">
        <v>6.6</v>
      </c>
      <c r="L491">
        <v>14702249</v>
      </c>
      <c r="M491">
        <v>3067362</v>
      </c>
      <c r="N491">
        <v>79</v>
      </c>
      <c r="O491" t="s">
        <v>65</v>
      </c>
      <c r="P491" t="s">
        <v>87</v>
      </c>
    </row>
    <row r="492" spans="1:16" x14ac:dyDescent="0.35">
      <c r="A492" t="s">
        <v>2963</v>
      </c>
      <c r="B492" t="s">
        <v>2964</v>
      </c>
      <c r="C492" t="s">
        <v>53</v>
      </c>
      <c r="D492" t="s">
        <v>156</v>
      </c>
      <c r="E492" t="s">
        <v>55</v>
      </c>
      <c r="F492" s="1">
        <v>43074</v>
      </c>
      <c r="G492">
        <v>2025</v>
      </c>
      <c r="H492" t="s">
        <v>107</v>
      </c>
      <c r="I492" t="s">
        <v>95</v>
      </c>
      <c r="J492" t="s">
        <v>40</v>
      </c>
      <c r="K492">
        <v>6.9</v>
      </c>
      <c r="L492">
        <v>405339</v>
      </c>
      <c r="M492">
        <v>4719617</v>
      </c>
      <c r="N492">
        <v>69</v>
      </c>
      <c r="O492" t="s">
        <v>41</v>
      </c>
      <c r="P492" t="s">
        <v>87</v>
      </c>
    </row>
    <row r="493" spans="1:16" x14ac:dyDescent="0.35">
      <c r="A493" t="s">
        <v>355</v>
      </c>
      <c r="B493" t="s">
        <v>356</v>
      </c>
      <c r="C493" t="s">
        <v>84</v>
      </c>
      <c r="D493" t="s">
        <v>68</v>
      </c>
      <c r="E493" t="s">
        <v>4178</v>
      </c>
      <c r="F493" s="1">
        <v>43077</v>
      </c>
      <c r="G493">
        <v>2008</v>
      </c>
      <c r="H493" t="s">
        <v>107</v>
      </c>
      <c r="I493" t="s">
        <v>4195</v>
      </c>
      <c r="J493" t="s">
        <v>30</v>
      </c>
      <c r="K493">
        <v>7.3</v>
      </c>
      <c r="L493">
        <v>17129266</v>
      </c>
      <c r="M493">
        <v>1783931</v>
      </c>
      <c r="N493">
        <v>88</v>
      </c>
      <c r="O493" t="s">
        <v>104</v>
      </c>
      <c r="P493" t="s">
        <v>4178</v>
      </c>
    </row>
    <row r="494" spans="1:16" x14ac:dyDescent="0.35">
      <c r="A494" t="s">
        <v>97</v>
      </c>
      <c r="B494" t="s">
        <v>98</v>
      </c>
      <c r="C494" t="s">
        <v>53</v>
      </c>
      <c r="D494" t="s">
        <v>36</v>
      </c>
      <c r="E494" t="s">
        <v>99</v>
      </c>
      <c r="F494" s="1">
        <v>43078</v>
      </c>
      <c r="G494">
        <v>2023</v>
      </c>
      <c r="H494" t="s">
        <v>85</v>
      </c>
      <c r="I494" t="s">
        <v>39</v>
      </c>
      <c r="J494" t="s">
        <v>72</v>
      </c>
      <c r="K494">
        <v>9.3000000000000007</v>
      </c>
      <c r="L494">
        <v>16842545</v>
      </c>
      <c r="M494">
        <v>1097921</v>
      </c>
      <c r="N494">
        <v>73</v>
      </c>
      <c r="O494" t="s">
        <v>65</v>
      </c>
      <c r="P494" t="s">
        <v>87</v>
      </c>
    </row>
    <row r="495" spans="1:16" x14ac:dyDescent="0.35">
      <c r="A495" t="s">
        <v>2358</v>
      </c>
      <c r="B495" t="s">
        <v>2357</v>
      </c>
      <c r="C495" t="s">
        <v>53</v>
      </c>
      <c r="D495" t="s">
        <v>36</v>
      </c>
      <c r="E495" t="s">
        <v>28</v>
      </c>
      <c r="F495" s="1">
        <v>43078</v>
      </c>
      <c r="G495">
        <v>2016</v>
      </c>
      <c r="H495" t="s">
        <v>38</v>
      </c>
      <c r="I495" t="s">
        <v>64</v>
      </c>
      <c r="J495" t="s">
        <v>153</v>
      </c>
      <c r="K495">
        <v>5.9</v>
      </c>
      <c r="L495">
        <v>12706390</v>
      </c>
      <c r="M495">
        <v>2509501</v>
      </c>
      <c r="N495">
        <v>57</v>
      </c>
      <c r="O495" t="s">
        <v>24</v>
      </c>
      <c r="P495" t="s">
        <v>4181</v>
      </c>
    </row>
    <row r="496" spans="1:16" x14ac:dyDescent="0.35">
      <c r="A496" t="s">
        <v>2101</v>
      </c>
      <c r="B496" t="s">
        <v>2102</v>
      </c>
      <c r="C496" t="s">
        <v>53</v>
      </c>
      <c r="D496" t="s">
        <v>27</v>
      </c>
      <c r="E496" t="s">
        <v>20</v>
      </c>
      <c r="F496" s="1">
        <v>43079</v>
      </c>
      <c r="G496">
        <v>2022</v>
      </c>
      <c r="H496" t="s">
        <v>114</v>
      </c>
      <c r="I496" t="s">
        <v>162</v>
      </c>
      <c r="J496" t="s">
        <v>30</v>
      </c>
      <c r="K496">
        <v>8.5</v>
      </c>
      <c r="L496">
        <v>10293112</v>
      </c>
      <c r="M496">
        <v>3346762</v>
      </c>
      <c r="N496">
        <v>86</v>
      </c>
      <c r="O496" t="s">
        <v>123</v>
      </c>
      <c r="P496" t="s">
        <v>4178</v>
      </c>
    </row>
    <row r="497" spans="1:16" x14ac:dyDescent="0.35">
      <c r="A497" t="s">
        <v>3035</v>
      </c>
      <c r="B497" t="s">
        <v>3036</v>
      </c>
      <c r="C497" t="s">
        <v>53</v>
      </c>
      <c r="D497" t="s">
        <v>19</v>
      </c>
      <c r="E497" t="s">
        <v>55</v>
      </c>
      <c r="F497" s="1">
        <v>43082</v>
      </c>
      <c r="G497">
        <v>2012</v>
      </c>
      <c r="H497" t="s">
        <v>21</v>
      </c>
      <c r="I497" t="s">
        <v>95</v>
      </c>
      <c r="J497" t="s">
        <v>57</v>
      </c>
      <c r="K497">
        <v>4.7</v>
      </c>
      <c r="L497">
        <v>23149505</v>
      </c>
      <c r="M497">
        <v>2736719</v>
      </c>
      <c r="N497">
        <v>66</v>
      </c>
      <c r="O497" t="s">
        <v>24</v>
      </c>
      <c r="P497" t="s">
        <v>4181</v>
      </c>
    </row>
    <row r="498" spans="1:16" x14ac:dyDescent="0.35">
      <c r="A498" t="s">
        <v>703</v>
      </c>
      <c r="B498" t="s">
        <v>704</v>
      </c>
      <c r="C498" t="s">
        <v>53</v>
      </c>
      <c r="D498" t="s">
        <v>4178</v>
      </c>
      <c r="E498" t="s">
        <v>45</v>
      </c>
      <c r="F498" s="1">
        <v>43083</v>
      </c>
      <c r="G498">
        <v>2002</v>
      </c>
      <c r="H498" t="s">
        <v>46</v>
      </c>
      <c r="I498" t="s">
        <v>4178</v>
      </c>
      <c r="J498" t="s">
        <v>133</v>
      </c>
      <c r="K498">
        <v>5.3</v>
      </c>
      <c r="L498">
        <v>9363140</v>
      </c>
      <c r="M498">
        <v>2523496</v>
      </c>
      <c r="N498">
        <v>97</v>
      </c>
      <c r="O498" t="s">
        <v>104</v>
      </c>
      <c r="P498" t="s">
        <v>4181</v>
      </c>
    </row>
    <row r="499" spans="1:16" x14ac:dyDescent="0.35">
      <c r="A499" t="s">
        <v>4015</v>
      </c>
      <c r="B499" t="s">
        <v>4016</v>
      </c>
      <c r="C499" t="s">
        <v>53</v>
      </c>
      <c r="D499" t="s">
        <v>4178</v>
      </c>
      <c r="E499" t="s">
        <v>62</v>
      </c>
      <c r="F499" s="1">
        <v>43084</v>
      </c>
      <c r="G499">
        <v>2022</v>
      </c>
      <c r="H499" t="s">
        <v>107</v>
      </c>
      <c r="I499" t="s">
        <v>64</v>
      </c>
      <c r="J499" t="s">
        <v>153</v>
      </c>
      <c r="K499">
        <v>9.6</v>
      </c>
      <c r="L499">
        <v>23286725</v>
      </c>
      <c r="M499">
        <v>4515202</v>
      </c>
      <c r="N499">
        <v>41</v>
      </c>
      <c r="O499" t="s">
        <v>104</v>
      </c>
      <c r="P499" t="s">
        <v>87</v>
      </c>
    </row>
    <row r="500" spans="1:16" x14ac:dyDescent="0.35">
      <c r="A500" t="s">
        <v>866</v>
      </c>
      <c r="B500" t="s">
        <v>867</v>
      </c>
      <c r="C500" t="s">
        <v>53</v>
      </c>
      <c r="D500" t="s">
        <v>61</v>
      </c>
      <c r="E500" t="s">
        <v>4196</v>
      </c>
      <c r="F500" s="1">
        <v>43085</v>
      </c>
      <c r="G500">
        <v>2014</v>
      </c>
      <c r="H500" t="s">
        <v>107</v>
      </c>
      <c r="I500" t="s">
        <v>64</v>
      </c>
      <c r="J500" t="s">
        <v>133</v>
      </c>
      <c r="K500">
        <v>4.5</v>
      </c>
      <c r="L500">
        <v>20105997</v>
      </c>
      <c r="M500">
        <v>3058714</v>
      </c>
      <c r="N500">
        <v>43</v>
      </c>
      <c r="O500" t="s">
        <v>58</v>
      </c>
      <c r="P500" t="s">
        <v>50</v>
      </c>
    </row>
    <row r="501" spans="1:16" x14ac:dyDescent="0.35">
      <c r="A501" t="s">
        <v>3050</v>
      </c>
      <c r="B501" t="s">
        <v>3051</v>
      </c>
      <c r="C501" t="s">
        <v>4178</v>
      </c>
      <c r="D501" t="s">
        <v>19</v>
      </c>
      <c r="E501" t="s">
        <v>80</v>
      </c>
      <c r="F501" s="1">
        <v>43085</v>
      </c>
      <c r="G501">
        <v>2023</v>
      </c>
      <c r="H501" t="s">
        <v>85</v>
      </c>
      <c r="I501" t="s">
        <v>118</v>
      </c>
      <c r="J501" t="s">
        <v>40</v>
      </c>
      <c r="K501">
        <v>6.8</v>
      </c>
      <c r="L501">
        <v>15408177</v>
      </c>
      <c r="M501">
        <v>2184415</v>
      </c>
      <c r="N501">
        <v>42</v>
      </c>
      <c r="O501" t="s">
        <v>49</v>
      </c>
      <c r="P501" t="s">
        <v>4178</v>
      </c>
    </row>
    <row r="502" spans="1:16" x14ac:dyDescent="0.35">
      <c r="A502" t="s">
        <v>1348</v>
      </c>
      <c r="B502" t="s">
        <v>1349</v>
      </c>
      <c r="C502" t="s">
        <v>84</v>
      </c>
      <c r="D502" t="s">
        <v>19</v>
      </c>
      <c r="E502" t="s">
        <v>69</v>
      </c>
      <c r="F502" s="1">
        <v>43089</v>
      </c>
      <c r="G502">
        <v>2010</v>
      </c>
      <c r="H502" t="s">
        <v>107</v>
      </c>
      <c r="I502" t="s">
        <v>4229</v>
      </c>
      <c r="J502" t="s">
        <v>72</v>
      </c>
      <c r="K502">
        <v>8.6999999999999993</v>
      </c>
      <c r="L502">
        <v>22985488</v>
      </c>
      <c r="M502">
        <v>2778123</v>
      </c>
      <c r="N502">
        <v>45</v>
      </c>
      <c r="O502" t="s">
        <v>104</v>
      </c>
      <c r="P502" t="s">
        <v>50</v>
      </c>
    </row>
    <row r="503" spans="1:16" x14ac:dyDescent="0.35">
      <c r="A503" t="s">
        <v>2192</v>
      </c>
      <c r="B503" t="s">
        <v>2193</v>
      </c>
      <c r="C503" t="s">
        <v>84</v>
      </c>
      <c r="D503" t="s">
        <v>68</v>
      </c>
      <c r="E503" t="s">
        <v>62</v>
      </c>
      <c r="F503" s="1">
        <v>43090</v>
      </c>
      <c r="G503">
        <v>2020</v>
      </c>
      <c r="H503" t="s">
        <v>121</v>
      </c>
      <c r="I503" t="s">
        <v>4306</v>
      </c>
      <c r="J503" t="s">
        <v>72</v>
      </c>
      <c r="K503">
        <v>5.9</v>
      </c>
      <c r="L503">
        <v>175897</v>
      </c>
      <c r="M503">
        <v>1335443</v>
      </c>
      <c r="N503">
        <v>77</v>
      </c>
      <c r="O503" t="s">
        <v>104</v>
      </c>
      <c r="P503" t="s">
        <v>4181</v>
      </c>
    </row>
    <row r="504" spans="1:16" x14ac:dyDescent="0.35">
      <c r="A504" t="s">
        <v>2377</v>
      </c>
      <c r="B504" t="s">
        <v>2378</v>
      </c>
      <c r="C504" t="s">
        <v>84</v>
      </c>
      <c r="D504" t="s">
        <v>19</v>
      </c>
      <c r="E504" t="s">
        <v>131</v>
      </c>
      <c r="F504" s="1">
        <v>43094</v>
      </c>
      <c r="G504">
        <v>2006</v>
      </c>
      <c r="H504" t="s">
        <v>107</v>
      </c>
      <c r="I504" t="s">
        <v>4311</v>
      </c>
      <c r="J504" t="s">
        <v>30</v>
      </c>
      <c r="K504">
        <v>5</v>
      </c>
      <c r="L504">
        <v>14250858</v>
      </c>
      <c r="M504">
        <v>1195791</v>
      </c>
      <c r="N504">
        <v>81</v>
      </c>
      <c r="O504" t="s">
        <v>58</v>
      </c>
      <c r="P504" t="s">
        <v>50</v>
      </c>
    </row>
    <row r="505" spans="1:16" x14ac:dyDescent="0.35">
      <c r="A505" t="s">
        <v>1727</v>
      </c>
      <c r="B505" t="s">
        <v>1728</v>
      </c>
      <c r="C505" t="s">
        <v>53</v>
      </c>
      <c r="D505" t="s">
        <v>36</v>
      </c>
      <c r="E505" t="s">
        <v>28</v>
      </c>
      <c r="F505" s="1">
        <v>43098</v>
      </c>
      <c r="G505">
        <v>2020</v>
      </c>
      <c r="H505" t="s">
        <v>114</v>
      </c>
      <c r="I505" t="s">
        <v>95</v>
      </c>
      <c r="J505" t="s">
        <v>4178</v>
      </c>
      <c r="K505">
        <v>11.2</v>
      </c>
      <c r="L505">
        <v>11385066</v>
      </c>
      <c r="M505">
        <v>1277759</v>
      </c>
      <c r="N505">
        <v>68</v>
      </c>
      <c r="O505" t="s">
        <v>65</v>
      </c>
      <c r="P505" t="s">
        <v>4178</v>
      </c>
    </row>
    <row r="506" spans="1:16" x14ac:dyDescent="0.35">
      <c r="A506" t="s">
        <v>1617</v>
      </c>
      <c r="B506" t="s">
        <v>1618</v>
      </c>
      <c r="C506" t="s">
        <v>4178</v>
      </c>
      <c r="D506" t="s">
        <v>36</v>
      </c>
      <c r="E506" t="s">
        <v>4196</v>
      </c>
      <c r="F506" s="1">
        <v>43100</v>
      </c>
      <c r="G506">
        <v>2000</v>
      </c>
      <c r="H506" t="s">
        <v>85</v>
      </c>
      <c r="I506" t="s">
        <v>136</v>
      </c>
      <c r="J506" t="s">
        <v>133</v>
      </c>
      <c r="K506">
        <v>4.9000000000000004</v>
      </c>
      <c r="L506">
        <v>844896</v>
      </c>
      <c r="M506">
        <v>1840860</v>
      </c>
      <c r="N506">
        <v>57</v>
      </c>
      <c r="O506" t="s">
        <v>41</v>
      </c>
      <c r="P506" t="s">
        <v>87</v>
      </c>
    </row>
    <row r="507" spans="1:16" x14ac:dyDescent="0.35">
      <c r="A507" t="s">
        <v>973</v>
      </c>
      <c r="B507" t="s">
        <v>974</v>
      </c>
      <c r="C507" t="s">
        <v>53</v>
      </c>
      <c r="D507" t="s">
        <v>61</v>
      </c>
      <c r="E507" t="s">
        <v>20</v>
      </c>
      <c r="F507" s="1">
        <v>43102</v>
      </c>
      <c r="G507">
        <v>2024</v>
      </c>
      <c r="H507" t="s">
        <v>4178</v>
      </c>
      <c r="I507" t="s">
        <v>56</v>
      </c>
      <c r="J507" t="s">
        <v>4178</v>
      </c>
      <c r="K507">
        <v>7.4</v>
      </c>
      <c r="L507">
        <v>17040881</v>
      </c>
      <c r="M507">
        <v>929332</v>
      </c>
      <c r="N507">
        <v>69</v>
      </c>
      <c r="O507" t="s">
        <v>91</v>
      </c>
      <c r="P507" t="s">
        <v>32</v>
      </c>
    </row>
    <row r="508" spans="1:16" x14ac:dyDescent="0.35">
      <c r="A508" t="s">
        <v>3777</v>
      </c>
      <c r="B508" t="s">
        <v>3778</v>
      </c>
      <c r="C508" t="s">
        <v>84</v>
      </c>
      <c r="D508" t="s">
        <v>54</v>
      </c>
      <c r="E508" t="s">
        <v>62</v>
      </c>
      <c r="F508" s="1">
        <v>43102</v>
      </c>
      <c r="G508">
        <v>2021</v>
      </c>
      <c r="H508" t="s">
        <v>38</v>
      </c>
      <c r="I508" t="s">
        <v>4261</v>
      </c>
      <c r="J508" t="s">
        <v>133</v>
      </c>
      <c r="K508">
        <v>9.4</v>
      </c>
      <c r="L508">
        <v>16159674</v>
      </c>
      <c r="M508">
        <v>4841089</v>
      </c>
      <c r="N508">
        <v>90</v>
      </c>
      <c r="O508" t="s">
        <v>58</v>
      </c>
      <c r="P508" t="s">
        <v>50</v>
      </c>
    </row>
    <row r="509" spans="1:16" x14ac:dyDescent="0.35">
      <c r="A509" t="s">
        <v>1858</v>
      </c>
      <c r="B509" t="s">
        <v>1859</v>
      </c>
      <c r="C509" t="s">
        <v>53</v>
      </c>
      <c r="D509" t="s">
        <v>90</v>
      </c>
      <c r="E509" t="s">
        <v>131</v>
      </c>
      <c r="F509" s="1">
        <v>43103</v>
      </c>
      <c r="G509">
        <v>2006</v>
      </c>
      <c r="H509" t="s">
        <v>21</v>
      </c>
      <c r="I509" t="s">
        <v>162</v>
      </c>
      <c r="J509" t="s">
        <v>30</v>
      </c>
      <c r="K509">
        <v>9.4</v>
      </c>
      <c r="L509">
        <v>8436654</v>
      </c>
      <c r="M509">
        <v>205676</v>
      </c>
      <c r="N509">
        <v>86</v>
      </c>
      <c r="O509" t="s">
        <v>41</v>
      </c>
      <c r="P509" t="s">
        <v>50</v>
      </c>
    </row>
    <row r="510" spans="1:16" x14ac:dyDescent="0.35">
      <c r="A510" t="s">
        <v>3143</v>
      </c>
      <c r="B510" t="s">
        <v>3144</v>
      </c>
      <c r="C510" t="s">
        <v>53</v>
      </c>
      <c r="D510" t="s">
        <v>54</v>
      </c>
      <c r="E510" t="s">
        <v>113</v>
      </c>
      <c r="F510" s="1">
        <v>43104</v>
      </c>
      <c r="G510">
        <v>2001</v>
      </c>
      <c r="H510" t="s">
        <v>63</v>
      </c>
      <c r="I510" t="s">
        <v>136</v>
      </c>
      <c r="J510" t="s">
        <v>96</v>
      </c>
      <c r="K510">
        <v>9.8000000000000007</v>
      </c>
      <c r="L510">
        <v>6749886</v>
      </c>
      <c r="M510">
        <v>234676</v>
      </c>
      <c r="N510">
        <v>74</v>
      </c>
      <c r="O510" t="s">
        <v>65</v>
      </c>
      <c r="P510" t="s">
        <v>87</v>
      </c>
    </row>
    <row r="511" spans="1:16" x14ac:dyDescent="0.35">
      <c r="A511" t="s">
        <v>1938</v>
      </c>
      <c r="B511" t="s">
        <v>1939</v>
      </c>
      <c r="C511" t="s">
        <v>53</v>
      </c>
      <c r="D511" t="s">
        <v>36</v>
      </c>
      <c r="E511" t="s">
        <v>28</v>
      </c>
      <c r="F511" s="1">
        <v>43105</v>
      </c>
      <c r="G511">
        <v>2024</v>
      </c>
      <c r="H511" t="s">
        <v>63</v>
      </c>
      <c r="I511" t="s">
        <v>136</v>
      </c>
      <c r="J511" t="s">
        <v>133</v>
      </c>
      <c r="K511">
        <v>7.8</v>
      </c>
      <c r="L511">
        <v>20781536</v>
      </c>
      <c r="M511">
        <v>1258930</v>
      </c>
      <c r="N511">
        <v>58</v>
      </c>
      <c r="O511" t="s">
        <v>31</v>
      </c>
      <c r="P511" t="s">
        <v>50</v>
      </c>
    </row>
    <row r="512" spans="1:16" x14ac:dyDescent="0.35">
      <c r="A512" t="s">
        <v>3243</v>
      </c>
      <c r="B512" t="s">
        <v>4374</v>
      </c>
      <c r="C512" t="s">
        <v>84</v>
      </c>
      <c r="D512" t="s">
        <v>54</v>
      </c>
      <c r="E512" t="s">
        <v>55</v>
      </c>
      <c r="F512" s="1">
        <v>43108</v>
      </c>
      <c r="G512">
        <v>2001</v>
      </c>
      <c r="H512" t="s">
        <v>81</v>
      </c>
      <c r="I512" t="s">
        <v>4188</v>
      </c>
      <c r="J512" t="s">
        <v>103</v>
      </c>
      <c r="K512">
        <v>6.6</v>
      </c>
      <c r="L512">
        <v>2893663</v>
      </c>
      <c r="M512">
        <v>3369096</v>
      </c>
      <c r="N512">
        <v>72</v>
      </c>
      <c r="O512" t="s">
        <v>104</v>
      </c>
      <c r="P512" t="s">
        <v>4178</v>
      </c>
    </row>
    <row r="513" spans="1:16" x14ac:dyDescent="0.35">
      <c r="A513" t="s">
        <v>4047</v>
      </c>
      <c r="B513" t="s">
        <v>4048</v>
      </c>
      <c r="C513" t="s">
        <v>84</v>
      </c>
      <c r="D513" t="s">
        <v>90</v>
      </c>
      <c r="E513" t="s">
        <v>45</v>
      </c>
      <c r="F513" s="1">
        <v>43120</v>
      </c>
      <c r="G513">
        <v>2018</v>
      </c>
      <c r="H513" t="s">
        <v>4178</v>
      </c>
      <c r="I513" t="s">
        <v>4250</v>
      </c>
      <c r="J513" t="s">
        <v>96</v>
      </c>
      <c r="K513">
        <v>8.6999999999999993</v>
      </c>
      <c r="L513">
        <v>137388</v>
      </c>
      <c r="M513">
        <v>1229945</v>
      </c>
      <c r="N513">
        <v>97</v>
      </c>
      <c r="O513" t="s">
        <v>4178</v>
      </c>
      <c r="P513" t="s">
        <v>4178</v>
      </c>
    </row>
    <row r="514" spans="1:16" x14ac:dyDescent="0.35">
      <c r="A514" t="s">
        <v>2034</v>
      </c>
      <c r="B514" t="s">
        <v>2035</v>
      </c>
      <c r="C514" t="s">
        <v>53</v>
      </c>
      <c r="D514" t="s">
        <v>27</v>
      </c>
      <c r="E514" t="s">
        <v>45</v>
      </c>
      <c r="F514" s="1">
        <v>43122</v>
      </c>
      <c r="G514">
        <v>2008</v>
      </c>
      <c r="H514" t="s">
        <v>46</v>
      </c>
      <c r="I514" t="s">
        <v>136</v>
      </c>
      <c r="J514" t="s">
        <v>48</v>
      </c>
      <c r="K514">
        <v>7.8</v>
      </c>
      <c r="L514">
        <v>15088812</v>
      </c>
      <c r="M514">
        <v>2670557</v>
      </c>
      <c r="N514">
        <v>65</v>
      </c>
      <c r="O514" t="s">
        <v>24</v>
      </c>
      <c r="P514" t="s">
        <v>32</v>
      </c>
    </row>
    <row r="515" spans="1:16" x14ac:dyDescent="0.35">
      <c r="A515" t="s">
        <v>2272</v>
      </c>
      <c r="B515" t="s">
        <v>4352</v>
      </c>
      <c r="C515" t="s">
        <v>4178</v>
      </c>
      <c r="D515" t="s">
        <v>19</v>
      </c>
      <c r="E515" t="s">
        <v>131</v>
      </c>
      <c r="F515" s="1">
        <v>43122</v>
      </c>
      <c r="G515">
        <v>2005</v>
      </c>
      <c r="H515" t="s">
        <v>38</v>
      </c>
      <c r="I515" t="s">
        <v>56</v>
      </c>
      <c r="J515" t="s">
        <v>133</v>
      </c>
      <c r="K515">
        <v>7.2</v>
      </c>
      <c r="L515">
        <v>3144288</v>
      </c>
      <c r="M515">
        <v>182054</v>
      </c>
      <c r="N515">
        <v>67</v>
      </c>
      <c r="O515" t="s">
        <v>58</v>
      </c>
      <c r="P515" t="s">
        <v>4178</v>
      </c>
    </row>
    <row r="516" spans="1:16" x14ac:dyDescent="0.35">
      <c r="A516" t="s">
        <v>3445</v>
      </c>
      <c r="B516" t="s">
        <v>3446</v>
      </c>
      <c r="C516" t="s">
        <v>53</v>
      </c>
      <c r="D516" t="s">
        <v>61</v>
      </c>
      <c r="E516" t="s">
        <v>131</v>
      </c>
      <c r="F516" s="1">
        <v>43122</v>
      </c>
      <c r="G516">
        <v>2020</v>
      </c>
      <c r="H516" t="s">
        <v>81</v>
      </c>
      <c r="I516" t="s">
        <v>64</v>
      </c>
      <c r="J516" t="s">
        <v>103</v>
      </c>
      <c r="K516">
        <v>4.8</v>
      </c>
      <c r="L516">
        <v>22258875</v>
      </c>
      <c r="M516">
        <v>3181862</v>
      </c>
      <c r="N516">
        <v>51</v>
      </c>
      <c r="O516" t="s">
        <v>4178</v>
      </c>
      <c r="P516" t="s">
        <v>50</v>
      </c>
    </row>
    <row r="517" spans="1:16" x14ac:dyDescent="0.35">
      <c r="A517" t="s">
        <v>3480</v>
      </c>
      <c r="B517" t="s">
        <v>3481</v>
      </c>
      <c r="C517" t="s">
        <v>53</v>
      </c>
      <c r="D517" t="s">
        <v>27</v>
      </c>
      <c r="E517" t="s">
        <v>80</v>
      </c>
      <c r="F517" s="1">
        <v>43124</v>
      </c>
      <c r="G517">
        <v>2000</v>
      </c>
      <c r="H517" t="s">
        <v>4178</v>
      </c>
      <c r="I517" t="s">
        <v>56</v>
      </c>
      <c r="J517" t="s">
        <v>133</v>
      </c>
      <c r="K517">
        <v>6.5</v>
      </c>
      <c r="L517">
        <v>19823819</v>
      </c>
      <c r="M517">
        <v>1883553</v>
      </c>
      <c r="N517">
        <v>53</v>
      </c>
      <c r="O517" t="s">
        <v>91</v>
      </c>
      <c r="P517" t="s">
        <v>4178</v>
      </c>
    </row>
    <row r="518" spans="1:16" x14ac:dyDescent="0.35">
      <c r="A518" t="s">
        <v>391</v>
      </c>
      <c r="B518" t="s">
        <v>392</v>
      </c>
      <c r="C518" t="s">
        <v>53</v>
      </c>
      <c r="D518" t="s">
        <v>94</v>
      </c>
      <c r="E518" t="s">
        <v>62</v>
      </c>
      <c r="F518" s="1">
        <v>43125</v>
      </c>
      <c r="G518">
        <v>2019</v>
      </c>
      <c r="H518" t="s">
        <v>114</v>
      </c>
      <c r="I518" t="s">
        <v>64</v>
      </c>
      <c r="J518" t="s">
        <v>72</v>
      </c>
      <c r="K518">
        <v>4.5999999999999996</v>
      </c>
      <c r="L518">
        <v>7161580</v>
      </c>
      <c r="M518">
        <v>3857290</v>
      </c>
      <c r="N518">
        <v>85</v>
      </c>
      <c r="O518" t="s">
        <v>91</v>
      </c>
      <c r="P518" t="s">
        <v>32</v>
      </c>
    </row>
    <row r="519" spans="1:16" x14ac:dyDescent="0.35">
      <c r="A519" t="s">
        <v>318</v>
      </c>
      <c r="B519" t="s">
        <v>319</v>
      </c>
      <c r="C519" t="s">
        <v>84</v>
      </c>
      <c r="D519" t="s">
        <v>75</v>
      </c>
      <c r="E519" t="s">
        <v>69</v>
      </c>
      <c r="F519" s="1">
        <v>43126</v>
      </c>
      <c r="G519">
        <v>2007</v>
      </c>
      <c r="H519" t="s">
        <v>81</v>
      </c>
      <c r="I519" t="s">
        <v>4225</v>
      </c>
      <c r="J519" t="s">
        <v>30</v>
      </c>
      <c r="K519">
        <v>6.6</v>
      </c>
      <c r="L519">
        <v>631052</v>
      </c>
      <c r="M519">
        <v>3262027</v>
      </c>
      <c r="N519">
        <v>78</v>
      </c>
      <c r="O519" t="s">
        <v>4178</v>
      </c>
      <c r="P519" t="s">
        <v>4178</v>
      </c>
    </row>
    <row r="520" spans="1:16" x14ac:dyDescent="0.35">
      <c r="A520" t="s">
        <v>2574</v>
      </c>
      <c r="B520" t="s">
        <v>2573</v>
      </c>
      <c r="C520" t="s">
        <v>84</v>
      </c>
      <c r="D520" t="s">
        <v>90</v>
      </c>
      <c r="E520" t="s">
        <v>4196</v>
      </c>
      <c r="F520" s="1">
        <v>43127</v>
      </c>
      <c r="G520">
        <v>2011</v>
      </c>
      <c r="H520" t="s">
        <v>114</v>
      </c>
      <c r="I520" t="s">
        <v>4188</v>
      </c>
      <c r="J520" t="s">
        <v>72</v>
      </c>
      <c r="K520">
        <v>5.0999999999999996</v>
      </c>
      <c r="L520">
        <v>14487895</v>
      </c>
      <c r="M520">
        <v>4883164</v>
      </c>
      <c r="N520">
        <v>40</v>
      </c>
      <c r="O520" t="s">
        <v>4178</v>
      </c>
      <c r="P520" t="s">
        <v>87</v>
      </c>
    </row>
    <row r="521" spans="1:16" x14ac:dyDescent="0.35">
      <c r="A521" t="s">
        <v>2473</v>
      </c>
      <c r="B521" t="s">
        <v>2474</v>
      </c>
      <c r="C521" t="s">
        <v>84</v>
      </c>
      <c r="D521" t="s">
        <v>156</v>
      </c>
      <c r="E521" t="s">
        <v>69</v>
      </c>
      <c r="F521" s="1">
        <v>43129</v>
      </c>
      <c r="G521">
        <v>2003</v>
      </c>
      <c r="H521" t="s">
        <v>4178</v>
      </c>
      <c r="I521" t="s">
        <v>4238</v>
      </c>
      <c r="J521" t="s">
        <v>153</v>
      </c>
      <c r="K521">
        <v>4.8</v>
      </c>
      <c r="L521">
        <v>6877187</v>
      </c>
      <c r="M521">
        <v>1712187</v>
      </c>
      <c r="N521">
        <v>72</v>
      </c>
      <c r="O521" t="s">
        <v>123</v>
      </c>
      <c r="P521" t="s">
        <v>4178</v>
      </c>
    </row>
    <row r="522" spans="1:16" x14ac:dyDescent="0.35">
      <c r="A522" t="s">
        <v>2643</v>
      </c>
      <c r="B522" t="s">
        <v>2644</v>
      </c>
      <c r="C522" t="s">
        <v>53</v>
      </c>
      <c r="D522" t="s">
        <v>4178</v>
      </c>
      <c r="E522" t="s">
        <v>113</v>
      </c>
      <c r="F522" s="1">
        <v>43130</v>
      </c>
      <c r="G522">
        <v>2017</v>
      </c>
      <c r="H522" t="s">
        <v>81</v>
      </c>
      <c r="I522" t="s">
        <v>136</v>
      </c>
      <c r="J522" t="s">
        <v>103</v>
      </c>
      <c r="K522">
        <v>7.1</v>
      </c>
      <c r="L522">
        <v>5014480</v>
      </c>
      <c r="M522">
        <v>1992431</v>
      </c>
      <c r="N522">
        <v>81</v>
      </c>
      <c r="O522" t="s">
        <v>31</v>
      </c>
      <c r="P522" t="s">
        <v>4181</v>
      </c>
    </row>
    <row r="523" spans="1:16" x14ac:dyDescent="0.35">
      <c r="A523" t="s">
        <v>694</v>
      </c>
      <c r="B523" t="s">
        <v>695</v>
      </c>
      <c r="C523" t="s">
        <v>84</v>
      </c>
      <c r="D523" t="s">
        <v>4178</v>
      </c>
      <c r="E523" t="s">
        <v>99</v>
      </c>
      <c r="F523" s="1">
        <v>43131</v>
      </c>
      <c r="G523">
        <v>2003</v>
      </c>
      <c r="H523" t="s">
        <v>85</v>
      </c>
      <c r="I523" t="s">
        <v>4264</v>
      </c>
      <c r="J523" t="s">
        <v>72</v>
      </c>
      <c r="K523">
        <v>6.4</v>
      </c>
      <c r="L523">
        <v>5445241</v>
      </c>
      <c r="M523">
        <v>1659469</v>
      </c>
      <c r="N523">
        <v>68</v>
      </c>
      <c r="O523" t="s">
        <v>41</v>
      </c>
      <c r="P523" t="s">
        <v>32</v>
      </c>
    </row>
    <row r="524" spans="1:16" x14ac:dyDescent="0.35">
      <c r="A524" t="s">
        <v>2995</v>
      </c>
      <c r="B524" t="s">
        <v>2996</v>
      </c>
      <c r="C524" t="s">
        <v>84</v>
      </c>
      <c r="D524" t="s">
        <v>36</v>
      </c>
      <c r="E524" t="s">
        <v>62</v>
      </c>
      <c r="F524" s="1">
        <v>43137</v>
      </c>
      <c r="G524">
        <v>2003</v>
      </c>
      <c r="H524" t="s">
        <v>21</v>
      </c>
      <c r="I524" t="s">
        <v>4325</v>
      </c>
      <c r="J524" t="s">
        <v>40</v>
      </c>
      <c r="K524">
        <v>8.6999999999999993</v>
      </c>
      <c r="L524">
        <v>1036578</v>
      </c>
      <c r="M524">
        <v>1345849</v>
      </c>
      <c r="N524">
        <v>68</v>
      </c>
      <c r="O524" t="s">
        <v>65</v>
      </c>
      <c r="P524" t="s">
        <v>50</v>
      </c>
    </row>
    <row r="525" spans="1:16" x14ac:dyDescent="0.35">
      <c r="A525" t="s">
        <v>4073</v>
      </c>
      <c r="B525" t="s">
        <v>4074</v>
      </c>
      <c r="C525" t="s">
        <v>4178</v>
      </c>
      <c r="D525" t="s">
        <v>75</v>
      </c>
      <c r="E525" t="s">
        <v>4178</v>
      </c>
      <c r="F525" s="1">
        <v>43140</v>
      </c>
      <c r="G525">
        <v>2008</v>
      </c>
      <c r="H525" t="s">
        <v>46</v>
      </c>
      <c r="I525" t="s">
        <v>95</v>
      </c>
      <c r="J525" t="s">
        <v>103</v>
      </c>
      <c r="K525">
        <v>9</v>
      </c>
      <c r="L525">
        <v>6908888</v>
      </c>
      <c r="M525">
        <v>3134913</v>
      </c>
      <c r="N525">
        <v>68</v>
      </c>
      <c r="O525" t="s">
        <v>31</v>
      </c>
      <c r="P525" t="s">
        <v>32</v>
      </c>
    </row>
    <row r="526" spans="1:16" x14ac:dyDescent="0.35">
      <c r="A526" t="s">
        <v>2162</v>
      </c>
      <c r="B526" t="s">
        <v>2163</v>
      </c>
      <c r="C526" t="s">
        <v>84</v>
      </c>
      <c r="D526" t="s">
        <v>156</v>
      </c>
      <c r="E526" t="s">
        <v>20</v>
      </c>
      <c r="F526" s="1">
        <v>43143</v>
      </c>
      <c r="G526">
        <v>2015</v>
      </c>
      <c r="H526" t="s">
        <v>85</v>
      </c>
      <c r="I526" t="s">
        <v>4210</v>
      </c>
      <c r="J526" t="s">
        <v>133</v>
      </c>
      <c r="K526">
        <v>4.7</v>
      </c>
      <c r="L526">
        <v>8823329</v>
      </c>
      <c r="M526">
        <v>1454316</v>
      </c>
      <c r="N526">
        <v>90</v>
      </c>
      <c r="O526" t="s">
        <v>24</v>
      </c>
      <c r="P526" t="s">
        <v>87</v>
      </c>
    </row>
    <row r="527" spans="1:16" x14ac:dyDescent="0.35">
      <c r="A527" t="s">
        <v>134</v>
      </c>
      <c r="B527" t="s">
        <v>135</v>
      </c>
      <c r="C527" t="s">
        <v>4178</v>
      </c>
      <c r="D527" t="s">
        <v>4178</v>
      </c>
      <c r="E527" t="s">
        <v>80</v>
      </c>
      <c r="F527" s="1">
        <v>43146</v>
      </c>
      <c r="G527">
        <v>2024</v>
      </c>
      <c r="H527" t="s">
        <v>38</v>
      </c>
      <c r="I527" t="s">
        <v>136</v>
      </c>
      <c r="J527" t="s">
        <v>4178</v>
      </c>
      <c r="K527">
        <v>11.2</v>
      </c>
      <c r="L527">
        <v>23873447</v>
      </c>
      <c r="M527">
        <v>1929882</v>
      </c>
      <c r="N527">
        <v>42</v>
      </c>
      <c r="O527" t="s">
        <v>91</v>
      </c>
      <c r="P527" t="s">
        <v>50</v>
      </c>
    </row>
    <row r="528" spans="1:16" x14ac:dyDescent="0.35">
      <c r="A528" t="s">
        <v>126</v>
      </c>
      <c r="B528" t="s">
        <v>127</v>
      </c>
      <c r="C528" t="s">
        <v>53</v>
      </c>
      <c r="D528" t="s">
        <v>19</v>
      </c>
      <c r="E528" t="s">
        <v>37</v>
      </c>
      <c r="F528" s="1">
        <v>43149</v>
      </c>
      <c r="G528">
        <v>2011</v>
      </c>
      <c r="H528" t="s">
        <v>114</v>
      </c>
      <c r="I528" t="s">
        <v>64</v>
      </c>
      <c r="J528" t="s">
        <v>72</v>
      </c>
      <c r="K528">
        <v>8.4</v>
      </c>
      <c r="L528">
        <v>5487644</v>
      </c>
      <c r="M528">
        <v>465738</v>
      </c>
      <c r="N528">
        <v>93</v>
      </c>
      <c r="O528" t="s">
        <v>58</v>
      </c>
      <c r="P528" t="s">
        <v>4178</v>
      </c>
    </row>
    <row r="529" spans="1:16" x14ac:dyDescent="0.35">
      <c r="A529" t="s">
        <v>2147</v>
      </c>
      <c r="B529" t="s">
        <v>2148</v>
      </c>
      <c r="C529" t="s">
        <v>84</v>
      </c>
      <c r="D529" t="s">
        <v>54</v>
      </c>
      <c r="E529" t="s">
        <v>20</v>
      </c>
      <c r="F529" s="1">
        <v>43149</v>
      </c>
      <c r="G529">
        <v>2019</v>
      </c>
      <c r="H529" t="s">
        <v>4178</v>
      </c>
      <c r="I529" t="s">
        <v>4265</v>
      </c>
      <c r="J529" t="s">
        <v>23</v>
      </c>
      <c r="K529">
        <v>6.3</v>
      </c>
      <c r="L529">
        <v>1854999</v>
      </c>
      <c r="M529">
        <v>585804</v>
      </c>
      <c r="N529">
        <v>48</v>
      </c>
      <c r="O529" t="s">
        <v>49</v>
      </c>
      <c r="P529" t="s">
        <v>32</v>
      </c>
    </row>
    <row r="530" spans="1:16" x14ac:dyDescent="0.35">
      <c r="A530" t="s">
        <v>3327</v>
      </c>
      <c r="B530" t="s">
        <v>3328</v>
      </c>
      <c r="C530" t="s">
        <v>4178</v>
      </c>
      <c r="D530" t="s">
        <v>4178</v>
      </c>
      <c r="E530" t="s">
        <v>4196</v>
      </c>
      <c r="F530" s="1">
        <v>43152</v>
      </c>
      <c r="G530">
        <v>2004</v>
      </c>
      <c r="H530" t="s">
        <v>114</v>
      </c>
      <c r="I530" t="s">
        <v>56</v>
      </c>
      <c r="J530" t="s">
        <v>96</v>
      </c>
      <c r="K530">
        <v>4.8</v>
      </c>
      <c r="L530">
        <v>16072583</v>
      </c>
      <c r="M530">
        <v>2427921</v>
      </c>
      <c r="N530">
        <v>88</v>
      </c>
      <c r="O530" t="s">
        <v>24</v>
      </c>
      <c r="P530" t="s">
        <v>4181</v>
      </c>
    </row>
    <row r="531" spans="1:16" x14ac:dyDescent="0.35">
      <c r="A531" t="s">
        <v>1884</v>
      </c>
      <c r="B531" t="s">
        <v>1885</v>
      </c>
      <c r="C531" t="s">
        <v>53</v>
      </c>
      <c r="D531" t="s">
        <v>19</v>
      </c>
      <c r="E531" t="s">
        <v>62</v>
      </c>
      <c r="F531" s="1">
        <v>43153</v>
      </c>
      <c r="G531">
        <v>2014</v>
      </c>
      <c r="H531" t="s">
        <v>63</v>
      </c>
      <c r="I531" t="s">
        <v>39</v>
      </c>
      <c r="J531" t="s">
        <v>30</v>
      </c>
      <c r="K531">
        <v>8.3000000000000007</v>
      </c>
      <c r="L531">
        <v>15274484</v>
      </c>
      <c r="M531">
        <v>2965693</v>
      </c>
      <c r="N531">
        <v>86</v>
      </c>
      <c r="O531" t="s">
        <v>4178</v>
      </c>
      <c r="P531" t="s">
        <v>50</v>
      </c>
    </row>
    <row r="532" spans="1:16" x14ac:dyDescent="0.35">
      <c r="A532" t="s">
        <v>332</v>
      </c>
      <c r="B532" t="s">
        <v>333</v>
      </c>
      <c r="C532" t="s">
        <v>4178</v>
      </c>
      <c r="D532" t="s">
        <v>90</v>
      </c>
      <c r="E532" t="s">
        <v>45</v>
      </c>
      <c r="F532" s="1">
        <v>43154</v>
      </c>
      <c r="G532">
        <v>2019</v>
      </c>
      <c r="H532" t="s">
        <v>107</v>
      </c>
      <c r="I532" t="s">
        <v>95</v>
      </c>
      <c r="J532" t="s">
        <v>103</v>
      </c>
      <c r="K532">
        <v>9</v>
      </c>
      <c r="L532">
        <v>15956355</v>
      </c>
      <c r="M532">
        <v>2254873</v>
      </c>
      <c r="N532">
        <v>85</v>
      </c>
      <c r="O532" t="s">
        <v>91</v>
      </c>
      <c r="P532" t="s">
        <v>32</v>
      </c>
    </row>
    <row r="533" spans="1:16" x14ac:dyDescent="0.35">
      <c r="A533" t="s">
        <v>1500</v>
      </c>
      <c r="B533" t="s">
        <v>4318</v>
      </c>
      <c r="C533" t="s">
        <v>53</v>
      </c>
      <c r="D533" t="s">
        <v>156</v>
      </c>
      <c r="E533" t="s">
        <v>45</v>
      </c>
      <c r="F533" s="1">
        <v>43154</v>
      </c>
      <c r="G533">
        <v>2014</v>
      </c>
      <c r="H533" t="s">
        <v>38</v>
      </c>
      <c r="I533" t="s">
        <v>71</v>
      </c>
      <c r="J533" t="s">
        <v>72</v>
      </c>
      <c r="K533">
        <v>7.7</v>
      </c>
      <c r="L533">
        <v>5118860</v>
      </c>
      <c r="M533">
        <v>4198804</v>
      </c>
      <c r="N533">
        <v>99</v>
      </c>
      <c r="O533" t="s">
        <v>24</v>
      </c>
      <c r="P533" t="s">
        <v>87</v>
      </c>
    </row>
    <row r="534" spans="1:16" x14ac:dyDescent="0.35">
      <c r="A534" t="s">
        <v>561</v>
      </c>
      <c r="B534" t="s">
        <v>562</v>
      </c>
      <c r="C534" t="s">
        <v>53</v>
      </c>
      <c r="D534" t="s">
        <v>61</v>
      </c>
      <c r="E534" t="s">
        <v>28</v>
      </c>
      <c r="F534" s="1">
        <v>43155</v>
      </c>
      <c r="G534">
        <v>2009</v>
      </c>
      <c r="H534" t="s">
        <v>85</v>
      </c>
      <c r="I534" t="s">
        <v>64</v>
      </c>
      <c r="J534" t="s">
        <v>133</v>
      </c>
      <c r="K534">
        <v>8.1</v>
      </c>
      <c r="L534">
        <v>-972</v>
      </c>
      <c r="M534">
        <v>4062846</v>
      </c>
      <c r="N534">
        <v>70</v>
      </c>
      <c r="O534" t="s">
        <v>41</v>
      </c>
      <c r="P534" t="s">
        <v>4178</v>
      </c>
    </row>
    <row r="535" spans="1:16" x14ac:dyDescent="0.35">
      <c r="A535" t="s">
        <v>1505</v>
      </c>
      <c r="B535" t="s">
        <v>1506</v>
      </c>
      <c r="C535" t="s">
        <v>53</v>
      </c>
      <c r="D535" t="s">
        <v>19</v>
      </c>
      <c r="E535" t="s">
        <v>45</v>
      </c>
      <c r="F535" s="1">
        <v>43157</v>
      </c>
      <c r="G535">
        <v>2017</v>
      </c>
      <c r="H535" t="s">
        <v>46</v>
      </c>
      <c r="I535" t="s">
        <v>64</v>
      </c>
      <c r="J535" t="s">
        <v>4178</v>
      </c>
      <c r="K535">
        <v>6.8</v>
      </c>
      <c r="L535">
        <v>19896642</v>
      </c>
      <c r="M535">
        <v>2438159</v>
      </c>
      <c r="N535">
        <v>89</v>
      </c>
      <c r="O535" t="s">
        <v>49</v>
      </c>
      <c r="P535" t="s">
        <v>4178</v>
      </c>
    </row>
    <row r="536" spans="1:16" x14ac:dyDescent="0.35">
      <c r="A536" t="s">
        <v>2575</v>
      </c>
      <c r="B536" t="s">
        <v>2576</v>
      </c>
      <c r="C536" t="s">
        <v>53</v>
      </c>
      <c r="D536" t="s">
        <v>61</v>
      </c>
      <c r="E536" t="s">
        <v>37</v>
      </c>
      <c r="F536" s="1">
        <v>43161</v>
      </c>
      <c r="G536">
        <v>2019</v>
      </c>
      <c r="H536" t="s">
        <v>21</v>
      </c>
      <c r="I536" t="s">
        <v>136</v>
      </c>
      <c r="J536" t="s">
        <v>57</v>
      </c>
      <c r="K536">
        <v>8.1999999999999993</v>
      </c>
      <c r="L536">
        <v>4725895</v>
      </c>
      <c r="M536">
        <v>1043705</v>
      </c>
      <c r="N536">
        <v>87</v>
      </c>
      <c r="O536" t="s">
        <v>31</v>
      </c>
      <c r="P536" t="s">
        <v>4178</v>
      </c>
    </row>
    <row r="537" spans="1:16" x14ac:dyDescent="0.35">
      <c r="A537" t="s">
        <v>659</v>
      </c>
      <c r="B537" t="s">
        <v>660</v>
      </c>
      <c r="C537" t="s">
        <v>84</v>
      </c>
      <c r="D537" t="s">
        <v>19</v>
      </c>
      <c r="E537" t="s">
        <v>45</v>
      </c>
      <c r="F537" s="1">
        <v>43165</v>
      </c>
      <c r="G537">
        <v>2004</v>
      </c>
      <c r="H537" t="s">
        <v>63</v>
      </c>
      <c r="I537" t="s">
        <v>4262</v>
      </c>
      <c r="J537" t="s">
        <v>4178</v>
      </c>
      <c r="K537">
        <v>5.3</v>
      </c>
      <c r="L537">
        <v>19284784</v>
      </c>
      <c r="M537">
        <v>806881</v>
      </c>
      <c r="N537">
        <v>66</v>
      </c>
      <c r="O537" t="s">
        <v>49</v>
      </c>
      <c r="P537" t="s">
        <v>4178</v>
      </c>
    </row>
    <row r="538" spans="1:16" x14ac:dyDescent="0.35">
      <c r="A538" t="s">
        <v>1336</v>
      </c>
      <c r="B538" t="s">
        <v>1337</v>
      </c>
      <c r="C538" t="s">
        <v>84</v>
      </c>
      <c r="D538" t="s">
        <v>156</v>
      </c>
      <c r="E538" t="s">
        <v>55</v>
      </c>
      <c r="F538" s="1">
        <v>43165</v>
      </c>
      <c r="G538">
        <v>2008</v>
      </c>
      <c r="H538" t="s">
        <v>85</v>
      </c>
      <c r="I538" t="s">
        <v>4301</v>
      </c>
      <c r="J538" t="s">
        <v>153</v>
      </c>
      <c r="K538">
        <v>7.8</v>
      </c>
      <c r="L538">
        <v>9095945</v>
      </c>
      <c r="M538">
        <v>2910702</v>
      </c>
      <c r="N538">
        <v>86</v>
      </c>
      <c r="O538" t="s">
        <v>58</v>
      </c>
      <c r="P538" t="s">
        <v>32</v>
      </c>
    </row>
    <row r="539" spans="1:16" x14ac:dyDescent="0.35">
      <c r="A539" t="s">
        <v>3488</v>
      </c>
      <c r="B539" t="s">
        <v>3489</v>
      </c>
      <c r="C539" t="s">
        <v>53</v>
      </c>
      <c r="D539" t="s">
        <v>4178</v>
      </c>
      <c r="E539" t="s">
        <v>4178</v>
      </c>
      <c r="F539" s="1">
        <v>43167</v>
      </c>
      <c r="G539">
        <v>2018</v>
      </c>
      <c r="H539" t="s">
        <v>107</v>
      </c>
      <c r="I539" t="s">
        <v>95</v>
      </c>
      <c r="J539" t="s">
        <v>4178</v>
      </c>
      <c r="K539">
        <v>8.4</v>
      </c>
      <c r="L539">
        <v>18057001</v>
      </c>
      <c r="M539">
        <v>3002122</v>
      </c>
      <c r="N539">
        <v>92</v>
      </c>
      <c r="O539" t="s">
        <v>91</v>
      </c>
      <c r="P539" t="s">
        <v>4178</v>
      </c>
    </row>
    <row r="540" spans="1:16" x14ac:dyDescent="0.35">
      <c r="A540" t="s">
        <v>547</v>
      </c>
      <c r="B540" t="s">
        <v>546</v>
      </c>
      <c r="C540" t="s">
        <v>4178</v>
      </c>
      <c r="D540" t="s">
        <v>4178</v>
      </c>
      <c r="E540" t="s">
        <v>28</v>
      </c>
      <c r="F540" s="1">
        <v>43168</v>
      </c>
      <c r="G540">
        <v>2019</v>
      </c>
      <c r="H540" t="s">
        <v>46</v>
      </c>
      <c r="I540" t="s">
        <v>64</v>
      </c>
      <c r="J540" t="s">
        <v>48</v>
      </c>
      <c r="K540">
        <v>8.4</v>
      </c>
      <c r="L540">
        <v>2474538</v>
      </c>
      <c r="M540">
        <v>3033489</v>
      </c>
      <c r="N540">
        <v>75</v>
      </c>
      <c r="O540" t="s">
        <v>104</v>
      </c>
      <c r="P540" t="s">
        <v>32</v>
      </c>
    </row>
    <row r="541" spans="1:16" x14ac:dyDescent="0.35">
      <c r="A541" t="s">
        <v>3484</v>
      </c>
      <c r="B541" t="s">
        <v>4381</v>
      </c>
      <c r="C541" t="s">
        <v>84</v>
      </c>
      <c r="D541" t="s">
        <v>94</v>
      </c>
      <c r="E541" t="s">
        <v>4178</v>
      </c>
      <c r="F541" s="1">
        <v>43168</v>
      </c>
      <c r="G541">
        <v>2000</v>
      </c>
      <c r="H541" t="s">
        <v>21</v>
      </c>
      <c r="I541" t="s">
        <v>4348</v>
      </c>
      <c r="J541" t="s">
        <v>57</v>
      </c>
      <c r="K541">
        <v>7.6</v>
      </c>
      <c r="L541">
        <v>13412014</v>
      </c>
      <c r="M541">
        <v>1392031</v>
      </c>
      <c r="N541">
        <v>61</v>
      </c>
      <c r="O541" t="s">
        <v>4178</v>
      </c>
      <c r="P541" t="s">
        <v>87</v>
      </c>
    </row>
    <row r="542" spans="1:16" x14ac:dyDescent="0.35">
      <c r="A542" t="s">
        <v>4000</v>
      </c>
      <c r="B542" t="s">
        <v>4001</v>
      </c>
      <c r="C542" t="s">
        <v>84</v>
      </c>
      <c r="D542" t="s">
        <v>4178</v>
      </c>
      <c r="E542" t="s">
        <v>37</v>
      </c>
      <c r="F542" s="1">
        <v>43168</v>
      </c>
      <c r="G542">
        <v>2015</v>
      </c>
      <c r="H542" t="s">
        <v>85</v>
      </c>
      <c r="I542" t="s">
        <v>4223</v>
      </c>
      <c r="J542" t="s">
        <v>96</v>
      </c>
      <c r="K542">
        <v>9.1</v>
      </c>
      <c r="L542">
        <v>23601324</v>
      </c>
      <c r="M542">
        <v>3171961</v>
      </c>
      <c r="N542">
        <v>96</v>
      </c>
      <c r="O542" t="s">
        <v>91</v>
      </c>
      <c r="P542" t="s">
        <v>50</v>
      </c>
    </row>
    <row r="543" spans="1:16" x14ac:dyDescent="0.35">
      <c r="A543" t="s">
        <v>2008</v>
      </c>
      <c r="B543" t="s">
        <v>2009</v>
      </c>
      <c r="C543" t="s">
        <v>53</v>
      </c>
      <c r="D543" t="s">
        <v>61</v>
      </c>
      <c r="E543" t="s">
        <v>4178</v>
      </c>
      <c r="F543" s="1">
        <v>43170</v>
      </c>
      <c r="G543">
        <v>2004</v>
      </c>
      <c r="H543" t="s">
        <v>107</v>
      </c>
      <c r="I543" t="s">
        <v>136</v>
      </c>
      <c r="J543" t="s">
        <v>133</v>
      </c>
      <c r="K543">
        <v>11.2</v>
      </c>
      <c r="L543">
        <v>-860</v>
      </c>
      <c r="M543">
        <v>2868266</v>
      </c>
      <c r="N543">
        <v>86</v>
      </c>
      <c r="O543" t="s">
        <v>65</v>
      </c>
      <c r="P543" t="s">
        <v>50</v>
      </c>
    </row>
    <row r="544" spans="1:16" x14ac:dyDescent="0.35">
      <c r="A544" t="s">
        <v>3892</v>
      </c>
      <c r="B544" t="s">
        <v>3893</v>
      </c>
      <c r="C544" t="s">
        <v>53</v>
      </c>
      <c r="D544" t="s">
        <v>68</v>
      </c>
      <c r="E544" t="s">
        <v>4178</v>
      </c>
      <c r="F544" s="1">
        <v>43170</v>
      </c>
      <c r="G544">
        <v>2026</v>
      </c>
      <c r="H544" t="s">
        <v>81</v>
      </c>
      <c r="I544" t="s">
        <v>162</v>
      </c>
      <c r="J544" t="s">
        <v>57</v>
      </c>
      <c r="K544">
        <v>4.5999999999999996</v>
      </c>
      <c r="L544">
        <v>5363242</v>
      </c>
      <c r="M544">
        <v>414654</v>
      </c>
      <c r="N544">
        <v>81</v>
      </c>
      <c r="O544" t="s">
        <v>31</v>
      </c>
      <c r="P544" t="s">
        <v>50</v>
      </c>
    </row>
    <row r="545" spans="1:16" x14ac:dyDescent="0.35">
      <c r="A545" t="s">
        <v>1900</v>
      </c>
      <c r="B545" t="s">
        <v>1901</v>
      </c>
      <c r="C545" t="s">
        <v>84</v>
      </c>
      <c r="D545" t="s">
        <v>156</v>
      </c>
      <c r="E545" t="s">
        <v>62</v>
      </c>
      <c r="F545" s="1">
        <v>43171</v>
      </c>
      <c r="G545">
        <v>2005</v>
      </c>
      <c r="H545" t="s">
        <v>107</v>
      </c>
      <c r="I545" t="s">
        <v>4287</v>
      </c>
      <c r="J545" t="s">
        <v>72</v>
      </c>
      <c r="K545">
        <v>6</v>
      </c>
      <c r="L545">
        <v>22216092</v>
      </c>
      <c r="M545">
        <v>1629170</v>
      </c>
      <c r="N545">
        <v>120</v>
      </c>
      <c r="O545" t="s">
        <v>58</v>
      </c>
      <c r="P545" t="s">
        <v>87</v>
      </c>
    </row>
    <row r="546" spans="1:16" x14ac:dyDescent="0.35">
      <c r="A546" t="s">
        <v>416</v>
      </c>
      <c r="B546" t="s">
        <v>417</v>
      </c>
      <c r="C546" t="s">
        <v>84</v>
      </c>
      <c r="D546" t="s">
        <v>75</v>
      </c>
      <c r="E546" t="s">
        <v>55</v>
      </c>
      <c r="F546" s="1">
        <v>43173</v>
      </c>
      <c r="G546">
        <v>2026</v>
      </c>
      <c r="H546" t="s">
        <v>46</v>
      </c>
      <c r="I546" t="s">
        <v>4227</v>
      </c>
      <c r="J546" t="s">
        <v>40</v>
      </c>
      <c r="K546">
        <v>7.4</v>
      </c>
      <c r="L546">
        <v>18632534</v>
      </c>
      <c r="M546">
        <v>1287895</v>
      </c>
      <c r="N546">
        <v>78</v>
      </c>
      <c r="O546" t="s">
        <v>4178</v>
      </c>
      <c r="P546" t="s">
        <v>50</v>
      </c>
    </row>
    <row r="547" spans="1:16" x14ac:dyDescent="0.35">
      <c r="A547" t="s">
        <v>300</v>
      </c>
      <c r="B547" t="s">
        <v>301</v>
      </c>
      <c r="C547" t="s">
        <v>53</v>
      </c>
      <c r="D547" t="s">
        <v>27</v>
      </c>
      <c r="E547" t="s">
        <v>62</v>
      </c>
      <c r="F547" s="1">
        <v>43177</v>
      </c>
      <c r="G547">
        <v>2000</v>
      </c>
      <c r="H547" t="s">
        <v>107</v>
      </c>
      <c r="I547" t="s">
        <v>136</v>
      </c>
      <c r="J547" t="s">
        <v>23</v>
      </c>
      <c r="K547">
        <v>5.3</v>
      </c>
      <c r="L547">
        <v>2620081</v>
      </c>
      <c r="M547">
        <v>3130751</v>
      </c>
      <c r="N547">
        <v>48</v>
      </c>
      <c r="O547" t="s">
        <v>49</v>
      </c>
      <c r="P547" t="s">
        <v>87</v>
      </c>
    </row>
    <row r="548" spans="1:16" x14ac:dyDescent="0.35">
      <c r="A548" t="s">
        <v>1286</v>
      </c>
      <c r="B548" t="s">
        <v>1287</v>
      </c>
      <c r="C548" t="s">
        <v>53</v>
      </c>
      <c r="D548" t="s">
        <v>90</v>
      </c>
      <c r="E548" t="s">
        <v>4196</v>
      </c>
      <c r="F548" s="1">
        <v>43177</v>
      </c>
      <c r="G548">
        <v>2021</v>
      </c>
      <c r="H548" t="s">
        <v>4178</v>
      </c>
      <c r="I548" t="s">
        <v>95</v>
      </c>
      <c r="J548" t="s">
        <v>133</v>
      </c>
      <c r="K548">
        <v>9</v>
      </c>
      <c r="L548">
        <v>18550535</v>
      </c>
      <c r="M548">
        <v>1613932</v>
      </c>
      <c r="N548">
        <v>61</v>
      </c>
      <c r="O548" t="s">
        <v>123</v>
      </c>
      <c r="P548" t="s">
        <v>50</v>
      </c>
    </row>
    <row r="549" spans="1:16" x14ac:dyDescent="0.35">
      <c r="A549" t="s">
        <v>611</v>
      </c>
      <c r="B549" t="s">
        <v>612</v>
      </c>
      <c r="C549" t="s">
        <v>53</v>
      </c>
      <c r="D549" t="s">
        <v>156</v>
      </c>
      <c r="E549" t="s">
        <v>4178</v>
      </c>
      <c r="F549" s="1">
        <v>43178</v>
      </c>
      <c r="G549">
        <v>2012</v>
      </c>
      <c r="H549" t="s">
        <v>38</v>
      </c>
      <c r="I549" t="s">
        <v>162</v>
      </c>
      <c r="J549" t="s">
        <v>96</v>
      </c>
      <c r="K549">
        <v>9.3000000000000007</v>
      </c>
      <c r="L549">
        <v>3795012</v>
      </c>
      <c r="M549">
        <v>4774962</v>
      </c>
      <c r="N549">
        <v>99</v>
      </c>
      <c r="O549" t="s">
        <v>24</v>
      </c>
      <c r="P549" t="s">
        <v>4181</v>
      </c>
    </row>
    <row r="550" spans="1:16" x14ac:dyDescent="0.35">
      <c r="A550" t="s">
        <v>2040</v>
      </c>
      <c r="B550" t="s">
        <v>2041</v>
      </c>
      <c r="C550" t="s">
        <v>84</v>
      </c>
      <c r="D550" t="s">
        <v>36</v>
      </c>
      <c r="E550" t="s">
        <v>28</v>
      </c>
      <c r="F550" s="1">
        <v>43179</v>
      </c>
      <c r="G550">
        <v>2017</v>
      </c>
      <c r="H550" t="s">
        <v>121</v>
      </c>
      <c r="I550" t="s">
        <v>4244</v>
      </c>
      <c r="J550" t="s">
        <v>4178</v>
      </c>
      <c r="K550">
        <v>8.1</v>
      </c>
      <c r="L550">
        <v>12241936</v>
      </c>
      <c r="M550">
        <v>1154609</v>
      </c>
      <c r="N550">
        <v>76</v>
      </c>
      <c r="O550" t="s">
        <v>49</v>
      </c>
      <c r="P550" t="s">
        <v>4181</v>
      </c>
    </row>
    <row r="551" spans="1:16" x14ac:dyDescent="0.35">
      <c r="A551" t="s">
        <v>1063</v>
      </c>
      <c r="B551" t="s">
        <v>1064</v>
      </c>
      <c r="C551" t="s">
        <v>84</v>
      </c>
      <c r="D551" t="s">
        <v>68</v>
      </c>
      <c r="E551" t="s">
        <v>4178</v>
      </c>
      <c r="F551" s="1">
        <v>43180</v>
      </c>
      <c r="G551">
        <v>2013</v>
      </c>
      <c r="H551" t="s">
        <v>46</v>
      </c>
      <c r="I551" t="s">
        <v>4297</v>
      </c>
      <c r="J551" t="s">
        <v>133</v>
      </c>
      <c r="K551">
        <v>9.4</v>
      </c>
      <c r="L551">
        <v>23401655</v>
      </c>
      <c r="M551">
        <v>3279702</v>
      </c>
      <c r="N551">
        <v>54</v>
      </c>
      <c r="O551" t="s">
        <v>24</v>
      </c>
      <c r="P551" t="s">
        <v>50</v>
      </c>
    </row>
    <row r="552" spans="1:16" x14ac:dyDescent="0.35">
      <c r="A552" t="s">
        <v>979</v>
      </c>
      <c r="B552" t="s">
        <v>980</v>
      </c>
      <c r="C552" t="s">
        <v>53</v>
      </c>
      <c r="D552" t="s">
        <v>27</v>
      </c>
      <c r="E552" t="s">
        <v>4178</v>
      </c>
      <c r="F552" s="1">
        <v>43181</v>
      </c>
      <c r="G552">
        <v>2008</v>
      </c>
      <c r="H552" t="s">
        <v>38</v>
      </c>
      <c r="I552" t="s">
        <v>39</v>
      </c>
      <c r="J552" t="s">
        <v>72</v>
      </c>
      <c r="K552">
        <v>9.3000000000000007</v>
      </c>
      <c r="L552">
        <v>7835420</v>
      </c>
      <c r="M552">
        <v>928669</v>
      </c>
      <c r="N552">
        <v>73</v>
      </c>
      <c r="O552" t="s">
        <v>24</v>
      </c>
      <c r="P552" t="s">
        <v>4178</v>
      </c>
    </row>
    <row r="553" spans="1:16" x14ac:dyDescent="0.35">
      <c r="A553" t="s">
        <v>2105</v>
      </c>
      <c r="B553" t="s">
        <v>2106</v>
      </c>
      <c r="C553" t="s">
        <v>84</v>
      </c>
      <c r="D553" t="s">
        <v>156</v>
      </c>
      <c r="E553" t="s">
        <v>45</v>
      </c>
      <c r="F553" s="1">
        <v>43181</v>
      </c>
      <c r="G553">
        <v>2002</v>
      </c>
      <c r="H553" t="s">
        <v>81</v>
      </c>
      <c r="I553" t="s">
        <v>4289</v>
      </c>
      <c r="J553" t="s">
        <v>4178</v>
      </c>
      <c r="K553">
        <v>8.5</v>
      </c>
      <c r="L553">
        <v>15440258</v>
      </c>
      <c r="M553">
        <v>1169994</v>
      </c>
      <c r="N553">
        <v>67</v>
      </c>
      <c r="O553" t="s">
        <v>91</v>
      </c>
      <c r="P553" t="s">
        <v>32</v>
      </c>
    </row>
    <row r="554" spans="1:16" x14ac:dyDescent="0.35">
      <c r="A554" t="s">
        <v>346</v>
      </c>
      <c r="B554" t="s">
        <v>345</v>
      </c>
      <c r="C554" t="s">
        <v>53</v>
      </c>
      <c r="D554" t="s">
        <v>156</v>
      </c>
      <c r="E554" t="s">
        <v>20</v>
      </c>
      <c r="F554" s="1">
        <v>43182</v>
      </c>
      <c r="G554">
        <v>2013</v>
      </c>
      <c r="H554" t="s">
        <v>107</v>
      </c>
      <c r="I554" t="s">
        <v>162</v>
      </c>
      <c r="J554" t="s">
        <v>96</v>
      </c>
      <c r="K554">
        <v>7.2</v>
      </c>
      <c r="L554">
        <v>2564501</v>
      </c>
      <c r="M554">
        <v>1431557</v>
      </c>
      <c r="N554">
        <v>71</v>
      </c>
      <c r="O554" t="s">
        <v>49</v>
      </c>
      <c r="P554" t="s">
        <v>4178</v>
      </c>
    </row>
    <row r="555" spans="1:16" x14ac:dyDescent="0.35">
      <c r="A555" t="s">
        <v>3582</v>
      </c>
      <c r="B555" t="s">
        <v>4385</v>
      </c>
      <c r="C555" t="s">
        <v>53</v>
      </c>
      <c r="D555" t="s">
        <v>4178</v>
      </c>
      <c r="E555" t="s">
        <v>113</v>
      </c>
      <c r="F555" s="1">
        <v>43185</v>
      </c>
      <c r="G555">
        <v>2009</v>
      </c>
      <c r="H555" t="s">
        <v>46</v>
      </c>
      <c r="I555" t="s">
        <v>162</v>
      </c>
      <c r="J555" t="s">
        <v>48</v>
      </c>
      <c r="K555">
        <v>4.5</v>
      </c>
      <c r="L555">
        <v>19825544</v>
      </c>
      <c r="M555">
        <v>664111</v>
      </c>
      <c r="N555">
        <v>41</v>
      </c>
      <c r="O555" t="s">
        <v>104</v>
      </c>
      <c r="P555" t="s">
        <v>4181</v>
      </c>
    </row>
    <row r="556" spans="1:16" x14ac:dyDescent="0.35">
      <c r="A556" t="s">
        <v>3669</v>
      </c>
      <c r="B556" t="s">
        <v>3670</v>
      </c>
      <c r="C556" t="s">
        <v>53</v>
      </c>
      <c r="D556" t="s">
        <v>4178</v>
      </c>
      <c r="E556" t="s">
        <v>20</v>
      </c>
      <c r="F556" s="1">
        <v>43187</v>
      </c>
      <c r="G556">
        <v>2004</v>
      </c>
      <c r="H556" t="s">
        <v>21</v>
      </c>
      <c r="I556" t="s">
        <v>71</v>
      </c>
      <c r="J556" t="s">
        <v>30</v>
      </c>
      <c r="K556">
        <v>5.6</v>
      </c>
      <c r="L556">
        <v>19004794</v>
      </c>
      <c r="M556">
        <v>1939086</v>
      </c>
      <c r="N556">
        <v>79</v>
      </c>
      <c r="O556" t="s">
        <v>31</v>
      </c>
      <c r="P556" t="s">
        <v>32</v>
      </c>
    </row>
    <row r="557" spans="1:16" x14ac:dyDescent="0.35">
      <c r="A557" t="s">
        <v>1786</v>
      </c>
      <c r="B557" t="s">
        <v>1787</v>
      </c>
      <c r="C557" t="s">
        <v>53</v>
      </c>
      <c r="D557" t="s">
        <v>54</v>
      </c>
      <c r="E557" t="s">
        <v>4178</v>
      </c>
      <c r="F557" s="1">
        <v>43189</v>
      </c>
      <c r="G557">
        <v>2024</v>
      </c>
      <c r="H557" t="s">
        <v>114</v>
      </c>
      <c r="I557" t="s">
        <v>162</v>
      </c>
      <c r="J557" t="s">
        <v>72</v>
      </c>
      <c r="K557">
        <v>9.4</v>
      </c>
      <c r="L557">
        <v>10563295</v>
      </c>
      <c r="M557">
        <v>4248987</v>
      </c>
      <c r="N557">
        <v>62</v>
      </c>
      <c r="O557" t="s">
        <v>4178</v>
      </c>
      <c r="P557" t="s">
        <v>50</v>
      </c>
    </row>
    <row r="558" spans="1:16" x14ac:dyDescent="0.35">
      <c r="A558" t="s">
        <v>1948</v>
      </c>
      <c r="B558" t="s">
        <v>1949</v>
      </c>
      <c r="C558" t="s">
        <v>53</v>
      </c>
      <c r="D558" t="s">
        <v>27</v>
      </c>
      <c r="E558" t="s">
        <v>4196</v>
      </c>
      <c r="F558" s="1">
        <v>43189</v>
      </c>
      <c r="G558">
        <v>2009</v>
      </c>
      <c r="H558" t="s">
        <v>4178</v>
      </c>
      <c r="I558" t="s">
        <v>118</v>
      </c>
      <c r="J558" t="s">
        <v>23</v>
      </c>
      <c r="K558">
        <v>9.3000000000000007</v>
      </c>
      <c r="L558">
        <v>22850428</v>
      </c>
      <c r="M558">
        <v>3878352</v>
      </c>
      <c r="N558">
        <v>64</v>
      </c>
      <c r="O558" t="s">
        <v>91</v>
      </c>
      <c r="P558" t="s">
        <v>87</v>
      </c>
    </row>
    <row r="559" spans="1:16" x14ac:dyDescent="0.35">
      <c r="A559" t="s">
        <v>2535</v>
      </c>
      <c r="B559" t="s">
        <v>2536</v>
      </c>
      <c r="C559" t="s">
        <v>53</v>
      </c>
      <c r="D559" t="s">
        <v>19</v>
      </c>
      <c r="E559" t="s">
        <v>4178</v>
      </c>
      <c r="F559" s="1">
        <v>43190</v>
      </c>
      <c r="G559">
        <v>2014</v>
      </c>
      <c r="H559" t="s">
        <v>63</v>
      </c>
      <c r="I559" t="s">
        <v>118</v>
      </c>
      <c r="J559" t="s">
        <v>40</v>
      </c>
      <c r="K559">
        <v>5.9</v>
      </c>
      <c r="L559">
        <v>2358476</v>
      </c>
      <c r="M559">
        <v>1212720</v>
      </c>
      <c r="N559">
        <v>86</v>
      </c>
      <c r="O559" t="s">
        <v>4178</v>
      </c>
      <c r="P559" t="s">
        <v>50</v>
      </c>
    </row>
    <row r="560" spans="1:16" x14ac:dyDescent="0.35">
      <c r="A560" t="s">
        <v>280</v>
      </c>
      <c r="B560" t="s">
        <v>281</v>
      </c>
      <c r="C560" t="s">
        <v>84</v>
      </c>
      <c r="D560" t="s">
        <v>54</v>
      </c>
      <c r="E560" t="s">
        <v>62</v>
      </c>
      <c r="F560" s="1">
        <v>43192</v>
      </c>
      <c r="G560">
        <v>2003</v>
      </c>
      <c r="H560" t="s">
        <v>85</v>
      </c>
      <c r="I560" t="s">
        <v>4217</v>
      </c>
      <c r="J560" t="s">
        <v>96</v>
      </c>
      <c r="K560">
        <v>6.7</v>
      </c>
      <c r="L560">
        <v>15201954</v>
      </c>
      <c r="M560">
        <v>2282539</v>
      </c>
      <c r="N560">
        <v>76</v>
      </c>
      <c r="O560" t="s">
        <v>41</v>
      </c>
      <c r="P560" t="s">
        <v>50</v>
      </c>
    </row>
    <row r="561" spans="1:16" x14ac:dyDescent="0.35">
      <c r="A561" t="s">
        <v>2960</v>
      </c>
      <c r="B561" t="s">
        <v>2961</v>
      </c>
      <c r="C561" t="s">
        <v>4178</v>
      </c>
      <c r="D561" t="s">
        <v>4178</v>
      </c>
      <c r="E561" t="s">
        <v>113</v>
      </c>
      <c r="F561" s="1">
        <v>43195</v>
      </c>
      <c r="G561">
        <v>2032</v>
      </c>
      <c r="H561" t="s">
        <v>107</v>
      </c>
      <c r="I561" t="s">
        <v>118</v>
      </c>
      <c r="J561" t="s">
        <v>48</v>
      </c>
      <c r="K561">
        <v>6.2</v>
      </c>
      <c r="L561">
        <v>20960744</v>
      </c>
      <c r="M561">
        <v>3979522</v>
      </c>
      <c r="N561">
        <v>63</v>
      </c>
      <c r="O561" t="s">
        <v>91</v>
      </c>
      <c r="P561" t="s">
        <v>4178</v>
      </c>
    </row>
    <row r="562" spans="1:16" x14ac:dyDescent="0.35">
      <c r="A562" t="s">
        <v>2152</v>
      </c>
      <c r="B562" t="s">
        <v>2153</v>
      </c>
      <c r="C562" t="s">
        <v>84</v>
      </c>
      <c r="D562" t="s">
        <v>4178</v>
      </c>
      <c r="E562" t="s">
        <v>4178</v>
      </c>
      <c r="F562" s="1">
        <v>43196</v>
      </c>
      <c r="G562">
        <v>2026</v>
      </c>
      <c r="H562" t="s">
        <v>63</v>
      </c>
      <c r="I562" t="s">
        <v>4289</v>
      </c>
      <c r="J562" t="s">
        <v>103</v>
      </c>
      <c r="K562">
        <v>6.6</v>
      </c>
      <c r="L562">
        <v>8017839</v>
      </c>
      <c r="M562">
        <v>2555656</v>
      </c>
      <c r="N562">
        <v>92</v>
      </c>
      <c r="O562" t="s">
        <v>4178</v>
      </c>
      <c r="P562" t="s">
        <v>87</v>
      </c>
    </row>
    <row r="563" spans="1:16" x14ac:dyDescent="0.35">
      <c r="A563" t="s">
        <v>2790</v>
      </c>
      <c r="B563" t="s">
        <v>2791</v>
      </c>
      <c r="C563" t="s">
        <v>4178</v>
      </c>
      <c r="D563" t="s">
        <v>27</v>
      </c>
      <c r="E563" t="s">
        <v>4196</v>
      </c>
      <c r="F563" s="1">
        <v>43197</v>
      </c>
      <c r="G563">
        <v>2018</v>
      </c>
      <c r="H563" t="s">
        <v>4178</v>
      </c>
      <c r="I563" t="s">
        <v>162</v>
      </c>
      <c r="J563" t="s">
        <v>96</v>
      </c>
      <c r="K563">
        <v>9</v>
      </c>
      <c r="L563">
        <v>24913932</v>
      </c>
      <c r="M563">
        <v>2391698</v>
      </c>
      <c r="N563">
        <v>67</v>
      </c>
      <c r="O563" t="s">
        <v>41</v>
      </c>
      <c r="P563" t="s">
        <v>32</v>
      </c>
    </row>
    <row r="564" spans="1:16" x14ac:dyDescent="0.35">
      <c r="A564" t="s">
        <v>3818</v>
      </c>
      <c r="B564" t="s">
        <v>3819</v>
      </c>
      <c r="C564" t="s">
        <v>53</v>
      </c>
      <c r="D564" t="s">
        <v>75</v>
      </c>
      <c r="E564" t="s">
        <v>28</v>
      </c>
      <c r="F564" s="1">
        <v>43200</v>
      </c>
      <c r="G564">
        <v>2021</v>
      </c>
      <c r="H564" t="s">
        <v>107</v>
      </c>
      <c r="I564" t="s">
        <v>118</v>
      </c>
      <c r="J564" t="s">
        <v>23</v>
      </c>
      <c r="K564">
        <v>8.3000000000000007</v>
      </c>
      <c r="L564">
        <v>21158203</v>
      </c>
      <c r="M564">
        <v>2907082</v>
      </c>
      <c r="N564">
        <v>41</v>
      </c>
      <c r="O564" t="s">
        <v>104</v>
      </c>
      <c r="P564" t="s">
        <v>50</v>
      </c>
    </row>
    <row r="565" spans="1:16" x14ac:dyDescent="0.35">
      <c r="A565" t="s">
        <v>3848</v>
      </c>
      <c r="B565" t="s">
        <v>3849</v>
      </c>
      <c r="C565" t="s">
        <v>53</v>
      </c>
      <c r="D565" t="s">
        <v>94</v>
      </c>
      <c r="E565" t="s">
        <v>37</v>
      </c>
      <c r="F565" s="1">
        <v>43201</v>
      </c>
      <c r="G565">
        <v>2009</v>
      </c>
      <c r="H565" t="s">
        <v>4178</v>
      </c>
      <c r="I565" t="s">
        <v>95</v>
      </c>
      <c r="J565" t="s">
        <v>57</v>
      </c>
      <c r="K565">
        <v>4.5</v>
      </c>
      <c r="L565">
        <v>592935</v>
      </c>
      <c r="M565">
        <v>980756</v>
      </c>
      <c r="N565">
        <v>79</v>
      </c>
      <c r="O565" t="s">
        <v>31</v>
      </c>
      <c r="P565" t="s">
        <v>4178</v>
      </c>
    </row>
    <row r="566" spans="1:16" x14ac:dyDescent="0.35">
      <c r="A566" t="s">
        <v>3196</v>
      </c>
      <c r="B566" t="s">
        <v>3197</v>
      </c>
      <c r="C566" t="s">
        <v>53</v>
      </c>
      <c r="D566" t="s">
        <v>90</v>
      </c>
      <c r="E566" t="s">
        <v>4178</v>
      </c>
      <c r="F566" s="1">
        <v>43202</v>
      </c>
      <c r="G566">
        <v>2015</v>
      </c>
      <c r="H566" t="s">
        <v>46</v>
      </c>
      <c r="I566" t="s">
        <v>95</v>
      </c>
      <c r="J566" t="s">
        <v>133</v>
      </c>
      <c r="K566">
        <v>5.7</v>
      </c>
      <c r="L566">
        <v>5222371</v>
      </c>
      <c r="M566">
        <v>1782150</v>
      </c>
      <c r="N566">
        <v>83</v>
      </c>
      <c r="O566" t="s">
        <v>123</v>
      </c>
      <c r="P566" t="s">
        <v>4178</v>
      </c>
    </row>
    <row r="567" spans="1:16" x14ac:dyDescent="0.35">
      <c r="A567" t="s">
        <v>3727</v>
      </c>
      <c r="B567" t="s">
        <v>4389</v>
      </c>
      <c r="C567" t="s">
        <v>84</v>
      </c>
      <c r="D567" t="s">
        <v>4178</v>
      </c>
      <c r="E567" t="s">
        <v>28</v>
      </c>
      <c r="F567" s="1">
        <v>43202</v>
      </c>
      <c r="G567">
        <v>2023</v>
      </c>
      <c r="H567" t="s">
        <v>63</v>
      </c>
      <c r="I567" t="s">
        <v>4299</v>
      </c>
      <c r="J567" t="s">
        <v>96</v>
      </c>
      <c r="K567">
        <v>5.4</v>
      </c>
      <c r="L567">
        <v>3093234</v>
      </c>
      <c r="M567">
        <v>4732585</v>
      </c>
      <c r="N567">
        <v>87</v>
      </c>
      <c r="O567" t="s">
        <v>41</v>
      </c>
      <c r="P567" t="s">
        <v>32</v>
      </c>
    </row>
    <row r="568" spans="1:16" x14ac:dyDescent="0.35">
      <c r="A568" t="s">
        <v>1019</v>
      </c>
      <c r="B568" t="s">
        <v>1020</v>
      </c>
      <c r="C568" t="s">
        <v>4178</v>
      </c>
      <c r="D568" t="s">
        <v>36</v>
      </c>
      <c r="E568" t="s">
        <v>37</v>
      </c>
      <c r="F568" s="1">
        <v>43204</v>
      </c>
      <c r="G568">
        <v>2032</v>
      </c>
      <c r="H568" t="s">
        <v>4178</v>
      </c>
      <c r="I568" t="s">
        <v>4178</v>
      </c>
      <c r="J568" t="s">
        <v>23</v>
      </c>
      <c r="K568">
        <v>6</v>
      </c>
      <c r="L568">
        <v>24716876</v>
      </c>
      <c r="M568">
        <v>1215977</v>
      </c>
      <c r="N568">
        <v>81</v>
      </c>
      <c r="O568" t="s">
        <v>104</v>
      </c>
      <c r="P568" t="s">
        <v>4181</v>
      </c>
    </row>
    <row r="569" spans="1:16" x14ac:dyDescent="0.35">
      <c r="A569" t="s">
        <v>1691</v>
      </c>
      <c r="B569" t="s">
        <v>1692</v>
      </c>
      <c r="C569" t="s">
        <v>4178</v>
      </c>
      <c r="D569" t="s">
        <v>54</v>
      </c>
      <c r="E569" t="s">
        <v>28</v>
      </c>
      <c r="F569" s="1">
        <v>43204</v>
      </c>
      <c r="G569">
        <v>2015</v>
      </c>
      <c r="H569" t="s">
        <v>81</v>
      </c>
      <c r="I569" t="s">
        <v>64</v>
      </c>
      <c r="J569" t="s">
        <v>133</v>
      </c>
      <c r="K569">
        <v>4.8</v>
      </c>
      <c r="L569">
        <v>6829833</v>
      </c>
      <c r="M569">
        <v>2993755</v>
      </c>
      <c r="N569">
        <v>71</v>
      </c>
      <c r="O569" t="s">
        <v>49</v>
      </c>
      <c r="P569" t="s">
        <v>87</v>
      </c>
    </row>
    <row r="570" spans="1:16" x14ac:dyDescent="0.35">
      <c r="A570" t="s">
        <v>2997</v>
      </c>
      <c r="B570" t="s">
        <v>2998</v>
      </c>
      <c r="C570" t="s">
        <v>53</v>
      </c>
      <c r="D570" t="s">
        <v>68</v>
      </c>
      <c r="E570" t="s">
        <v>80</v>
      </c>
      <c r="F570" s="1">
        <v>43204</v>
      </c>
      <c r="G570">
        <v>2003</v>
      </c>
      <c r="H570" t="s">
        <v>46</v>
      </c>
      <c r="I570" t="s">
        <v>56</v>
      </c>
      <c r="J570" t="s">
        <v>30</v>
      </c>
      <c r="K570">
        <v>6.8</v>
      </c>
      <c r="L570">
        <v>10202379</v>
      </c>
      <c r="M570">
        <v>874170</v>
      </c>
      <c r="N570">
        <v>50</v>
      </c>
      <c r="O570" t="s">
        <v>104</v>
      </c>
      <c r="P570" t="s">
        <v>50</v>
      </c>
    </row>
    <row r="571" spans="1:16" x14ac:dyDescent="0.35">
      <c r="A571" t="s">
        <v>1693</v>
      </c>
      <c r="B571" t="s">
        <v>1692</v>
      </c>
      <c r="C571" t="s">
        <v>84</v>
      </c>
      <c r="D571" t="s">
        <v>94</v>
      </c>
      <c r="E571" t="s">
        <v>80</v>
      </c>
      <c r="F571" s="1">
        <v>43207</v>
      </c>
      <c r="G571">
        <v>2013</v>
      </c>
      <c r="H571" t="s">
        <v>4178</v>
      </c>
      <c r="I571" t="s">
        <v>4204</v>
      </c>
      <c r="J571" t="s">
        <v>48</v>
      </c>
      <c r="K571">
        <v>6.8</v>
      </c>
      <c r="L571">
        <v>8196478</v>
      </c>
      <c r="M571">
        <v>3376343</v>
      </c>
      <c r="N571">
        <v>60</v>
      </c>
      <c r="O571" t="s">
        <v>31</v>
      </c>
      <c r="P571" t="s">
        <v>32</v>
      </c>
    </row>
    <row r="572" spans="1:16" x14ac:dyDescent="0.35">
      <c r="A572" t="s">
        <v>285</v>
      </c>
      <c r="B572" t="s">
        <v>286</v>
      </c>
      <c r="C572" t="s">
        <v>84</v>
      </c>
      <c r="D572" t="s">
        <v>27</v>
      </c>
      <c r="E572" t="s">
        <v>4178</v>
      </c>
      <c r="F572" s="1">
        <v>43209</v>
      </c>
      <c r="G572">
        <v>2025</v>
      </c>
      <c r="H572" t="s">
        <v>38</v>
      </c>
      <c r="I572" t="s">
        <v>4218</v>
      </c>
      <c r="J572" t="s">
        <v>57</v>
      </c>
      <c r="K572">
        <v>5</v>
      </c>
      <c r="L572">
        <v>12818994</v>
      </c>
      <c r="M572">
        <v>1682333</v>
      </c>
      <c r="N572">
        <v>86</v>
      </c>
      <c r="O572" t="s">
        <v>31</v>
      </c>
      <c r="P572" t="s">
        <v>50</v>
      </c>
    </row>
    <row r="573" spans="1:16" x14ac:dyDescent="0.35">
      <c r="A573" t="s">
        <v>1592</v>
      </c>
      <c r="B573" t="s">
        <v>1593</v>
      </c>
      <c r="C573" t="s">
        <v>53</v>
      </c>
      <c r="D573" t="s">
        <v>68</v>
      </c>
      <c r="E573" t="s">
        <v>4196</v>
      </c>
      <c r="F573" s="1">
        <v>43211</v>
      </c>
      <c r="G573">
        <v>2010</v>
      </c>
      <c r="H573" t="s">
        <v>38</v>
      </c>
      <c r="I573" t="s">
        <v>95</v>
      </c>
      <c r="J573" t="s">
        <v>72</v>
      </c>
      <c r="K573">
        <v>8.4</v>
      </c>
      <c r="L573">
        <v>7494918</v>
      </c>
      <c r="M573">
        <v>1790518</v>
      </c>
      <c r="N573">
        <v>44</v>
      </c>
      <c r="O573" t="s">
        <v>65</v>
      </c>
      <c r="P573" t="s">
        <v>87</v>
      </c>
    </row>
    <row r="574" spans="1:16" x14ac:dyDescent="0.35">
      <c r="A574" t="s">
        <v>1852</v>
      </c>
      <c r="B574" t="s">
        <v>1853</v>
      </c>
      <c r="C574" t="s">
        <v>53</v>
      </c>
      <c r="D574" t="s">
        <v>19</v>
      </c>
      <c r="E574" t="s">
        <v>55</v>
      </c>
      <c r="F574" s="1">
        <v>43212</v>
      </c>
      <c r="G574">
        <v>2011</v>
      </c>
      <c r="H574" t="s">
        <v>46</v>
      </c>
      <c r="I574" t="s">
        <v>162</v>
      </c>
      <c r="J574" t="s">
        <v>72</v>
      </c>
      <c r="K574">
        <v>9</v>
      </c>
      <c r="L574">
        <v>20718239</v>
      </c>
      <c r="M574">
        <v>4380600</v>
      </c>
      <c r="N574">
        <v>52</v>
      </c>
      <c r="O574" t="s">
        <v>31</v>
      </c>
      <c r="P574" t="s">
        <v>4181</v>
      </c>
    </row>
    <row r="575" spans="1:16" x14ac:dyDescent="0.35">
      <c r="A575" t="s">
        <v>3659</v>
      </c>
      <c r="B575" t="s">
        <v>3660</v>
      </c>
      <c r="C575" t="s">
        <v>4178</v>
      </c>
      <c r="D575" t="s">
        <v>27</v>
      </c>
      <c r="E575" t="s">
        <v>4178</v>
      </c>
      <c r="F575" s="1">
        <v>43221</v>
      </c>
      <c r="G575">
        <v>2005</v>
      </c>
      <c r="H575" t="s">
        <v>121</v>
      </c>
      <c r="I575" t="s">
        <v>136</v>
      </c>
      <c r="J575" t="s">
        <v>40</v>
      </c>
      <c r="K575">
        <v>7.8</v>
      </c>
      <c r="L575">
        <v>4967482</v>
      </c>
      <c r="M575">
        <v>1216012</v>
      </c>
      <c r="N575">
        <v>98</v>
      </c>
      <c r="O575" t="s">
        <v>4178</v>
      </c>
      <c r="P575" t="s">
        <v>87</v>
      </c>
    </row>
    <row r="576" spans="1:16" x14ac:dyDescent="0.35">
      <c r="A576" t="s">
        <v>1263</v>
      </c>
      <c r="B576" t="s">
        <v>1264</v>
      </c>
      <c r="C576" t="s">
        <v>84</v>
      </c>
      <c r="D576" t="s">
        <v>90</v>
      </c>
      <c r="E576" t="s">
        <v>4178</v>
      </c>
      <c r="F576" s="1">
        <v>43222</v>
      </c>
      <c r="G576">
        <v>2007</v>
      </c>
      <c r="H576" t="s">
        <v>81</v>
      </c>
      <c r="I576" t="s">
        <v>4294</v>
      </c>
      <c r="J576" t="s">
        <v>40</v>
      </c>
      <c r="K576">
        <v>9.3000000000000007</v>
      </c>
      <c r="L576">
        <v>828861</v>
      </c>
      <c r="M576">
        <v>1236332</v>
      </c>
      <c r="N576">
        <v>98</v>
      </c>
      <c r="O576" t="s">
        <v>123</v>
      </c>
      <c r="P576" t="s">
        <v>50</v>
      </c>
    </row>
    <row r="577" spans="1:16" x14ac:dyDescent="0.35">
      <c r="A577" t="s">
        <v>148</v>
      </c>
      <c r="B577" t="s">
        <v>149</v>
      </c>
      <c r="C577" t="s">
        <v>84</v>
      </c>
      <c r="D577" t="s">
        <v>61</v>
      </c>
      <c r="E577" t="s">
        <v>4178</v>
      </c>
      <c r="F577" s="1">
        <v>43224</v>
      </c>
      <c r="G577">
        <v>2008</v>
      </c>
      <c r="H577" t="s">
        <v>21</v>
      </c>
      <c r="I577" t="s">
        <v>4193</v>
      </c>
      <c r="J577" t="s">
        <v>23</v>
      </c>
      <c r="K577">
        <v>8.6999999999999993</v>
      </c>
      <c r="L577">
        <v>983458</v>
      </c>
      <c r="M577">
        <v>3356792</v>
      </c>
      <c r="N577">
        <v>100</v>
      </c>
      <c r="O577" t="s">
        <v>65</v>
      </c>
      <c r="P577" t="s">
        <v>4178</v>
      </c>
    </row>
    <row r="578" spans="1:16" x14ac:dyDescent="0.35">
      <c r="A578" t="s">
        <v>1484</v>
      </c>
      <c r="B578" t="s">
        <v>1485</v>
      </c>
      <c r="C578" t="s">
        <v>84</v>
      </c>
      <c r="D578" t="s">
        <v>68</v>
      </c>
      <c r="E578" t="s">
        <v>20</v>
      </c>
      <c r="F578" s="1">
        <v>43232</v>
      </c>
      <c r="G578">
        <v>2010</v>
      </c>
      <c r="H578" t="s">
        <v>46</v>
      </c>
      <c r="I578" t="s">
        <v>4273</v>
      </c>
      <c r="J578" t="s">
        <v>103</v>
      </c>
      <c r="K578">
        <v>4.5999999999999996</v>
      </c>
      <c r="L578">
        <v>24705018</v>
      </c>
      <c r="M578">
        <v>499962</v>
      </c>
      <c r="N578">
        <v>83</v>
      </c>
      <c r="O578" t="s">
        <v>123</v>
      </c>
      <c r="P578" t="s">
        <v>4181</v>
      </c>
    </row>
    <row r="579" spans="1:16" x14ac:dyDescent="0.35">
      <c r="A579" t="s">
        <v>1641</v>
      </c>
      <c r="B579" t="s">
        <v>1642</v>
      </c>
      <c r="C579" t="s">
        <v>84</v>
      </c>
      <c r="D579" t="s">
        <v>19</v>
      </c>
      <c r="E579" t="s">
        <v>20</v>
      </c>
      <c r="F579" s="1">
        <v>43232</v>
      </c>
      <c r="G579">
        <v>2022</v>
      </c>
      <c r="H579" t="s">
        <v>21</v>
      </c>
      <c r="I579" t="s">
        <v>4214</v>
      </c>
      <c r="J579" t="s">
        <v>72</v>
      </c>
      <c r="K579">
        <v>6.1</v>
      </c>
      <c r="L579">
        <v>13285445</v>
      </c>
      <c r="M579">
        <v>4081885</v>
      </c>
      <c r="N579">
        <v>76</v>
      </c>
      <c r="O579" t="s">
        <v>49</v>
      </c>
      <c r="P579" t="s">
        <v>50</v>
      </c>
    </row>
    <row r="580" spans="1:16" x14ac:dyDescent="0.35">
      <c r="A580" t="s">
        <v>1013</v>
      </c>
      <c r="B580" t="s">
        <v>1014</v>
      </c>
      <c r="C580" t="s">
        <v>53</v>
      </c>
      <c r="D580" t="s">
        <v>90</v>
      </c>
      <c r="E580" t="s">
        <v>99</v>
      </c>
      <c r="F580" s="1">
        <v>43236</v>
      </c>
      <c r="G580">
        <v>2016</v>
      </c>
      <c r="H580" t="s">
        <v>107</v>
      </c>
      <c r="I580" t="s">
        <v>71</v>
      </c>
      <c r="J580" t="s">
        <v>72</v>
      </c>
      <c r="K580">
        <v>7.2</v>
      </c>
      <c r="L580">
        <v>242714</v>
      </c>
      <c r="M580">
        <v>4326797</v>
      </c>
      <c r="N580">
        <v>120</v>
      </c>
      <c r="O580" t="s">
        <v>24</v>
      </c>
      <c r="P580" t="s">
        <v>32</v>
      </c>
    </row>
    <row r="581" spans="1:16" x14ac:dyDescent="0.35">
      <c r="A581" t="s">
        <v>3691</v>
      </c>
      <c r="B581" t="s">
        <v>3692</v>
      </c>
      <c r="C581" t="s">
        <v>4178</v>
      </c>
      <c r="D581" t="s">
        <v>4178</v>
      </c>
      <c r="E581" t="s">
        <v>45</v>
      </c>
      <c r="F581" s="1">
        <v>43239</v>
      </c>
      <c r="G581">
        <v>2004</v>
      </c>
      <c r="H581" t="s">
        <v>46</v>
      </c>
      <c r="I581" t="s">
        <v>56</v>
      </c>
      <c r="J581" t="s">
        <v>40</v>
      </c>
      <c r="K581">
        <v>6.6</v>
      </c>
      <c r="L581">
        <v>19018942</v>
      </c>
      <c r="M581">
        <v>1968644</v>
      </c>
      <c r="N581">
        <v>92</v>
      </c>
      <c r="O581" t="s">
        <v>91</v>
      </c>
      <c r="P581" t="s">
        <v>4181</v>
      </c>
    </row>
    <row r="582" spans="1:16" x14ac:dyDescent="0.35">
      <c r="A582" t="s">
        <v>398</v>
      </c>
      <c r="B582" t="s">
        <v>399</v>
      </c>
      <c r="C582" t="s">
        <v>84</v>
      </c>
      <c r="D582" t="s">
        <v>61</v>
      </c>
      <c r="E582" t="s">
        <v>55</v>
      </c>
      <c r="F582" s="1">
        <v>43241</v>
      </c>
      <c r="G582">
        <v>2015</v>
      </c>
      <c r="H582" t="s">
        <v>114</v>
      </c>
      <c r="I582" t="s">
        <v>4188</v>
      </c>
      <c r="J582" t="s">
        <v>72</v>
      </c>
      <c r="K582">
        <v>7.8</v>
      </c>
      <c r="L582">
        <v>20141516</v>
      </c>
      <c r="M582">
        <v>3294070</v>
      </c>
      <c r="N582">
        <v>50</v>
      </c>
      <c r="O582" t="s">
        <v>49</v>
      </c>
      <c r="P582" t="s">
        <v>32</v>
      </c>
    </row>
    <row r="583" spans="1:16" x14ac:dyDescent="0.35">
      <c r="A583" t="s">
        <v>2699</v>
      </c>
      <c r="B583" t="s">
        <v>2700</v>
      </c>
      <c r="C583" t="s">
        <v>53</v>
      </c>
      <c r="D583" t="s">
        <v>68</v>
      </c>
      <c r="E583" t="s">
        <v>99</v>
      </c>
      <c r="F583" s="1">
        <v>43241</v>
      </c>
      <c r="G583">
        <v>2021</v>
      </c>
      <c r="H583" t="s">
        <v>46</v>
      </c>
      <c r="I583" t="s">
        <v>136</v>
      </c>
      <c r="J583" t="s">
        <v>72</v>
      </c>
      <c r="K583">
        <v>7.2</v>
      </c>
      <c r="L583">
        <v>7537139</v>
      </c>
      <c r="M583">
        <v>873947</v>
      </c>
      <c r="N583">
        <v>98</v>
      </c>
      <c r="O583" t="s">
        <v>41</v>
      </c>
      <c r="P583" t="s">
        <v>32</v>
      </c>
    </row>
    <row r="584" spans="1:16" x14ac:dyDescent="0.35">
      <c r="A584" t="s">
        <v>283</v>
      </c>
      <c r="B584" t="s">
        <v>284</v>
      </c>
      <c r="C584" t="s">
        <v>84</v>
      </c>
      <c r="D584" t="s">
        <v>94</v>
      </c>
      <c r="E584" t="s">
        <v>80</v>
      </c>
      <c r="F584" s="1">
        <v>43242</v>
      </c>
      <c r="G584">
        <v>2009</v>
      </c>
      <c r="H584" t="s">
        <v>107</v>
      </c>
      <c r="I584" t="s">
        <v>4198</v>
      </c>
      <c r="J584" t="s">
        <v>23</v>
      </c>
      <c r="K584">
        <v>8.1</v>
      </c>
      <c r="L584">
        <v>7873591</v>
      </c>
      <c r="M584">
        <v>3786522</v>
      </c>
      <c r="N584">
        <v>40</v>
      </c>
      <c r="O584" t="s">
        <v>41</v>
      </c>
      <c r="P584" t="s">
        <v>50</v>
      </c>
    </row>
    <row r="585" spans="1:16" x14ac:dyDescent="0.35">
      <c r="A585" t="s">
        <v>1159</v>
      </c>
      <c r="B585" t="s">
        <v>1160</v>
      </c>
      <c r="C585" t="s">
        <v>53</v>
      </c>
      <c r="D585" t="s">
        <v>75</v>
      </c>
      <c r="E585" t="s">
        <v>62</v>
      </c>
      <c r="F585" s="1">
        <v>43245</v>
      </c>
      <c r="G585">
        <v>2011</v>
      </c>
      <c r="H585" t="s">
        <v>85</v>
      </c>
      <c r="I585" t="s">
        <v>162</v>
      </c>
      <c r="J585" t="s">
        <v>23</v>
      </c>
      <c r="K585">
        <v>5.2</v>
      </c>
      <c r="L585">
        <v>8084787</v>
      </c>
      <c r="M585">
        <v>1598777</v>
      </c>
      <c r="N585">
        <v>52</v>
      </c>
      <c r="O585" t="s">
        <v>104</v>
      </c>
      <c r="P585" t="s">
        <v>4181</v>
      </c>
    </row>
    <row r="586" spans="1:16" x14ac:dyDescent="0.35">
      <c r="A586" t="s">
        <v>2730</v>
      </c>
      <c r="B586" t="s">
        <v>2731</v>
      </c>
      <c r="C586" t="s">
        <v>84</v>
      </c>
      <c r="D586" t="s">
        <v>61</v>
      </c>
      <c r="E586" t="s">
        <v>131</v>
      </c>
      <c r="F586" s="1">
        <v>43245</v>
      </c>
      <c r="G586">
        <v>2002</v>
      </c>
      <c r="H586" t="s">
        <v>63</v>
      </c>
      <c r="I586" t="s">
        <v>4178</v>
      </c>
      <c r="J586" t="s">
        <v>103</v>
      </c>
      <c r="K586">
        <v>6.8</v>
      </c>
      <c r="L586">
        <v>2643278</v>
      </c>
      <c r="M586">
        <v>895695</v>
      </c>
      <c r="N586">
        <v>40</v>
      </c>
      <c r="O586" t="s">
        <v>4178</v>
      </c>
      <c r="P586" t="s">
        <v>87</v>
      </c>
    </row>
    <row r="587" spans="1:16" x14ac:dyDescent="0.35">
      <c r="A587" t="s">
        <v>1739</v>
      </c>
      <c r="B587" t="s">
        <v>1740</v>
      </c>
      <c r="C587" t="s">
        <v>84</v>
      </c>
      <c r="D587" t="s">
        <v>4178</v>
      </c>
      <c r="E587" t="s">
        <v>80</v>
      </c>
      <c r="F587" s="1">
        <v>43246</v>
      </c>
      <c r="G587">
        <v>2021</v>
      </c>
      <c r="H587" t="s">
        <v>114</v>
      </c>
      <c r="I587" t="s">
        <v>4258</v>
      </c>
      <c r="J587" t="s">
        <v>40</v>
      </c>
      <c r="K587">
        <v>6.3</v>
      </c>
      <c r="L587">
        <v>18487246</v>
      </c>
      <c r="M587">
        <v>3524037</v>
      </c>
      <c r="N587">
        <v>80</v>
      </c>
      <c r="O587" t="s">
        <v>104</v>
      </c>
      <c r="P587" t="s">
        <v>4181</v>
      </c>
    </row>
    <row r="588" spans="1:16" x14ac:dyDescent="0.35">
      <c r="A588" t="s">
        <v>3592</v>
      </c>
      <c r="B588" t="s">
        <v>3593</v>
      </c>
      <c r="C588" t="s">
        <v>53</v>
      </c>
      <c r="D588" t="s">
        <v>90</v>
      </c>
      <c r="E588" t="s">
        <v>45</v>
      </c>
      <c r="F588" s="1">
        <v>43246</v>
      </c>
      <c r="G588">
        <v>2025</v>
      </c>
      <c r="H588" t="s">
        <v>114</v>
      </c>
      <c r="I588" t="s">
        <v>71</v>
      </c>
      <c r="J588" t="s">
        <v>133</v>
      </c>
      <c r="K588">
        <v>5.0999999999999996</v>
      </c>
      <c r="L588">
        <v>4575603</v>
      </c>
      <c r="M588">
        <v>3878795</v>
      </c>
      <c r="N588">
        <v>55</v>
      </c>
      <c r="O588" t="s">
        <v>24</v>
      </c>
      <c r="P588" t="s">
        <v>87</v>
      </c>
    </row>
    <row r="589" spans="1:16" x14ac:dyDescent="0.35">
      <c r="A589" t="s">
        <v>276</v>
      </c>
      <c r="B589" t="s">
        <v>277</v>
      </c>
      <c r="C589" t="s">
        <v>84</v>
      </c>
      <c r="D589" t="s">
        <v>4178</v>
      </c>
      <c r="E589" t="s">
        <v>62</v>
      </c>
      <c r="F589" s="1">
        <v>43248</v>
      </c>
      <c r="G589">
        <v>2013</v>
      </c>
      <c r="H589" t="s">
        <v>114</v>
      </c>
      <c r="I589" t="s">
        <v>4178</v>
      </c>
      <c r="J589" t="s">
        <v>72</v>
      </c>
      <c r="K589">
        <v>9.6</v>
      </c>
      <c r="L589">
        <v>4081745</v>
      </c>
      <c r="M589">
        <v>1082866</v>
      </c>
      <c r="N589">
        <v>57</v>
      </c>
      <c r="O589" t="s">
        <v>4178</v>
      </c>
      <c r="P589" t="s">
        <v>4181</v>
      </c>
    </row>
    <row r="590" spans="1:16" x14ac:dyDescent="0.35">
      <c r="A590" t="s">
        <v>3476</v>
      </c>
      <c r="B590" t="s">
        <v>3477</v>
      </c>
      <c r="C590" t="s">
        <v>84</v>
      </c>
      <c r="D590" t="s">
        <v>4178</v>
      </c>
      <c r="E590" t="s">
        <v>20</v>
      </c>
      <c r="F590" s="1">
        <v>43250</v>
      </c>
      <c r="G590">
        <v>2015</v>
      </c>
      <c r="H590" t="s">
        <v>46</v>
      </c>
      <c r="I590" t="s">
        <v>4225</v>
      </c>
      <c r="J590" t="s">
        <v>133</v>
      </c>
      <c r="K590">
        <v>6.8</v>
      </c>
      <c r="L590">
        <v>11093736</v>
      </c>
      <c r="M590">
        <v>4391577</v>
      </c>
      <c r="N590">
        <v>83</v>
      </c>
      <c r="O590" t="s">
        <v>91</v>
      </c>
      <c r="P590" t="s">
        <v>50</v>
      </c>
    </row>
    <row r="591" spans="1:16" x14ac:dyDescent="0.35">
      <c r="A591" t="s">
        <v>3579</v>
      </c>
      <c r="B591" t="s">
        <v>3578</v>
      </c>
      <c r="C591" t="s">
        <v>84</v>
      </c>
      <c r="D591" t="s">
        <v>68</v>
      </c>
      <c r="E591" t="s">
        <v>28</v>
      </c>
      <c r="F591" s="1">
        <v>43252</v>
      </c>
      <c r="G591">
        <v>2007</v>
      </c>
      <c r="H591" t="s">
        <v>4178</v>
      </c>
      <c r="I591" t="s">
        <v>4193</v>
      </c>
      <c r="J591" t="s">
        <v>72</v>
      </c>
      <c r="K591">
        <v>7.2</v>
      </c>
      <c r="L591">
        <v>11112156</v>
      </c>
      <c r="M591">
        <v>1172028</v>
      </c>
      <c r="N591">
        <v>64</v>
      </c>
      <c r="O591" t="s">
        <v>31</v>
      </c>
      <c r="P591" t="s">
        <v>32</v>
      </c>
    </row>
    <row r="592" spans="1:16" x14ac:dyDescent="0.35">
      <c r="A592" t="s">
        <v>1714</v>
      </c>
      <c r="B592" t="s">
        <v>1713</v>
      </c>
      <c r="C592" t="s">
        <v>84</v>
      </c>
      <c r="D592" t="s">
        <v>4178</v>
      </c>
      <c r="E592" t="s">
        <v>55</v>
      </c>
      <c r="F592" s="1">
        <v>43253</v>
      </c>
      <c r="G592">
        <v>2011</v>
      </c>
      <c r="H592" t="s">
        <v>46</v>
      </c>
      <c r="I592" t="s">
        <v>4261</v>
      </c>
      <c r="J592" t="s">
        <v>57</v>
      </c>
      <c r="K592">
        <v>9.5</v>
      </c>
      <c r="L592">
        <v>13871171</v>
      </c>
      <c r="M592">
        <v>3084984</v>
      </c>
      <c r="N592">
        <v>99</v>
      </c>
      <c r="O592" t="s">
        <v>123</v>
      </c>
      <c r="P592" t="s">
        <v>87</v>
      </c>
    </row>
    <row r="593" spans="1:16" x14ac:dyDescent="0.35">
      <c r="A593" t="s">
        <v>3785</v>
      </c>
      <c r="B593" t="s">
        <v>3786</v>
      </c>
      <c r="C593" t="s">
        <v>4178</v>
      </c>
      <c r="D593" t="s">
        <v>90</v>
      </c>
      <c r="E593" t="s">
        <v>99</v>
      </c>
      <c r="F593" s="1">
        <v>43259</v>
      </c>
      <c r="G593">
        <v>2000</v>
      </c>
      <c r="H593" t="s">
        <v>107</v>
      </c>
      <c r="I593" t="s">
        <v>162</v>
      </c>
      <c r="J593" t="s">
        <v>48</v>
      </c>
      <c r="K593">
        <v>7.4</v>
      </c>
      <c r="L593">
        <v>847673</v>
      </c>
      <c r="M593">
        <v>486347</v>
      </c>
      <c r="N593">
        <v>96</v>
      </c>
      <c r="O593" t="s">
        <v>91</v>
      </c>
      <c r="P593" t="s">
        <v>32</v>
      </c>
    </row>
    <row r="594" spans="1:16" x14ac:dyDescent="0.35">
      <c r="A594" t="s">
        <v>3729</v>
      </c>
      <c r="B594" t="s">
        <v>3730</v>
      </c>
      <c r="C594" t="s">
        <v>84</v>
      </c>
      <c r="D594" t="s">
        <v>54</v>
      </c>
      <c r="E594" t="s">
        <v>28</v>
      </c>
      <c r="F594" s="1">
        <v>43261</v>
      </c>
      <c r="G594">
        <v>2020</v>
      </c>
      <c r="H594" t="s">
        <v>4178</v>
      </c>
      <c r="I594" t="s">
        <v>4284</v>
      </c>
      <c r="J594" t="s">
        <v>133</v>
      </c>
      <c r="K594">
        <v>7.2</v>
      </c>
      <c r="L594">
        <v>18896965</v>
      </c>
      <c r="M594">
        <v>3045403</v>
      </c>
      <c r="N594">
        <v>79</v>
      </c>
      <c r="O594" t="s">
        <v>104</v>
      </c>
      <c r="P594" t="s">
        <v>4178</v>
      </c>
    </row>
    <row r="595" spans="1:16" x14ac:dyDescent="0.35">
      <c r="A595" t="s">
        <v>2363</v>
      </c>
      <c r="B595" t="s">
        <v>4353</v>
      </c>
      <c r="C595" t="s">
        <v>84</v>
      </c>
      <c r="D595" t="s">
        <v>90</v>
      </c>
      <c r="E595" t="s">
        <v>113</v>
      </c>
      <c r="F595" s="1">
        <v>43262</v>
      </c>
      <c r="G595">
        <v>2026</v>
      </c>
      <c r="H595" t="s">
        <v>4178</v>
      </c>
      <c r="I595" t="s">
        <v>4202</v>
      </c>
      <c r="J595" t="s">
        <v>96</v>
      </c>
      <c r="K595">
        <v>6.9</v>
      </c>
      <c r="L595">
        <v>7695009</v>
      </c>
      <c r="M595">
        <v>4872869</v>
      </c>
      <c r="N595">
        <v>60</v>
      </c>
      <c r="O595" t="s">
        <v>49</v>
      </c>
      <c r="P595" t="s">
        <v>4178</v>
      </c>
    </row>
    <row r="596" spans="1:16" x14ac:dyDescent="0.35">
      <c r="A596" t="s">
        <v>3474</v>
      </c>
      <c r="B596" t="s">
        <v>3475</v>
      </c>
      <c r="C596" t="s">
        <v>84</v>
      </c>
      <c r="D596" t="s">
        <v>94</v>
      </c>
      <c r="E596" t="s">
        <v>4178</v>
      </c>
      <c r="F596" s="1">
        <v>43265</v>
      </c>
      <c r="G596">
        <v>2002</v>
      </c>
      <c r="H596" t="s">
        <v>114</v>
      </c>
      <c r="I596" t="s">
        <v>4223</v>
      </c>
      <c r="J596" t="s">
        <v>48</v>
      </c>
      <c r="K596">
        <v>9.6</v>
      </c>
      <c r="L596">
        <v>19500811</v>
      </c>
      <c r="M596">
        <v>3141815</v>
      </c>
      <c r="N596">
        <v>99</v>
      </c>
      <c r="O596" t="s">
        <v>4178</v>
      </c>
      <c r="P596" t="s">
        <v>50</v>
      </c>
    </row>
    <row r="597" spans="1:16" x14ac:dyDescent="0.35">
      <c r="A597" t="s">
        <v>465</v>
      </c>
      <c r="B597" t="s">
        <v>466</v>
      </c>
      <c r="C597" t="s">
        <v>84</v>
      </c>
      <c r="D597" t="s">
        <v>19</v>
      </c>
      <c r="E597" t="s">
        <v>80</v>
      </c>
      <c r="F597" s="1">
        <v>43266</v>
      </c>
      <c r="G597">
        <v>2008</v>
      </c>
      <c r="H597" t="s">
        <v>85</v>
      </c>
      <c r="I597" t="s">
        <v>4243</v>
      </c>
      <c r="J597" t="s">
        <v>23</v>
      </c>
      <c r="K597">
        <v>8.6999999999999993</v>
      </c>
      <c r="L597">
        <v>13146599</v>
      </c>
      <c r="M597">
        <v>277340</v>
      </c>
      <c r="N597">
        <v>49</v>
      </c>
      <c r="O597" t="s">
        <v>123</v>
      </c>
      <c r="P597" t="s">
        <v>4181</v>
      </c>
    </row>
    <row r="598" spans="1:16" x14ac:dyDescent="0.35">
      <c r="A598" t="s">
        <v>3701</v>
      </c>
      <c r="B598" t="s">
        <v>3702</v>
      </c>
      <c r="C598" t="s">
        <v>53</v>
      </c>
      <c r="D598" t="s">
        <v>4178</v>
      </c>
      <c r="E598" t="s">
        <v>62</v>
      </c>
      <c r="F598" s="1">
        <v>43268</v>
      </c>
      <c r="G598">
        <v>2002</v>
      </c>
      <c r="H598" t="s">
        <v>107</v>
      </c>
      <c r="I598" t="s">
        <v>118</v>
      </c>
      <c r="J598" t="s">
        <v>96</v>
      </c>
      <c r="K598">
        <v>5.5</v>
      </c>
      <c r="L598">
        <v>7980111</v>
      </c>
      <c r="M598">
        <v>2821624</v>
      </c>
      <c r="N598">
        <v>97</v>
      </c>
      <c r="O598" t="s">
        <v>123</v>
      </c>
      <c r="P598" t="s">
        <v>87</v>
      </c>
    </row>
    <row r="599" spans="1:16" x14ac:dyDescent="0.35">
      <c r="A599" t="s">
        <v>2774</v>
      </c>
      <c r="B599" t="s">
        <v>2775</v>
      </c>
      <c r="C599" t="s">
        <v>53</v>
      </c>
      <c r="D599" t="s">
        <v>19</v>
      </c>
      <c r="E599" t="s">
        <v>113</v>
      </c>
      <c r="F599" s="1">
        <v>43272</v>
      </c>
      <c r="G599">
        <v>2014</v>
      </c>
      <c r="H599" t="s">
        <v>121</v>
      </c>
      <c r="I599" t="s">
        <v>39</v>
      </c>
      <c r="J599" t="s">
        <v>153</v>
      </c>
      <c r="K599">
        <v>4.7</v>
      </c>
      <c r="L599">
        <v>4986147</v>
      </c>
      <c r="M599">
        <v>2087633</v>
      </c>
      <c r="N599">
        <v>62</v>
      </c>
      <c r="O599" t="s">
        <v>41</v>
      </c>
      <c r="P599" t="s">
        <v>32</v>
      </c>
    </row>
    <row r="600" spans="1:16" x14ac:dyDescent="0.35">
      <c r="A600" t="s">
        <v>1747</v>
      </c>
      <c r="B600" t="s">
        <v>1748</v>
      </c>
      <c r="C600" t="s">
        <v>4178</v>
      </c>
      <c r="D600" t="s">
        <v>94</v>
      </c>
      <c r="E600" t="s">
        <v>45</v>
      </c>
      <c r="F600" s="1">
        <v>43279</v>
      </c>
      <c r="G600">
        <v>2011</v>
      </c>
      <c r="H600" t="s">
        <v>85</v>
      </c>
      <c r="I600" t="s">
        <v>71</v>
      </c>
      <c r="J600" t="s">
        <v>96</v>
      </c>
      <c r="K600">
        <v>5.7</v>
      </c>
      <c r="L600">
        <v>7323288</v>
      </c>
      <c r="M600">
        <v>3118990</v>
      </c>
      <c r="N600">
        <v>43</v>
      </c>
      <c r="O600" t="s">
        <v>31</v>
      </c>
      <c r="P600" t="s">
        <v>32</v>
      </c>
    </row>
    <row r="601" spans="1:16" x14ac:dyDescent="0.35">
      <c r="A601" t="s">
        <v>2028</v>
      </c>
      <c r="B601" t="s">
        <v>2029</v>
      </c>
      <c r="C601" t="s">
        <v>84</v>
      </c>
      <c r="D601" t="s">
        <v>75</v>
      </c>
      <c r="E601" t="s">
        <v>45</v>
      </c>
      <c r="F601" s="1">
        <v>43281</v>
      </c>
      <c r="G601">
        <v>2017</v>
      </c>
      <c r="H601" t="s">
        <v>4178</v>
      </c>
      <c r="I601" t="s">
        <v>4309</v>
      </c>
      <c r="J601" t="s">
        <v>30</v>
      </c>
      <c r="K601">
        <v>6.2</v>
      </c>
      <c r="L601">
        <v>16040887</v>
      </c>
      <c r="M601">
        <v>4648003</v>
      </c>
      <c r="N601">
        <v>44</v>
      </c>
      <c r="O601" t="s">
        <v>41</v>
      </c>
      <c r="P601" t="s">
        <v>87</v>
      </c>
    </row>
    <row r="602" spans="1:16" x14ac:dyDescent="0.35">
      <c r="A602" t="s">
        <v>3218</v>
      </c>
      <c r="B602" t="s">
        <v>3219</v>
      </c>
      <c r="C602" t="s">
        <v>53</v>
      </c>
      <c r="D602" t="s">
        <v>156</v>
      </c>
      <c r="E602" t="s">
        <v>99</v>
      </c>
      <c r="F602" s="1">
        <v>43285</v>
      </c>
      <c r="G602">
        <v>2008</v>
      </c>
      <c r="H602" t="s">
        <v>121</v>
      </c>
      <c r="I602" t="s">
        <v>136</v>
      </c>
      <c r="J602" t="s">
        <v>40</v>
      </c>
      <c r="K602">
        <v>5.4</v>
      </c>
      <c r="L602">
        <v>4007445</v>
      </c>
      <c r="M602">
        <v>1552485</v>
      </c>
      <c r="N602">
        <v>44</v>
      </c>
      <c r="O602" t="s">
        <v>41</v>
      </c>
      <c r="P602" t="s">
        <v>87</v>
      </c>
    </row>
    <row r="603" spans="1:16" x14ac:dyDescent="0.35">
      <c r="A603" t="s">
        <v>200</v>
      </c>
      <c r="B603" t="s">
        <v>201</v>
      </c>
      <c r="C603" t="s">
        <v>53</v>
      </c>
      <c r="D603" t="s">
        <v>61</v>
      </c>
      <c r="E603" t="s">
        <v>113</v>
      </c>
      <c r="F603" s="1">
        <v>43286</v>
      </c>
      <c r="G603">
        <v>2003</v>
      </c>
      <c r="H603" t="s">
        <v>63</v>
      </c>
      <c r="I603" t="s">
        <v>64</v>
      </c>
      <c r="J603" t="s">
        <v>133</v>
      </c>
      <c r="K603">
        <v>5.5</v>
      </c>
      <c r="L603">
        <v>22567082</v>
      </c>
      <c r="M603">
        <v>320846</v>
      </c>
      <c r="N603">
        <v>60</v>
      </c>
      <c r="O603" t="s">
        <v>104</v>
      </c>
      <c r="P603" t="s">
        <v>32</v>
      </c>
    </row>
    <row r="604" spans="1:16" x14ac:dyDescent="0.35">
      <c r="A604" t="s">
        <v>247</v>
      </c>
      <c r="B604" t="s">
        <v>248</v>
      </c>
      <c r="C604" t="s">
        <v>84</v>
      </c>
      <c r="D604" t="s">
        <v>68</v>
      </c>
      <c r="E604" t="s">
        <v>4178</v>
      </c>
      <c r="F604" s="1">
        <v>43286</v>
      </c>
      <c r="G604">
        <v>2013</v>
      </c>
      <c r="H604" t="s">
        <v>107</v>
      </c>
      <c r="I604" t="s">
        <v>4212</v>
      </c>
      <c r="J604" t="s">
        <v>30</v>
      </c>
      <c r="K604">
        <v>7.2</v>
      </c>
      <c r="L604">
        <v>6152543</v>
      </c>
      <c r="M604">
        <v>2752912</v>
      </c>
      <c r="N604">
        <v>64</v>
      </c>
      <c r="O604" t="s">
        <v>49</v>
      </c>
      <c r="P604" t="s">
        <v>87</v>
      </c>
    </row>
    <row r="605" spans="1:16" x14ac:dyDescent="0.35">
      <c r="A605" t="s">
        <v>3930</v>
      </c>
      <c r="B605" t="s">
        <v>3931</v>
      </c>
      <c r="C605" t="s">
        <v>84</v>
      </c>
      <c r="D605" t="s">
        <v>19</v>
      </c>
      <c r="E605" t="s">
        <v>4196</v>
      </c>
      <c r="F605" s="1">
        <v>43287</v>
      </c>
      <c r="G605">
        <v>2025</v>
      </c>
      <c r="H605" t="s">
        <v>121</v>
      </c>
      <c r="I605" t="s">
        <v>4315</v>
      </c>
      <c r="J605" t="s">
        <v>133</v>
      </c>
      <c r="K605">
        <v>8.5</v>
      </c>
      <c r="L605">
        <v>20523295</v>
      </c>
      <c r="M605">
        <v>2284771</v>
      </c>
      <c r="N605">
        <v>46</v>
      </c>
      <c r="O605" t="s">
        <v>58</v>
      </c>
      <c r="P605" t="s">
        <v>4181</v>
      </c>
    </row>
    <row r="606" spans="1:16" x14ac:dyDescent="0.35">
      <c r="A606" t="s">
        <v>426</v>
      </c>
      <c r="B606" t="s">
        <v>427</v>
      </c>
      <c r="C606" t="s">
        <v>53</v>
      </c>
      <c r="D606" t="s">
        <v>36</v>
      </c>
      <c r="E606" t="s">
        <v>62</v>
      </c>
      <c r="F606" s="1">
        <v>43288</v>
      </c>
      <c r="G606">
        <v>2024</v>
      </c>
      <c r="H606" t="s">
        <v>121</v>
      </c>
      <c r="I606" t="s">
        <v>118</v>
      </c>
      <c r="J606" t="s">
        <v>96</v>
      </c>
      <c r="K606">
        <v>6</v>
      </c>
      <c r="L606">
        <v>16302401</v>
      </c>
      <c r="M606">
        <v>2095911</v>
      </c>
      <c r="N606">
        <v>83</v>
      </c>
      <c r="O606" t="s">
        <v>4178</v>
      </c>
      <c r="P606" t="s">
        <v>4178</v>
      </c>
    </row>
    <row r="607" spans="1:16" x14ac:dyDescent="0.35">
      <c r="A607" t="s">
        <v>2831</v>
      </c>
      <c r="B607" t="s">
        <v>2830</v>
      </c>
      <c r="C607" t="s">
        <v>4178</v>
      </c>
      <c r="D607" t="s">
        <v>156</v>
      </c>
      <c r="E607" t="s">
        <v>80</v>
      </c>
      <c r="F607" s="1">
        <v>43288</v>
      </c>
      <c r="G607">
        <v>2000</v>
      </c>
      <c r="H607" t="s">
        <v>21</v>
      </c>
      <c r="I607" t="s">
        <v>56</v>
      </c>
      <c r="J607" t="s">
        <v>48</v>
      </c>
      <c r="K607">
        <v>8</v>
      </c>
      <c r="L607">
        <v>10147571</v>
      </c>
      <c r="M607">
        <v>3711531</v>
      </c>
      <c r="N607">
        <v>57</v>
      </c>
      <c r="O607" t="s">
        <v>91</v>
      </c>
      <c r="P607" t="s">
        <v>87</v>
      </c>
    </row>
    <row r="608" spans="1:16" x14ac:dyDescent="0.35">
      <c r="A608" t="s">
        <v>3946</v>
      </c>
      <c r="B608" t="s">
        <v>3947</v>
      </c>
      <c r="C608" t="s">
        <v>53</v>
      </c>
      <c r="D608" t="s">
        <v>68</v>
      </c>
      <c r="E608" t="s">
        <v>4196</v>
      </c>
      <c r="F608" s="1">
        <v>43290</v>
      </c>
      <c r="G608">
        <v>2010</v>
      </c>
      <c r="H608" t="s">
        <v>63</v>
      </c>
      <c r="I608" t="s">
        <v>136</v>
      </c>
      <c r="J608" t="s">
        <v>30</v>
      </c>
      <c r="K608">
        <v>6.1</v>
      </c>
      <c r="L608">
        <v>9628414</v>
      </c>
      <c r="M608">
        <v>2589897</v>
      </c>
      <c r="N608">
        <v>96</v>
      </c>
      <c r="O608" t="s">
        <v>24</v>
      </c>
      <c r="P608" t="s">
        <v>32</v>
      </c>
    </row>
    <row r="609" spans="1:16" x14ac:dyDescent="0.35">
      <c r="A609" t="s">
        <v>2365</v>
      </c>
      <c r="B609" t="s">
        <v>2366</v>
      </c>
      <c r="C609" t="s">
        <v>84</v>
      </c>
      <c r="D609" t="s">
        <v>27</v>
      </c>
      <c r="E609" t="s">
        <v>62</v>
      </c>
      <c r="F609" s="1">
        <v>43292</v>
      </c>
      <c r="G609">
        <v>2009</v>
      </c>
      <c r="H609" t="s">
        <v>81</v>
      </c>
      <c r="I609" t="s">
        <v>4303</v>
      </c>
      <c r="J609" t="s">
        <v>23</v>
      </c>
      <c r="K609">
        <v>9.1</v>
      </c>
      <c r="L609">
        <v>2822450</v>
      </c>
      <c r="M609">
        <v>4060679</v>
      </c>
      <c r="N609">
        <v>60</v>
      </c>
      <c r="O609" t="s">
        <v>91</v>
      </c>
      <c r="P609" t="s">
        <v>32</v>
      </c>
    </row>
    <row r="610" spans="1:16" x14ac:dyDescent="0.35">
      <c r="A610" t="s">
        <v>3652</v>
      </c>
      <c r="B610" t="s">
        <v>4387</v>
      </c>
      <c r="C610" t="s">
        <v>84</v>
      </c>
      <c r="D610" t="s">
        <v>68</v>
      </c>
      <c r="E610" t="s">
        <v>62</v>
      </c>
      <c r="F610" s="1">
        <v>43292</v>
      </c>
      <c r="G610">
        <v>2003</v>
      </c>
      <c r="H610" t="s">
        <v>107</v>
      </c>
      <c r="I610" t="s">
        <v>4186</v>
      </c>
      <c r="J610" t="s">
        <v>72</v>
      </c>
      <c r="K610">
        <v>9.6999999999999993</v>
      </c>
      <c r="L610">
        <v>10793454</v>
      </c>
      <c r="M610">
        <v>4417851</v>
      </c>
      <c r="N610">
        <v>72</v>
      </c>
      <c r="O610" t="s">
        <v>31</v>
      </c>
      <c r="P610" t="s">
        <v>32</v>
      </c>
    </row>
    <row r="611" spans="1:16" x14ac:dyDescent="0.35">
      <c r="A611" t="s">
        <v>715</v>
      </c>
      <c r="B611" t="s">
        <v>716</v>
      </c>
      <c r="C611" t="s">
        <v>84</v>
      </c>
      <c r="D611" t="s">
        <v>75</v>
      </c>
      <c r="E611" t="s">
        <v>62</v>
      </c>
      <c r="F611" s="1">
        <v>43296</v>
      </c>
      <c r="G611">
        <v>2004</v>
      </c>
      <c r="H611" t="s">
        <v>121</v>
      </c>
      <c r="I611" t="s">
        <v>4265</v>
      </c>
      <c r="J611" t="s">
        <v>133</v>
      </c>
      <c r="K611">
        <v>4.8</v>
      </c>
      <c r="L611">
        <v>1704201</v>
      </c>
      <c r="M611">
        <v>1657165</v>
      </c>
      <c r="N611">
        <v>45</v>
      </c>
      <c r="O611" t="s">
        <v>123</v>
      </c>
      <c r="P611" t="s">
        <v>50</v>
      </c>
    </row>
    <row r="612" spans="1:16" x14ac:dyDescent="0.35">
      <c r="A612" t="s">
        <v>3545</v>
      </c>
      <c r="B612" t="s">
        <v>3546</v>
      </c>
      <c r="C612" t="s">
        <v>53</v>
      </c>
      <c r="D612" t="s">
        <v>68</v>
      </c>
      <c r="E612" t="s">
        <v>28</v>
      </c>
      <c r="F612" s="1">
        <v>43300</v>
      </c>
      <c r="G612">
        <v>2024</v>
      </c>
      <c r="H612" t="s">
        <v>21</v>
      </c>
      <c r="I612" t="s">
        <v>118</v>
      </c>
      <c r="J612" t="s">
        <v>72</v>
      </c>
      <c r="K612">
        <v>7.7</v>
      </c>
      <c r="L612">
        <v>23128915</v>
      </c>
      <c r="M612">
        <v>3556387</v>
      </c>
      <c r="N612">
        <v>53</v>
      </c>
      <c r="O612" t="s">
        <v>104</v>
      </c>
      <c r="P612" t="s">
        <v>32</v>
      </c>
    </row>
    <row r="613" spans="1:16" x14ac:dyDescent="0.35">
      <c r="A613" t="s">
        <v>3200</v>
      </c>
      <c r="B613" t="s">
        <v>3201</v>
      </c>
      <c r="C613" t="s">
        <v>4178</v>
      </c>
      <c r="D613" t="s">
        <v>61</v>
      </c>
      <c r="E613" t="s">
        <v>45</v>
      </c>
      <c r="F613" s="1">
        <v>43302</v>
      </c>
      <c r="G613">
        <v>2001</v>
      </c>
      <c r="H613" t="s">
        <v>85</v>
      </c>
      <c r="I613" t="s">
        <v>95</v>
      </c>
      <c r="J613" t="s">
        <v>30</v>
      </c>
      <c r="K613">
        <v>7.9</v>
      </c>
      <c r="L613">
        <v>3738511</v>
      </c>
      <c r="M613">
        <v>675999</v>
      </c>
      <c r="N613">
        <v>63</v>
      </c>
      <c r="O613" t="s">
        <v>49</v>
      </c>
      <c r="P613" t="s">
        <v>4181</v>
      </c>
    </row>
    <row r="614" spans="1:16" x14ac:dyDescent="0.35">
      <c r="A614" t="s">
        <v>1894</v>
      </c>
      <c r="B614" t="s">
        <v>1895</v>
      </c>
      <c r="C614" t="s">
        <v>84</v>
      </c>
      <c r="D614" t="s">
        <v>4178</v>
      </c>
      <c r="E614" t="s">
        <v>80</v>
      </c>
      <c r="F614" s="1">
        <v>43303</v>
      </c>
      <c r="G614">
        <v>2005</v>
      </c>
      <c r="H614" t="s">
        <v>38</v>
      </c>
      <c r="I614" t="s">
        <v>4193</v>
      </c>
      <c r="J614" t="s">
        <v>40</v>
      </c>
      <c r="K614">
        <v>9.1999999999999993</v>
      </c>
      <c r="L614">
        <v>13091260</v>
      </c>
      <c r="M614">
        <v>4882244</v>
      </c>
      <c r="N614">
        <v>85</v>
      </c>
      <c r="O614" t="s">
        <v>104</v>
      </c>
      <c r="P614" t="s">
        <v>4178</v>
      </c>
    </row>
    <row r="615" spans="1:16" x14ac:dyDescent="0.35">
      <c r="A615" t="s">
        <v>1876</v>
      </c>
      <c r="B615" t="s">
        <v>1877</v>
      </c>
      <c r="C615" t="s">
        <v>4178</v>
      </c>
      <c r="D615" t="s">
        <v>61</v>
      </c>
      <c r="E615" t="s">
        <v>62</v>
      </c>
      <c r="F615" s="1">
        <v>43311</v>
      </c>
      <c r="G615">
        <v>2019</v>
      </c>
      <c r="H615" t="s">
        <v>21</v>
      </c>
      <c r="I615" t="s">
        <v>39</v>
      </c>
      <c r="J615" t="s">
        <v>57</v>
      </c>
      <c r="K615">
        <v>5</v>
      </c>
      <c r="L615">
        <v>22802945</v>
      </c>
      <c r="M615">
        <v>408070</v>
      </c>
      <c r="N615">
        <v>61</v>
      </c>
      <c r="O615" t="s">
        <v>123</v>
      </c>
      <c r="P615" t="s">
        <v>32</v>
      </c>
    </row>
    <row r="616" spans="1:16" x14ac:dyDescent="0.35">
      <c r="A616" t="s">
        <v>1637</v>
      </c>
      <c r="B616" t="s">
        <v>4322</v>
      </c>
      <c r="C616" t="s">
        <v>4178</v>
      </c>
      <c r="D616" t="s">
        <v>68</v>
      </c>
      <c r="E616" t="s">
        <v>62</v>
      </c>
      <c r="F616" s="1">
        <v>43317</v>
      </c>
      <c r="G616">
        <v>2004</v>
      </c>
      <c r="H616" t="s">
        <v>4178</v>
      </c>
      <c r="I616" t="s">
        <v>95</v>
      </c>
      <c r="J616" t="s">
        <v>4178</v>
      </c>
      <c r="K616">
        <v>9.3000000000000007</v>
      </c>
      <c r="L616">
        <v>17125759</v>
      </c>
      <c r="M616">
        <v>3794974</v>
      </c>
      <c r="N616">
        <v>99</v>
      </c>
      <c r="O616" t="s">
        <v>41</v>
      </c>
      <c r="P616" t="s">
        <v>4181</v>
      </c>
    </row>
    <row r="617" spans="1:16" x14ac:dyDescent="0.35">
      <c r="A617" t="s">
        <v>2609</v>
      </c>
      <c r="B617" t="s">
        <v>2610</v>
      </c>
      <c r="C617" t="s">
        <v>4178</v>
      </c>
      <c r="D617" t="s">
        <v>156</v>
      </c>
      <c r="E617" t="s">
        <v>55</v>
      </c>
      <c r="F617" s="1">
        <v>43321</v>
      </c>
      <c r="G617">
        <v>2015</v>
      </c>
      <c r="H617" t="s">
        <v>4178</v>
      </c>
      <c r="I617" t="s">
        <v>39</v>
      </c>
      <c r="J617" t="s">
        <v>96</v>
      </c>
      <c r="K617">
        <v>5.6</v>
      </c>
      <c r="L617">
        <v>22045648</v>
      </c>
      <c r="M617">
        <v>3032905</v>
      </c>
      <c r="N617">
        <v>58</v>
      </c>
      <c r="O617" t="s">
        <v>123</v>
      </c>
      <c r="P617" t="s">
        <v>32</v>
      </c>
    </row>
    <row r="618" spans="1:16" x14ac:dyDescent="0.35">
      <c r="A618" t="s">
        <v>4053</v>
      </c>
      <c r="B618" t="s">
        <v>4054</v>
      </c>
      <c r="C618" t="s">
        <v>84</v>
      </c>
      <c r="D618" t="s">
        <v>156</v>
      </c>
      <c r="E618" t="s">
        <v>4178</v>
      </c>
      <c r="F618" s="1">
        <v>43324</v>
      </c>
      <c r="G618">
        <v>2010</v>
      </c>
      <c r="H618" t="s">
        <v>38</v>
      </c>
      <c r="I618" t="s">
        <v>4229</v>
      </c>
      <c r="J618" t="s">
        <v>133</v>
      </c>
      <c r="K618">
        <v>8.6999999999999993</v>
      </c>
      <c r="L618">
        <v>10912595</v>
      </c>
      <c r="M618">
        <v>794622</v>
      </c>
      <c r="N618">
        <v>55</v>
      </c>
      <c r="O618" t="s">
        <v>123</v>
      </c>
      <c r="P618" t="s">
        <v>50</v>
      </c>
    </row>
    <row r="619" spans="1:16" x14ac:dyDescent="0.35">
      <c r="A619" t="s">
        <v>2599</v>
      </c>
      <c r="B619" t="s">
        <v>2600</v>
      </c>
      <c r="C619" t="s">
        <v>84</v>
      </c>
      <c r="D619" t="s">
        <v>94</v>
      </c>
      <c r="E619" t="s">
        <v>45</v>
      </c>
      <c r="F619" s="1">
        <v>43325</v>
      </c>
      <c r="G619">
        <v>2008</v>
      </c>
      <c r="H619" t="s">
        <v>46</v>
      </c>
      <c r="I619" t="s">
        <v>4324</v>
      </c>
      <c r="J619" t="s">
        <v>23</v>
      </c>
      <c r="K619">
        <v>6.7</v>
      </c>
      <c r="L619">
        <v>8865465</v>
      </c>
      <c r="M619">
        <v>3117317</v>
      </c>
      <c r="N619">
        <v>95</v>
      </c>
      <c r="O619" t="s">
        <v>41</v>
      </c>
      <c r="P619" t="s">
        <v>87</v>
      </c>
    </row>
    <row r="620" spans="1:16" x14ac:dyDescent="0.35">
      <c r="A620" t="s">
        <v>3594</v>
      </c>
      <c r="B620" t="s">
        <v>3595</v>
      </c>
      <c r="C620" t="s">
        <v>84</v>
      </c>
      <c r="D620" t="s">
        <v>27</v>
      </c>
      <c r="E620" t="s">
        <v>4196</v>
      </c>
      <c r="F620" s="1">
        <v>43326</v>
      </c>
      <c r="G620">
        <v>2024</v>
      </c>
      <c r="H620" t="s">
        <v>21</v>
      </c>
      <c r="I620" t="s">
        <v>4305</v>
      </c>
      <c r="J620" t="s">
        <v>133</v>
      </c>
      <c r="K620">
        <v>7.9</v>
      </c>
      <c r="L620">
        <v>22824975</v>
      </c>
      <c r="M620">
        <v>3091454</v>
      </c>
      <c r="N620">
        <v>45</v>
      </c>
      <c r="O620" t="s">
        <v>41</v>
      </c>
      <c r="P620" t="s">
        <v>4181</v>
      </c>
    </row>
    <row r="621" spans="1:16" x14ac:dyDescent="0.35">
      <c r="A621" t="s">
        <v>2262</v>
      </c>
      <c r="B621" t="s">
        <v>2263</v>
      </c>
      <c r="C621" t="s">
        <v>4178</v>
      </c>
      <c r="D621" t="s">
        <v>94</v>
      </c>
      <c r="E621" t="s">
        <v>113</v>
      </c>
      <c r="F621" s="1">
        <v>43328</v>
      </c>
      <c r="G621">
        <v>2020</v>
      </c>
      <c r="H621" t="s">
        <v>121</v>
      </c>
      <c r="I621" t="s">
        <v>39</v>
      </c>
      <c r="J621" t="s">
        <v>72</v>
      </c>
      <c r="K621">
        <v>5.2</v>
      </c>
      <c r="L621">
        <v>14273888</v>
      </c>
      <c r="M621">
        <v>2710693</v>
      </c>
      <c r="N621">
        <v>98</v>
      </c>
      <c r="O621" t="s">
        <v>58</v>
      </c>
      <c r="P621" t="s">
        <v>4181</v>
      </c>
    </row>
    <row r="622" spans="1:16" x14ac:dyDescent="0.35">
      <c r="A622" t="s">
        <v>1261</v>
      </c>
      <c r="B622" t="s">
        <v>1262</v>
      </c>
      <c r="C622" t="s">
        <v>84</v>
      </c>
      <c r="D622" t="s">
        <v>94</v>
      </c>
      <c r="E622" t="s">
        <v>69</v>
      </c>
      <c r="F622" s="1">
        <v>43339</v>
      </c>
      <c r="G622">
        <v>2003</v>
      </c>
      <c r="H622" t="s">
        <v>107</v>
      </c>
      <c r="I622" t="s">
        <v>4193</v>
      </c>
      <c r="J622" t="s">
        <v>133</v>
      </c>
      <c r="K622">
        <v>7.5</v>
      </c>
      <c r="L622">
        <v>2133281</v>
      </c>
      <c r="M622">
        <v>3176146</v>
      </c>
      <c r="N622">
        <v>65</v>
      </c>
      <c r="O622" t="s">
        <v>4178</v>
      </c>
      <c r="P622" t="s">
        <v>4178</v>
      </c>
    </row>
    <row r="623" spans="1:16" x14ac:dyDescent="0.35">
      <c r="A623" t="s">
        <v>2796</v>
      </c>
      <c r="B623" t="s">
        <v>2797</v>
      </c>
      <c r="C623" t="s">
        <v>53</v>
      </c>
      <c r="D623" t="s">
        <v>156</v>
      </c>
      <c r="E623" t="s">
        <v>113</v>
      </c>
      <c r="F623" s="1">
        <v>43341</v>
      </c>
      <c r="G623">
        <v>2024</v>
      </c>
      <c r="H623" t="s">
        <v>63</v>
      </c>
      <c r="I623" t="s">
        <v>118</v>
      </c>
      <c r="J623" t="s">
        <v>30</v>
      </c>
      <c r="K623">
        <v>4.7</v>
      </c>
      <c r="L623">
        <v>19330209</v>
      </c>
      <c r="M623">
        <v>525674</v>
      </c>
      <c r="N623">
        <v>100</v>
      </c>
      <c r="O623" t="s">
        <v>58</v>
      </c>
      <c r="P623" t="s">
        <v>4181</v>
      </c>
    </row>
    <row r="624" spans="1:16" x14ac:dyDescent="0.35">
      <c r="A624" t="s">
        <v>3812</v>
      </c>
      <c r="B624" t="s">
        <v>3813</v>
      </c>
      <c r="C624" t="s">
        <v>84</v>
      </c>
      <c r="D624" t="s">
        <v>156</v>
      </c>
      <c r="E624" t="s">
        <v>113</v>
      </c>
      <c r="F624" s="1">
        <v>43343</v>
      </c>
      <c r="G624">
        <v>2010</v>
      </c>
      <c r="H624" t="s">
        <v>81</v>
      </c>
      <c r="I624" t="s">
        <v>4204</v>
      </c>
      <c r="J624" t="s">
        <v>72</v>
      </c>
      <c r="K624">
        <v>6.4</v>
      </c>
      <c r="L624">
        <v>6749457</v>
      </c>
      <c r="M624">
        <v>298140</v>
      </c>
      <c r="N624">
        <v>53</v>
      </c>
      <c r="O624" t="s">
        <v>49</v>
      </c>
      <c r="P624" t="s">
        <v>32</v>
      </c>
    </row>
    <row r="625" spans="1:16" x14ac:dyDescent="0.35">
      <c r="A625" t="s">
        <v>193</v>
      </c>
      <c r="B625" t="s">
        <v>194</v>
      </c>
      <c r="C625" t="s">
        <v>84</v>
      </c>
      <c r="D625" t="s">
        <v>4178</v>
      </c>
      <c r="E625" t="s">
        <v>99</v>
      </c>
      <c r="F625" s="1">
        <v>43345</v>
      </c>
      <c r="G625">
        <v>2008</v>
      </c>
      <c r="H625" t="s">
        <v>21</v>
      </c>
      <c r="I625" t="s">
        <v>4203</v>
      </c>
      <c r="J625" t="s">
        <v>72</v>
      </c>
      <c r="K625">
        <v>9.6</v>
      </c>
      <c r="L625">
        <v>19019258</v>
      </c>
      <c r="M625">
        <v>2997257</v>
      </c>
      <c r="N625">
        <v>41</v>
      </c>
      <c r="O625" t="s">
        <v>41</v>
      </c>
      <c r="P625" t="s">
        <v>4181</v>
      </c>
    </row>
    <row r="626" spans="1:16" x14ac:dyDescent="0.35">
      <c r="A626" t="s">
        <v>2432</v>
      </c>
      <c r="B626" t="s">
        <v>2433</v>
      </c>
      <c r="C626" t="s">
        <v>4178</v>
      </c>
      <c r="D626" t="s">
        <v>61</v>
      </c>
      <c r="E626" t="s">
        <v>62</v>
      </c>
      <c r="F626" s="1">
        <v>43345</v>
      </c>
      <c r="G626">
        <v>2007</v>
      </c>
      <c r="H626" t="s">
        <v>21</v>
      </c>
      <c r="I626" t="s">
        <v>118</v>
      </c>
      <c r="J626" t="s">
        <v>72</v>
      </c>
      <c r="K626">
        <v>9.3000000000000007</v>
      </c>
      <c r="L626">
        <v>5145165</v>
      </c>
      <c r="M626">
        <v>646794</v>
      </c>
      <c r="N626">
        <v>83</v>
      </c>
      <c r="O626" t="s">
        <v>65</v>
      </c>
      <c r="P626" t="s">
        <v>87</v>
      </c>
    </row>
    <row r="627" spans="1:16" x14ac:dyDescent="0.35">
      <c r="A627" t="s">
        <v>4079</v>
      </c>
      <c r="B627" t="s">
        <v>4080</v>
      </c>
      <c r="C627" t="s">
        <v>53</v>
      </c>
      <c r="D627" t="s">
        <v>94</v>
      </c>
      <c r="E627" t="s">
        <v>55</v>
      </c>
      <c r="F627" s="1">
        <v>43347</v>
      </c>
      <c r="G627">
        <v>2024</v>
      </c>
      <c r="H627" t="s">
        <v>4178</v>
      </c>
      <c r="I627" t="s">
        <v>39</v>
      </c>
      <c r="J627" t="s">
        <v>23</v>
      </c>
      <c r="K627">
        <v>7.1</v>
      </c>
      <c r="L627">
        <v>14790065</v>
      </c>
      <c r="M627">
        <v>3578079</v>
      </c>
      <c r="N627">
        <v>61</v>
      </c>
      <c r="O627" t="s">
        <v>104</v>
      </c>
      <c r="P627" t="s">
        <v>50</v>
      </c>
    </row>
    <row r="628" spans="1:16" x14ac:dyDescent="0.35">
      <c r="A628" t="s">
        <v>1723</v>
      </c>
      <c r="B628" t="s">
        <v>1724</v>
      </c>
      <c r="C628" t="s">
        <v>84</v>
      </c>
      <c r="D628" t="s">
        <v>36</v>
      </c>
      <c r="E628" t="s">
        <v>99</v>
      </c>
      <c r="F628" s="1">
        <v>43352</v>
      </c>
      <c r="G628">
        <v>2017</v>
      </c>
      <c r="H628" t="s">
        <v>46</v>
      </c>
      <c r="I628" t="s">
        <v>4191</v>
      </c>
      <c r="J628" t="s">
        <v>23</v>
      </c>
      <c r="K628">
        <v>8.3000000000000007</v>
      </c>
      <c r="L628">
        <v>7775830</v>
      </c>
      <c r="M628">
        <v>3162788</v>
      </c>
      <c r="N628">
        <v>94</v>
      </c>
      <c r="O628" t="s">
        <v>123</v>
      </c>
      <c r="P628" t="s">
        <v>87</v>
      </c>
    </row>
    <row r="629" spans="1:16" x14ac:dyDescent="0.35">
      <c r="A629" t="s">
        <v>207</v>
      </c>
      <c r="B629" t="s">
        <v>208</v>
      </c>
      <c r="C629" t="s">
        <v>53</v>
      </c>
      <c r="D629" t="s">
        <v>54</v>
      </c>
      <c r="E629" t="s">
        <v>28</v>
      </c>
      <c r="F629" s="1">
        <v>43357</v>
      </c>
      <c r="G629">
        <v>2023</v>
      </c>
      <c r="H629" t="s">
        <v>81</v>
      </c>
      <c r="I629" t="s">
        <v>95</v>
      </c>
      <c r="J629" t="s">
        <v>40</v>
      </c>
      <c r="K629">
        <v>5.8</v>
      </c>
      <c r="L629">
        <v>20596708</v>
      </c>
      <c r="M629">
        <v>2307805</v>
      </c>
      <c r="N629">
        <v>69</v>
      </c>
      <c r="O629" t="s">
        <v>91</v>
      </c>
      <c r="P629" t="s">
        <v>50</v>
      </c>
    </row>
    <row r="630" spans="1:16" x14ac:dyDescent="0.35">
      <c r="A630" t="s">
        <v>2691</v>
      </c>
      <c r="B630" t="s">
        <v>2692</v>
      </c>
      <c r="C630" t="s">
        <v>84</v>
      </c>
      <c r="D630" t="s">
        <v>61</v>
      </c>
      <c r="E630" t="s">
        <v>131</v>
      </c>
      <c r="F630" s="1">
        <v>43357</v>
      </c>
      <c r="G630">
        <v>2014</v>
      </c>
      <c r="H630" t="s">
        <v>46</v>
      </c>
      <c r="I630" t="s">
        <v>4213</v>
      </c>
      <c r="J630" t="s">
        <v>4178</v>
      </c>
      <c r="K630">
        <v>7.6</v>
      </c>
      <c r="L630">
        <v>8768807</v>
      </c>
      <c r="M630">
        <v>4588506</v>
      </c>
      <c r="N630">
        <v>75</v>
      </c>
      <c r="O630" t="s">
        <v>123</v>
      </c>
      <c r="P630" t="s">
        <v>4181</v>
      </c>
    </row>
    <row r="631" spans="1:16" x14ac:dyDescent="0.35">
      <c r="A631" t="s">
        <v>3884</v>
      </c>
      <c r="B631" t="s">
        <v>4396</v>
      </c>
      <c r="C631" t="s">
        <v>84</v>
      </c>
      <c r="D631" t="s">
        <v>4178</v>
      </c>
      <c r="E631" t="s">
        <v>4178</v>
      </c>
      <c r="F631" s="1">
        <v>43358</v>
      </c>
      <c r="G631">
        <v>2020</v>
      </c>
      <c r="H631" t="s">
        <v>85</v>
      </c>
      <c r="I631" t="s">
        <v>4208</v>
      </c>
      <c r="J631" t="s">
        <v>23</v>
      </c>
      <c r="K631">
        <v>9.1999999999999993</v>
      </c>
      <c r="L631">
        <v>9337800</v>
      </c>
      <c r="M631">
        <v>4304717</v>
      </c>
      <c r="N631">
        <v>91</v>
      </c>
      <c r="O631" t="s">
        <v>65</v>
      </c>
      <c r="P631" t="s">
        <v>87</v>
      </c>
    </row>
    <row r="632" spans="1:16" x14ac:dyDescent="0.35">
      <c r="A632" t="s">
        <v>2178</v>
      </c>
      <c r="B632" t="s">
        <v>2179</v>
      </c>
      <c r="C632" t="s">
        <v>84</v>
      </c>
      <c r="D632" t="s">
        <v>27</v>
      </c>
      <c r="E632" t="s">
        <v>4178</v>
      </c>
      <c r="F632" s="1">
        <v>43359</v>
      </c>
      <c r="G632">
        <v>2002</v>
      </c>
      <c r="H632" t="s">
        <v>4178</v>
      </c>
      <c r="I632" t="s">
        <v>4217</v>
      </c>
      <c r="J632" t="s">
        <v>57</v>
      </c>
      <c r="K632">
        <v>4.5999999999999996</v>
      </c>
      <c r="L632">
        <v>3540326</v>
      </c>
      <c r="M632">
        <v>1696838</v>
      </c>
      <c r="N632">
        <v>47</v>
      </c>
      <c r="O632" t="s">
        <v>4178</v>
      </c>
      <c r="P632" t="s">
        <v>50</v>
      </c>
    </row>
    <row r="633" spans="1:16" x14ac:dyDescent="0.35">
      <c r="A633" t="s">
        <v>1434</v>
      </c>
      <c r="B633" t="s">
        <v>1435</v>
      </c>
      <c r="C633" t="s">
        <v>84</v>
      </c>
      <c r="D633" t="s">
        <v>27</v>
      </c>
      <c r="E633" t="s">
        <v>62</v>
      </c>
      <c r="F633" s="1">
        <v>43363</v>
      </c>
      <c r="G633">
        <v>2020</v>
      </c>
      <c r="H633" t="s">
        <v>107</v>
      </c>
      <c r="I633" t="s">
        <v>4264</v>
      </c>
      <c r="J633" t="s">
        <v>133</v>
      </c>
      <c r="K633">
        <v>5</v>
      </c>
      <c r="L633">
        <v>24012317</v>
      </c>
      <c r="M633">
        <v>351197</v>
      </c>
      <c r="N633">
        <v>78</v>
      </c>
      <c r="O633" t="s">
        <v>123</v>
      </c>
      <c r="P633" t="s">
        <v>32</v>
      </c>
    </row>
    <row r="634" spans="1:16" x14ac:dyDescent="0.35">
      <c r="A634" t="s">
        <v>2334</v>
      </c>
      <c r="B634" t="s">
        <v>2335</v>
      </c>
      <c r="C634" t="s">
        <v>84</v>
      </c>
      <c r="D634" t="s">
        <v>68</v>
      </c>
      <c r="E634" t="s">
        <v>4178</v>
      </c>
      <c r="F634" s="1">
        <v>43364</v>
      </c>
      <c r="G634">
        <v>2023</v>
      </c>
      <c r="H634" t="s">
        <v>46</v>
      </c>
      <c r="I634" t="s">
        <v>4210</v>
      </c>
      <c r="J634" t="s">
        <v>96</v>
      </c>
      <c r="K634">
        <v>5.7</v>
      </c>
      <c r="L634">
        <v>5371961</v>
      </c>
      <c r="M634">
        <v>3964053</v>
      </c>
      <c r="N634">
        <v>81</v>
      </c>
      <c r="O634" t="s">
        <v>41</v>
      </c>
      <c r="P634" t="s">
        <v>4181</v>
      </c>
    </row>
    <row r="635" spans="1:16" x14ac:dyDescent="0.35">
      <c r="A635" t="s">
        <v>552</v>
      </c>
      <c r="B635" t="s">
        <v>553</v>
      </c>
      <c r="C635" t="s">
        <v>84</v>
      </c>
      <c r="D635" t="s">
        <v>4178</v>
      </c>
      <c r="E635" t="s">
        <v>28</v>
      </c>
      <c r="F635" s="1">
        <v>43366</v>
      </c>
      <c r="G635">
        <v>2003</v>
      </c>
      <c r="H635" t="s">
        <v>81</v>
      </c>
      <c r="I635" t="s">
        <v>4211</v>
      </c>
      <c r="J635" t="s">
        <v>96</v>
      </c>
      <c r="K635">
        <v>6.5</v>
      </c>
      <c r="L635">
        <v>7525571</v>
      </c>
      <c r="M635">
        <v>1627797</v>
      </c>
      <c r="N635">
        <v>88</v>
      </c>
      <c r="O635" t="s">
        <v>58</v>
      </c>
      <c r="P635" t="s">
        <v>50</v>
      </c>
    </row>
    <row r="636" spans="1:16" x14ac:dyDescent="0.35">
      <c r="A636" t="s">
        <v>3876</v>
      </c>
      <c r="B636" t="s">
        <v>3877</v>
      </c>
      <c r="C636" t="s">
        <v>84</v>
      </c>
      <c r="D636" t="s">
        <v>61</v>
      </c>
      <c r="E636" t="s">
        <v>45</v>
      </c>
      <c r="F636" s="1">
        <v>43369</v>
      </c>
      <c r="G636">
        <v>2008</v>
      </c>
      <c r="H636" t="s">
        <v>107</v>
      </c>
      <c r="I636" t="s">
        <v>4230</v>
      </c>
      <c r="J636" t="s">
        <v>57</v>
      </c>
      <c r="K636">
        <v>7</v>
      </c>
      <c r="L636">
        <v>22527019</v>
      </c>
      <c r="M636">
        <v>1920428</v>
      </c>
      <c r="N636">
        <v>54</v>
      </c>
      <c r="O636" t="s">
        <v>49</v>
      </c>
      <c r="P636" t="s">
        <v>50</v>
      </c>
    </row>
    <row r="637" spans="1:16" x14ac:dyDescent="0.35">
      <c r="A637" t="s">
        <v>326</v>
      </c>
      <c r="B637" t="s">
        <v>325</v>
      </c>
      <c r="C637" t="s">
        <v>53</v>
      </c>
      <c r="D637" t="s">
        <v>36</v>
      </c>
      <c r="E637" t="s">
        <v>69</v>
      </c>
      <c r="F637" s="1">
        <v>43372</v>
      </c>
      <c r="G637">
        <v>2019</v>
      </c>
      <c r="H637" t="s">
        <v>38</v>
      </c>
      <c r="I637" t="s">
        <v>71</v>
      </c>
      <c r="J637" t="s">
        <v>133</v>
      </c>
      <c r="K637">
        <v>7.3</v>
      </c>
      <c r="L637">
        <v>4168066</v>
      </c>
      <c r="M637">
        <v>4292884</v>
      </c>
      <c r="N637">
        <v>58</v>
      </c>
      <c r="O637" t="s">
        <v>58</v>
      </c>
      <c r="P637" t="s">
        <v>4178</v>
      </c>
    </row>
    <row r="638" spans="1:16" x14ac:dyDescent="0.35">
      <c r="A638" t="s">
        <v>2892</v>
      </c>
      <c r="B638" t="s">
        <v>2893</v>
      </c>
      <c r="C638" t="s">
        <v>4178</v>
      </c>
      <c r="D638" t="s">
        <v>75</v>
      </c>
      <c r="E638" t="s">
        <v>62</v>
      </c>
      <c r="F638" s="1">
        <v>43372</v>
      </c>
      <c r="G638">
        <v>2003</v>
      </c>
      <c r="H638" t="s">
        <v>63</v>
      </c>
      <c r="I638" t="s">
        <v>56</v>
      </c>
      <c r="J638" t="s">
        <v>23</v>
      </c>
      <c r="K638">
        <v>11.2</v>
      </c>
      <c r="L638">
        <v>15525440</v>
      </c>
      <c r="M638">
        <v>233450</v>
      </c>
      <c r="N638">
        <v>44</v>
      </c>
      <c r="O638" t="s">
        <v>123</v>
      </c>
      <c r="P638" t="s">
        <v>50</v>
      </c>
    </row>
    <row r="639" spans="1:16" x14ac:dyDescent="0.35">
      <c r="A639" t="s">
        <v>1756</v>
      </c>
      <c r="B639" t="s">
        <v>1757</v>
      </c>
      <c r="C639" t="s">
        <v>53</v>
      </c>
      <c r="D639" t="s">
        <v>61</v>
      </c>
      <c r="E639" t="s">
        <v>62</v>
      </c>
      <c r="F639" s="1">
        <v>43374</v>
      </c>
      <c r="G639">
        <v>2008</v>
      </c>
      <c r="H639" t="s">
        <v>121</v>
      </c>
      <c r="I639" t="s">
        <v>162</v>
      </c>
      <c r="J639" t="s">
        <v>4178</v>
      </c>
      <c r="K639">
        <v>6.8</v>
      </c>
      <c r="L639">
        <v>2174152</v>
      </c>
      <c r="M639">
        <v>224134</v>
      </c>
      <c r="N639">
        <v>70</v>
      </c>
      <c r="O639" t="s">
        <v>31</v>
      </c>
      <c r="P639" t="s">
        <v>50</v>
      </c>
    </row>
    <row r="640" spans="1:16" x14ac:dyDescent="0.35">
      <c r="A640" t="s">
        <v>1915</v>
      </c>
      <c r="B640" t="s">
        <v>1916</v>
      </c>
      <c r="C640" t="s">
        <v>53</v>
      </c>
      <c r="D640" t="s">
        <v>4178</v>
      </c>
      <c r="E640" t="s">
        <v>69</v>
      </c>
      <c r="F640" s="1">
        <v>43374</v>
      </c>
      <c r="G640">
        <v>2005</v>
      </c>
      <c r="H640" t="s">
        <v>38</v>
      </c>
      <c r="I640" t="s">
        <v>71</v>
      </c>
      <c r="J640" t="s">
        <v>133</v>
      </c>
      <c r="K640">
        <v>5.3</v>
      </c>
      <c r="L640">
        <v>16274160</v>
      </c>
      <c r="M640">
        <v>3027747</v>
      </c>
      <c r="N640">
        <v>85</v>
      </c>
      <c r="O640" t="s">
        <v>4178</v>
      </c>
      <c r="P640" t="s">
        <v>4181</v>
      </c>
    </row>
    <row r="641" spans="1:16" x14ac:dyDescent="0.35">
      <c r="A641" t="s">
        <v>1421</v>
      </c>
      <c r="B641" t="s">
        <v>1422</v>
      </c>
      <c r="C641" t="s">
        <v>84</v>
      </c>
      <c r="D641" t="s">
        <v>27</v>
      </c>
      <c r="E641" t="s">
        <v>80</v>
      </c>
      <c r="F641" s="1">
        <v>43380</v>
      </c>
      <c r="G641">
        <v>2006</v>
      </c>
      <c r="H641" t="s">
        <v>46</v>
      </c>
      <c r="I641" t="s">
        <v>4289</v>
      </c>
      <c r="J641" t="s">
        <v>133</v>
      </c>
      <c r="K641">
        <v>5.7</v>
      </c>
      <c r="L641">
        <v>11818671</v>
      </c>
      <c r="M641">
        <v>3154548</v>
      </c>
      <c r="N641">
        <v>100</v>
      </c>
      <c r="O641" t="s">
        <v>91</v>
      </c>
      <c r="P641" t="s">
        <v>32</v>
      </c>
    </row>
    <row r="642" spans="1:16" x14ac:dyDescent="0.35">
      <c r="A642" t="s">
        <v>4033</v>
      </c>
      <c r="B642" t="s">
        <v>4034</v>
      </c>
      <c r="C642" t="s">
        <v>53</v>
      </c>
      <c r="D642" t="s">
        <v>94</v>
      </c>
      <c r="E642" t="s">
        <v>37</v>
      </c>
      <c r="F642" s="1">
        <v>43383</v>
      </c>
      <c r="G642">
        <v>2019</v>
      </c>
      <c r="H642" t="s">
        <v>63</v>
      </c>
      <c r="I642" t="s">
        <v>118</v>
      </c>
      <c r="J642" t="s">
        <v>72</v>
      </c>
      <c r="K642">
        <v>9</v>
      </c>
      <c r="L642">
        <v>15163882</v>
      </c>
      <c r="M642">
        <v>2499837</v>
      </c>
      <c r="N642">
        <v>70</v>
      </c>
      <c r="O642" t="s">
        <v>104</v>
      </c>
      <c r="P642" t="s">
        <v>4181</v>
      </c>
    </row>
    <row r="643" spans="1:16" x14ac:dyDescent="0.35">
      <c r="A643" t="s">
        <v>3119</v>
      </c>
      <c r="B643" t="s">
        <v>3120</v>
      </c>
      <c r="C643" t="s">
        <v>84</v>
      </c>
      <c r="D643" t="s">
        <v>36</v>
      </c>
      <c r="E643" t="s">
        <v>37</v>
      </c>
      <c r="F643" s="1">
        <v>43384</v>
      </c>
      <c r="G643">
        <v>2020</v>
      </c>
      <c r="H643" t="s">
        <v>121</v>
      </c>
      <c r="I643" t="s">
        <v>4260</v>
      </c>
      <c r="J643" t="s">
        <v>40</v>
      </c>
      <c r="K643">
        <v>5.7</v>
      </c>
      <c r="L643">
        <v>7553173</v>
      </c>
      <c r="M643">
        <v>886152</v>
      </c>
      <c r="N643">
        <v>44</v>
      </c>
      <c r="O643" t="s">
        <v>31</v>
      </c>
      <c r="P643" t="s">
        <v>4178</v>
      </c>
    </row>
    <row r="644" spans="1:16" x14ac:dyDescent="0.35">
      <c r="A644" t="s">
        <v>2381</v>
      </c>
      <c r="B644" t="s">
        <v>2382</v>
      </c>
      <c r="C644" t="s">
        <v>84</v>
      </c>
      <c r="D644" t="s">
        <v>54</v>
      </c>
      <c r="E644" t="s">
        <v>4196</v>
      </c>
      <c r="F644" s="1">
        <v>43385</v>
      </c>
      <c r="G644">
        <v>2009</v>
      </c>
      <c r="H644" t="s">
        <v>21</v>
      </c>
      <c r="I644" t="s">
        <v>4285</v>
      </c>
      <c r="J644" t="s">
        <v>4178</v>
      </c>
      <c r="K644">
        <v>8.9</v>
      </c>
      <c r="L644">
        <v>3379233</v>
      </c>
      <c r="M644">
        <v>666707</v>
      </c>
      <c r="N644">
        <v>40</v>
      </c>
      <c r="O644" t="s">
        <v>65</v>
      </c>
      <c r="P644" t="s">
        <v>32</v>
      </c>
    </row>
    <row r="645" spans="1:16" x14ac:dyDescent="0.35">
      <c r="A645" t="s">
        <v>692</v>
      </c>
      <c r="B645" t="s">
        <v>693</v>
      </c>
      <c r="C645" t="s">
        <v>4178</v>
      </c>
      <c r="D645" t="s">
        <v>156</v>
      </c>
      <c r="E645" t="s">
        <v>45</v>
      </c>
      <c r="F645" s="1">
        <v>43391</v>
      </c>
      <c r="G645">
        <v>2016</v>
      </c>
      <c r="H645" t="s">
        <v>107</v>
      </c>
      <c r="I645" t="s">
        <v>39</v>
      </c>
      <c r="J645" t="s">
        <v>48</v>
      </c>
      <c r="K645">
        <v>5.6</v>
      </c>
      <c r="L645">
        <v>12014917</v>
      </c>
      <c r="M645">
        <v>2815200</v>
      </c>
      <c r="N645">
        <v>75</v>
      </c>
      <c r="O645" t="s">
        <v>4178</v>
      </c>
      <c r="P645" t="s">
        <v>50</v>
      </c>
    </row>
    <row r="646" spans="1:16" x14ac:dyDescent="0.35">
      <c r="A646" t="s">
        <v>1822</v>
      </c>
      <c r="B646" t="s">
        <v>1823</v>
      </c>
      <c r="C646" t="s">
        <v>84</v>
      </c>
      <c r="D646" t="s">
        <v>75</v>
      </c>
      <c r="E646" t="s">
        <v>69</v>
      </c>
      <c r="F646" s="1">
        <v>43391</v>
      </c>
      <c r="G646">
        <v>2013</v>
      </c>
      <c r="H646" t="s">
        <v>107</v>
      </c>
      <c r="I646" t="s">
        <v>4228</v>
      </c>
      <c r="J646" t="s">
        <v>72</v>
      </c>
      <c r="K646">
        <v>8.5</v>
      </c>
      <c r="L646">
        <v>22442880</v>
      </c>
      <c r="M646">
        <v>377920</v>
      </c>
      <c r="N646">
        <v>43</v>
      </c>
      <c r="O646" t="s">
        <v>65</v>
      </c>
      <c r="P646" t="s">
        <v>50</v>
      </c>
    </row>
    <row r="647" spans="1:16" x14ac:dyDescent="0.35">
      <c r="A647" t="s">
        <v>3908</v>
      </c>
      <c r="B647" t="s">
        <v>3909</v>
      </c>
      <c r="C647" t="s">
        <v>84</v>
      </c>
      <c r="D647" t="s">
        <v>75</v>
      </c>
      <c r="E647" t="s">
        <v>45</v>
      </c>
      <c r="F647" s="1">
        <v>43393</v>
      </c>
      <c r="G647">
        <v>2014</v>
      </c>
      <c r="H647" t="s">
        <v>107</v>
      </c>
      <c r="I647" t="s">
        <v>4306</v>
      </c>
      <c r="J647" t="s">
        <v>23</v>
      </c>
      <c r="K647">
        <v>9.1</v>
      </c>
      <c r="L647">
        <v>12207590</v>
      </c>
      <c r="M647">
        <v>2211757</v>
      </c>
      <c r="N647">
        <v>85</v>
      </c>
      <c r="O647" t="s">
        <v>41</v>
      </c>
      <c r="P647" t="s">
        <v>4181</v>
      </c>
    </row>
    <row r="648" spans="1:16" x14ac:dyDescent="0.35">
      <c r="A648" t="s">
        <v>856</v>
      </c>
      <c r="B648" t="s">
        <v>857</v>
      </c>
      <c r="C648" t="s">
        <v>4178</v>
      </c>
      <c r="D648" t="s">
        <v>94</v>
      </c>
      <c r="E648" t="s">
        <v>80</v>
      </c>
      <c r="F648" s="1">
        <v>43396</v>
      </c>
      <c r="G648">
        <v>2014</v>
      </c>
      <c r="H648" t="s">
        <v>121</v>
      </c>
      <c r="I648" t="s">
        <v>136</v>
      </c>
      <c r="J648" t="s">
        <v>133</v>
      </c>
      <c r="K648">
        <v>7.8</v>
      </c>
      <c r="L648">
        <v>17019083</v>
      </c>
      <c r="M648">
        <v>232582</v>
      </c>
      <c r="N648">
        <v>92</v>
      </c>
      <c r="O648" t="s">
        <v>49</v>
      </c>
      <c r="P648" t="s">
        <v>4181</v>
      </c>
    </row>
    <row r="649" spans="1:16" x14ac:dyDescent="0.35">
      <c r="A649" t="s">
        <v>1182</v>
      </c>
      <c r="B649" t="s">
        <v>1183</v>
      </c>
      <c r="C649" t="s">
        <v>53</v>
      </c>
      <c r="D649" t="s">
        <v>90</v>
      </c>
      <c r="E649" t="s">
        <v>55</v>
      </c>
      <c r="F649" s="1">
        <v>43398</v>
      </c>
      <c r="G649">
        <v>2025</v>
      </c>
      <c r="H649" t="s">
        <v>63</v>
      </c>
      <c r="I649" t="s">
        <v>162</v>
      </c>
      <c r="J649" t="s">
        <v>153</v>
      </c>
      <c r="K649">
        <v>4.8</v>
      </c>
      <c r="L649">
        <v>10752868</v>
      </c>
      <c r="M649">
        <v>3836741</v>
      </c>
      <c r="N649">
        <v>76</v>
      </c>
      <c r="O649" t="s">
        <v>24</v>
      </c>
      <c r="P649" t="s">
        <v>50</v>
      </c>
    </row>
    <row r="650" spans="1:16" x14ac:dyDescent="0.35">
      <c r="A650" t="s">
        <v>2141</v>
      </c>
      <c r="B650" t="s">
        <v>2142</v>
      </c>
      <c r="C650" t="s">
        <v>4178</v>
      </c>
      <c r="D650" t="s">
        <v>54</v>
      </c>
      <c r="E650" t="s">
        <v>20</v>
      </c>
      <c r="F650" s="1">
        <v>43398</v>
      </c>
      <c r="G650">
        <v>2026</v>
      </c>
      <c r="H650" t="s">
        <v>4178</v>
      </c>
      <c r="I650" t="s">
        <v>136</v>
      </c>
      <c r="J650" t="s">
        <v>30</v>
      </c>
      <c r="K650">
        <v>8.4</v>
      </c>
      <c r="L650">
        <v>2592619</v>
      </c>
      <c r="M650">
        <v>3032530</v>
      </c>
      <c r="N650">
        <v>83</v>
      </c>
      <c r="O650" t="s">
        <v>104</v>
      </c>
      <c r="P650" t="s">
        <v>4181</v>
      </c>
    </row>
    <row r="651" spans="1:16" x14ac:dyDescent="0.35">
      <c r="A651" t="s">
        <v>2338</v>
      </c>
      <c r="B651" t="s">
        <v>2339</v>
      </c>
      <c r="C651" t="s">
        <v>53</v>
      </c>
      <c r="D651" t="s">
        <v>75</v>
      </c>
      <c r="E651" t="s">
        <v>4178</v>
      </c>
      <c r="F651" s="1">
        <v>43399</v>
      </c>
      <c r="G651">
        <v>2018</v>
      </c>
      <c r="H651" t="s">
        <v>4178</v>
      </c>
      <c r="I651" t="s">
        <v>39</v>
      </c>
      <c r="J651" t="s">
        <v>23</v>
      </c>
      <c r="K651">
        <v>8.9</v>
      </c>
      <c r="L651">
        <v>10557194</v>
      </c>
      <c r="M651">
        <v>3254145</v>
      </c>
      <c r="N651">
        <v>57</v>
      </c>
      <c r="O651" t="s">
        <v>65</v>
      </c>
      <c r="P651" t="s">
        <v>4178</v>
      </c>
    </row>
    <row r="652" spans="1:16" x14ac:dyDescent="0.35">
      <c r="A652" t="s">
        <v>2882</v>
      </c>
      <c r="B652" t="s">
        <v>2883</v>
      </c>
      <c r="C652" t="s">
        <v>4178</v>
      </c>
      <c r="D652" t="s">
        <v>54</v>
      </c>
      <c r="E652" t="s">
        <v>80</v>
      </c>
      <c r="F652" s="1">
        <v>43399</v>
      </c>
      <c r="G652">
        <v>2017</v>
      </c>
      <c r="H652" t="s">
        <v>46</v>
      </c>
      <c r="I652" t="s">
        <v>162</v>
      </c>
      <c r="J652" t="s">
        <v>40</v>
      </c>
      <c r="K652">
        <v>9.6</v>
      </c>
      <c r="L652">
        <v>14993221</v>
      </c>
      <c r="M652">
        <v>4013016</v>
      </c>
      <c r="N652">
        <v>43</v>
      </c>
      <c r="O652" t="s">
        <v>41</v>
      </c>
      <c r="P652" t="s">
        <v>32</v>
      </c>
    </row>
    <row r="653" spans="1:16" x14ac:dyDescent="0.35">
      <c r="A653" t="s">
        <v>1310</v>
      </c>
      <c r="B653" t="s">
        <v>1311</v>
      </c>
      <c r="C653" t="s">
        <v>84</v>
      </c>
      <c r="D653" t="s">
        <v>19</v>
      </c>
      <c r="E653" t="s">
        <v>4178</v>
      </c>
      <c r="F653" s="1">
        <v>43402</v>
      </c>
      <c r="G653">
        <v>2004</v>
      </c>
      <c r="H653" t="s">
        <v>114</v>
      </c>
      <c r="I653" t="s">
        <v>4242</v>
      </c>
      <c r="J653" t="s">
        <v>96</v>
      </c>
      <c r="K653">
        <v>8.1999999999999993</v>
      </c>
      <c r="L653">
        <v>8327306</v>
      </c>
      <c r="M653">
        <v>191315</v>
      </c>
      <c r="N653">
        <v>55</v>
      </c>
      <c r="O653" t="s">
        <v>4178</v>
      </c>
      <c r="P653" t="s">
        <v>87</v>
      </c>
    </row>
    <row r="654" spans="1:16" x14ac:dyDescent="0.35">
      <c r="A654" t="s">
        <v>503</v>
      </c>
      <c r="B654" t="s">
        <v>504</v>
      </c>
      <c r="C654" t="s">
        <v>84</v>
      </c>
      <c r="D654" t="s">
        <v>61</v>
      </c>
      <c r="E654" t="s">
        <v>131</v>
      </c>
      <c r="F654" s="1">
        <v>43403</v>
      </c>
      <c r="G654">
        <v>2001</v>
      </c>
      <c r="H654" t="s">
        <v>107</v>
      </c>
      <c r="I654" t="s">
        <v>4247</v>
      </c>
      <c r="J654" t="s">
        <v>153</v>
      </c>
      <c r="K654">
        <v>6.4</v>
      </c>
      <c r="L654">
        <v>9148532</v>
      </c>
      <c r="M654">
        <v>2596464</v>
      </c>
      <c r="N654">
        <v>70</v>
      </c>
      <c r="O654" t="s">
        <v>31</v>
      </c>
      <c r="P654" t="s">
        <v>4178</v>
      </c>
    </row>
    <row r="655" spans="1:16" x14ac:dyDescent="0.35">
      <c r="A655" t="s">
        <v>1630</v>
      </c>
      <c r="B655" t="s">
        <v>1631</v>
      </c>
      <c r="C655" t="s">
        <v>53</v>
      </c>
      <c r="D655" t="s">
        <v>156</v>
      </c>
      <c r="E655" t="s">
        <v>62</v>
      </c>
      <c r="F655" s="1">
        <v>43405</v>
      </c>
      <c r="G655">
        <v>2026</v>
      </c>
      <c r="H655" t="s">
        <v>107</v>
      </c>
      <c r="I655" t="s">
        <v>39</v>
      </c>
      <c r="J655" t="s">
        <v>23</v>
      </c>
      <c r="K655">
        <v>5.2</v>
      </c>
      <c r="L655">
        <v>12273081</v>
      </c>
      <c r="M655">
        <v>3005024</v>
      </c>
      <c r="N655">
        <v>79</v>
      </c>
      <c r="O655" t="s">
        <v>123</v>
      </c>
      <c r="P655" t="s">
        <v>4178</v>
      </c>
    </row>
    <row r="656" spans="1:16" x14ac:dyDescent="0.35">
      <c r="A656" t="s">
        <v>3980</v>
      </c>
      <c r="B656" t="s">
        <v>3981</v>
      </c>
      <c r="C656" t="s">
        <v>84</v>
      </c>
      <c r="D656" t="s">
        <v>94</v>
      </c>
      <c r="E656" t="s">
        <v>4196</v>
      </c>
      <c r="F656" s="1">
        <v>43406</v>
      </c>
      <c r="G656">
        <v>2015</v>
      </c>
      <c r="H656" t="s">
        <v>107</v>
      </c>
      <c r="I656" t="s">
        <v>4261</v>
      </c>
      <c r="J656" t="s">
        <v>103</v>
      </c>
      <c r="K656">
        <v>4.7</v>
      </c>
      <c r="L656">
        <v>11674187</v>
      </c>
      <c r="M656">
        <v>1604973</v>
      </c>
      <c r="N656">
        <v>98</v>
      </c>
      <c r="O656" t="s">
        <v>24</v>
      </c>
      <c r="P656" t="s">
        <v>4178</v>
      </c>
    </row>
    <row r="657" spans="1:16" x14ac:dyDescent="0.35">
      <c r="A657" t="s">
        <v>1371</v>
      </c>
      <c r="B657" t="s">
        <v>1372</v>
      </c>
      <c r="C657" t="s">
        <v>53</v>
      </c>
      <c r="D657" t="s">
        <v>156</v>
      </c>
      <c r="E657" t="s">
        <v>28</v>
      </c>
      <c r="F657" s="1">
        <v>43409</v>
      </c>
      <c r="G657">
        <v>2002</v>
      </c>
      <c r="H657" t="s">
        <v>107</v>
      </c>
      <c r="I657" t="s">
        <v>136</v>
      </c>
      <c r="J657" t="s">
        <v>30</v>
      </c>
      <c r="K657">
        <v>6.5</v>
      </c>
      <c r="L657">
        <v>6520356</v>
      </c>
      <c r="M657">
        <v>1142289</v>
      </c>
      <c r="N657">
        <v>73</v>
      </c>
      <c r="O657" t="s">
        <v>31</v>
      </c>
      <c r="P657" t="s">
        <v>4181</v>
      </c>
    </row>
    <row r="658" spans="1:16" x14ac:dyDescent="0.35">
      <c r="A658" t="s">
        <v>3864</v>
      </c>
      <c r="B658" t="s">
        <v>3865</v>
      </c>
      <c r="C658" t="s">
        <v>84</v>
      </c>
      <c r="D658" t="s">
        <v>36</v>
      </c>
      <c r="E658" t="s">
        <v>4196</v>
      </c>
      <c r="F658" s="1">
        <v>43417</v>
      </c>
      <c r="G658">
        <v>2017</v>
      </c>
      <c r="H658" t="s">
        <v>107</v>
      </c>
      <c r="I658" t="s">
        <v>4261</v>
      </c>
      <c r="J658" t="s">
        <v>23</v>
      </c>
      <c r="K658">
        <v>7.6</v>
      </c>
      <c r="L658">
        <v>3600019</v>
      </c>
      <c r="M658">
        <v>1213676</v>
      </c>
      <c r="N658">
        <v>94</v>
      </c>
      <c r="O658" t="s">
        <v>104</v>
      </c>
      <c r="P658" t="s">
        <v>4181</v>
      </c>
    </row>
    <row r="659" spans="1:16" x14ac:dyDescent="0.35">
      <c r="A659" t="s">
        <v>3139</v>
      </c>
      <c r="B659" t="s">
        <v>3140</v>
      </c>
      <c r="C659" t="s">
        <v>53</v>
      </c>
      <c r="D659" t="s">
        <v>4178</v>
      </c>
      <c r="E659" t="s">
        <v>28</v>
      </c>
      <c r="F659" s="1">
        <v>43418</v>
      </c>
      <c r="G659">
        <v>2005</v>
      </c>
      <c r="H659" t="s">
        <v>4178</v>
      </c>
      <c r="I659" t="s">
        <v>136</v>
      </c>
      <c r="J659" t="s">
        <v>153</v>
      </c>
      <c r="K659">
        <v>5.3</v>
      </c>
      <c r="L659">
        <v>3776884</v>
      </c>
      <c r="M659">
        <v>316421</v>
      </c>
      <c r="N659">
        <v>69</v>
      </c>
      <c r="O659" t="s">
        <v>49</v>
      </c>
      <c r="P659" t="s">
        <v>32</v>
      </c>
    </row>
    <row r="660" spans="1:16" x14ac:dyDescent="0.35">
      <c r="A660" t="s">
        <v>2821</v>
      </c>
      <c r="B660" t="s">
        <v>2822</v>
      </c>
      <c r="C660" t="s">
        <v>53</v>
      </c>
      <c r="D660" t="s">
        <v>68</v>
      </c>
      <c r="E660" t="s">
        <v>55</v>
      </c>
      <c r="F660" s="1">
        <v>43419</v>
      </c>
      <c r="G660">
        <v>2003</v>
      </c>
      <c r="H660" t="s">
        <v>85</v>
      </c>
      <c r="I660" t="s">
        <v>118</v>
      </c>
      <c r="J660" t="s">
        <v>30</v>
      </c>
      <c r="K660">
        <v>9.3000000000000007</v>
      </c>
      <c r="L660">
        <v>13795562</v>
      </c>
      <c r="M660">
        <v>3260115</v>
      </c>
      <c r="N660">
        <v>55</v>
      </c>
      <c r="O660" t="s">
        <v>24</v>
      </c>
      <c r="P660" t="s">
        <v>4178</v>
      </c>
    </row>
    <row r="661" spans="1:16" x14ac:dyDescent="0.35">
      <c r="A661" t="s">
        <v>548</v>
      </c>
      <c r="B661" t="s">
        <v>549</v>
      </c>
      <c r="C661" t="s">
        <v>84</v>
      </c>
      <c r="D661" t="s">
        <v>36</v>
      </c>
      <c r="E661" t="s">
        <v>113</v>
      </c>
      <c r="F661" s="1">
        <v>43424</v>
      </c>
      <c r="G661">
        <v>2023</v>
      </c>
      <c r="H661" t="s">
        <v>46</v>
      </c>
      <c r="I661" t="s">
        <v>4200</v>
      </c>
      <c r="J661" t="s">
        <v>57</v>
      </c>
      <c r="K661">
        <v>8.9</v>
      </c>
      <c r="L661">
        <v>7601886</v>
      </c>
      <c r="M661">
        <v>895018</v>
      </c>
      <c r="N661">
        <v>91</v>
      </c>
      <c r="O661" t="s">
        <v>41</v>
      </c>
      <c r="P661" t="s">
        <v>50</v>
      </c>
    </row>
    <row r="662" spans="1:16" x14ac:dyDescent="0.35">
      <c r="A662" t="s">
        <v>2245</v>
      </c>
      <c r="B662" t="s">
        <v>2246</v>
      </c>
      <c r="C662" t="s">
        <v>53</v>
      </c>
      <c r="D662" t="s">
        <v>156</v>
      </c>
      <c r="E662" t="s">
        <v>113</v>
      </c>
      <c r="F662" s="1">
        <v>43424</v>
      </c>
      <c r="G662">
        <v>2012</v>
      </c>
      <c r="H662" t="s">
        <v>85</v>
      </c>
      <c r="I662" t="s">
        <v>136</v>
      </c>
      <c r="J662" t="s">
        <v>103</v>
      </c>
      <c r="K662">
        <v>7.2</v>
      </c>
      <c r="L662">
        <v>16912988</v>
      </c>
      <c r="M662">
        <v>2533318</v>
      </c>
      <c r="N662">
        <v>44</v>
      </c>
      <c r="O662" t="s">
        <v>65</v>
      </c>
      <c r="P662" t="s">
        <v>32</v>
      </c>
    </row>
    <row r="663" spans="1:16" x14ac:dyDescent="0.35">
      <c r="A663" t="s">
        <v>755</v>
      </c>
      <c r="B663" t="s">
        <v>756</v>
      </c>
      <c r="C663" t="s">
        <v>84</v>
      </c>
      <c r="D663" t="s">
        <v>54</v>
      </c>
      <c r="E663" t="s">
        <v>62</v>
      </c>
      <c r="F663" s="1">
        <v>43425</v>
      </c>
      <c r="G663">
        <v>2001</v>
      </c>
      <c r="H663" t="s">
        <v>63</v>
      </c>
      <c r="I663" t="s">
        <v>4217</v>
      </c>
      <c r="J663" t="s">
        <v>133</v>
      </c>
      <c r="K663">
        <v>4.5999999999999996</v>
      </c>
      <c r="L663">
        <v>13836414</v>
      </c>
      <c r="M663">
        <v>4230414</v>
      </c>
      <c r="N663">
        <v>66</v>
      </c>
      <c r="O663" t="s">
        <v>31</v>
      </c>
      <c r="P663" t="s">
        <v>4181</v>
      </c>
    </row>
    <row r="664" spans="1:16" x14ac:dyDescent="0.35">
      <c r="A664" t="s">
        <v>1749</v>
      </c>
      <c r="B664" t="s">
        <v>1750</v>
      </c>
      <c r="C664" t="s">
        <v>84</v>
      </c>
      <c r="D664" t="s">
        <v>19</v>
      </c>
      <c r="E664" t="s">
        <v>99</v>
      </c>
      <c r="F664" s="1">
        <v>43427</v>
      </c>
      <c r="G664">
        <v>2032</v>
      </c>
      <c r="H664" t="s">
        <v>81</v>
      </c>
      <c r="I664" t="s">
        <v>4324</v>
      </c>
      <c r="J664" t="s">
        <v>23</v>
      </c>
      <c r="K664">
        <v>5.0999999999999996</v>
      </c>
      <c r="L664">
        <v>2559552</v>
      </c>
      <c r="M664">
        <v>4696197</v>
      </c>
      <c r="N664">
        <v>76</v>
      </c>
      <c r="O664" t="s">
        <v>49</v>
      </c>
      <c r="P664" t="s">
        <v>4178</v>
      </c>
    </row>
    <row r="665" spans="1:16" x14ac:dyDescent="0.35">
      <c r="A665" t="s">
        <v>1021</v>
      </c>
      <c r="B665" t="s">
        <v>1022</v>
      </c>
      <c r="C665" t="s">
        <v>84</v>
      </c>
      <c r="D665" t="s">
        <v>75</v>
      </c>
      <c r="E665" t="s">
        <v>37</v>
      </c>
      <c r="F665" s="1">
        <v>43431</v>
      </c>
      <c r="G665">
        <v>2025</v>
      </c>
      <c r="H665" t="s">
        <v>46</v>
      </c>
      <c r="I665" t="s">
        <v>4294</v>
      </c>
      <c r="J665" t="s">
        <v>133</v>
      </c>
      <c r="K665">
        <v>5.2</v>
      </c>
      <c r="L665">
        <v>10139326</v>
      </c>
      <c r="M665">
        <v>828303</v>
      </c>
      <c r="N665">
        <v>40</v>
      </c>
      <c r="O665" t="s">
        <v>65</v>
      </c>
      <c r="P665" t="s">
        <v>50</v>
      </c>
    </row>
    <row r="666" spans="1:16" x14ac:dyDescent="0.35">
      <c r="A666" t="s">
        <v>1104</v>
      </c>
      <c r="B666" t="s">
        <v>1105</v>
      </c>
      <c r="C666" t="s">
        <v>53</v>
      </c>
      <c r="D666" t="s">
        <v>61</v>
      </c>
      <c r="E666" t="s">
        <v>69</v>
      </c>
      <c r="F666" s="1">
        <v>43433</v>
      </c>
      <c r="G666">
        <v>2010</v>
      </c>
      <c r="H666" t="s">
        <v>107</v>
      </c>
      <c r="I666" t="s">
        <v>64</v>
      </c>
      <c r="J666" t="s">
        <v>103</v>
      </c>
      <c r="K666">
        <v>11.2</v>
      </c>
      <c r="L666">
        <v>8516170</v>
      </c>
      <c r="M666">
        <v>3066049</v>
      </c>
      <c r="N666">
        <v>43</v>
      </c>
      <c r="O666" t="s">
        <v>24</v>
      </c>
      <c r="P666" t="s">
        <v>4181</v>
      </c>
    </row>
    <row r="667" spans="1:16" x14ac:dyDescent="0.35">
      <c r="A667" t="s">
        <v>2625</v>
      </c>
      <c r="B667" t="s">
        <v>2626</v>
      </c>
      <c r="C667" t="s">
        <v>4178</v>
      </c>
      <c r="D667" t="s">
        <v>36</v>
      </c>
      <c r="E667" t="s">
        <v>37</v>
      </c>
      <c r="F667" s="1">
        <v>43435</v>
      </c>
      <c r="G667">
        <v>2007</v>
      </c>
      <c r="H667" t="s">
        <v>107</v>
      </c>
      <c r="I667" t="s">
        <v>118</v>
      </c>
      <c r="J667" t="s">
        <v>153</v>
      </c>
      <c r="K667">
        <v>6.3</v>
      </c>
      <c r="L667">
        <v>18002887</v>
      </c>
      <c r="M667">
        <v>440557</v>
      </c>
      <c r="N667">
        <v>60</v>
      </c>
      <c r="O667" t="s">
        <v>41</v>
      </c>
      <c r="P667" t="s">
        <v>87</v>
      </c>
    </row>
    <row r="668" spans="1:16" x14ac:dyDescent="0.35">
      <c r="A668" t="s">
        <v>4025</v>
      </c>
      <c r="B668" t="s">
        <v>4026</v>
      </c>
      <c r="C668" t="s">
        <v>84</v>
      </c>
      <c r="D668" t="s">
        <v>36</v>
      </c>
      <c r="E668" t="s">
        <v>37</v>
      </c>
      <c r="F668" s="1">
        <v>43437</v>
      </c>
      <c r="G668">
        <v>2024</v>
      </c>
      <c r="H668" t="s">
        <v>38</v>
      </c>
      <c r="I668" t="s">
        <v>4190</v>
      </c>
      <c r="J668" t="s">
        <v>103</v>
      </c>
      <c r="K668">
        <v>7.8</v>
      </c>
      <c r="L668">
        <v>2879505</v>
      </c>
      <c r="M668">
        <v>3454375</v>
      </c>
      <c r="N668">
        <v>74</v>
      </c>
      <c r="O668" t="s">
        <v>104</v>
      </c>
      <c r="P668" t="s">
        <v>32</v>
      </c>
    </row>
    <row r="669" spans="1:16" x14ac:dyDescent="0.35">
      <c r="A669" t="s">
        <v>1039</v>
      </c>
      <c r="B669" t="s">
        <v>1040</v>
      </c>
      <c r="C669" t="s">
        <v>53</v>
      </c>
      <c r="D669" t="s">
        <v>61</v>
      </c>
      <c r="E669" t="s">
        <v>20</v>
      </c>
      <c r="F669" s="1">
        <v>43439</v>
      </c>
      <c r="G669">
        <v>2023</v>
      </c>
      <c r="H669" t="s">
        <v>46</v>
      </c>
      <c r="I669" t="s">
        <v>4178</v>
      </c>
      <c r="J669" t="s">
        <v>133</v>
      </c>
      <c r="K669">
        <v>6.4</v>
      </c>
      <c r="L669">
        <v>2267421</v>
      </c>
      <c r="M669">
        <v>3758031</v>
      </c>
      <c r="N669">
        <v>41</v>
      </c>
      <c r="O669" t="s">
        <v>24</v>
      </c>
      <c r="P669" t="s">
        <v>4181</v>
      </c>
    </row>
    <row r="670" spans="1:16" x14ac:dyDescent="0.35">
      <c r="A670" t="s">
        <v>615</v>
      </c>
      <c r="B670" t="s">
        <v>616</v>
      </c>
      <c r="C670" t="s">
        <v>53</v>
      </c>
      <c r="D670" t="s">
        <v>156</v>
      </c>
      <c r="E670" t="s">
        <v>28</v>
      </c>
      <c r="F670" s="1">
        <v>43442</v>
      </c>
      <c r="G670">
        <v>2005</v>
      </c>
      <c r="H670" t="s">
        <v>81</v>
      </c>
      <c r="I670" t="s">
        <v>64</v>
      </c>
      <c r="J670" t="s">
        <v>133</v>
      </c>
      <c r="K670">
        <v>8.5</v>
      </c>
      <c r="L670">
        <v>23852947</v>
      </c>
      <c r="M670">
        <v>1811576</v>
      </c>
      <c r="N670">
        <v>93</v>
      </c>
      <c r="O670" t="s">
        <v>58</v>
      </c>
      <c r="P670" t="s">
        <v>4178</v>
      </c>
    </row>
    <row r="671" spans="1:16" x14ac:dyDescent="0.35">
      <c r="A671" t="s">
        <v>2814</v>
      </c>
      <c r="B671" t="s">
        <v>2815</v>
      </c>
      <c r="C671" t="s">
        <v>84</v>
      </c>
      <c r="D671" t="s">
        <v>4178</v>
      </c>
      <c r="E671" t="s">
        <v>69</v>
      </c>
      <c r="F671" s="1">
        <v>43442</v>
      </c>
      <c r="G671">
        <v>2025</v>
      </c>
      <c r="H671" t="s">
        <v>81</v>
      </c>
      <c r="I671" t="s">
        <v>4222</v>
      </c>
      <c r="J671" t="s">
        <v>133</v>
      </c>
      <c r="K671">
        <v>9</v>
      </c>
      <c r="L671">
        <v>11002076</v>
      </c>
      <c r="M671">
        <v>1507747</v>
      </c>
      <c r="N671">
        <v>61</v>
      </c>
      <c r="O671" t="s">
        <v>58</v>
      </c>
      <c r="P671" t="s">
        <v>4178</v>
      </c>
    </row>
    <row r="672" spans="1:16" x14ac:dyDescent="0.35">
      <c r="A672" t="s">
        <v>1017</v>
      </c>
      <c r="B672" t="s">
        <v>1018</v>
      </c>
      <c r="C672" t="s">
        <v>4178</v>
      </c>
      <c r="D672" t="s">
        <v>90</v>
      </c>
      <c r="E672" t="s">
        <v>99</v>
      </c>
      <c r="F672" s="1">
        <v>43445</v>
      </c>
      <c r="G672">
        <v>2004</v>
      </c>
      <c r="H672" t="s">
        <v>114</v>
      </c>
      <c r="I672" t="s">
        <v>136</v>
      </c>
      <c r="J672" t="s">
        <v>40</v>
      </c>
      <c r="K672">
        <v>5.4</v>
      </c>
      <c r="L672">
        <v>4433017</v>
      </c>
      <c r="M672">
        <v>3449154</v>
      </c>
      <c r="N672">
        <v>60</v>
      </c>
      <c r="O672" t="s">
        <v>24</v>
      </c>
      <c r="P672" t="s">
        <v>50</v>
      </c>
    </row>
    <row r="673" spans="1:16" x14ac:dyDescent="0.35">
      <c r="A673" t="s">
        <v>3313</v>
      </c>
      <c r="B673" t="s">
        <v>3314</v>
      </c>
      <c r="C673" t="s">
        <v>84</v>
      </c>
      <c r="D673" t="s">
        <v>90</v>
      </c>
      <c r="E673" t="s">
        <v>4178</v>
      </c>
      <c r="F673" s="1">
        <v>43449</v>
      </c>
      <c r="G673">
        <v>2007</v>
      </c>
      <c r="H673" t="s">
        <v>107</v>
      </c>
      <c r="I673" t="s">
        <v>4277</v>
      </c>
      <c r="J673" t="s">
        <v>72</v>
      </c>
      <c r="K673">
        <v>7.9</v>
      </c>
      <c r="L673">
        <v>14388844</v>
      </c>
      <c r="M673">
        <v>1347080</v>
      </c>
      <c r="N673">
        <v>82</v>
      </c>
      <c r="O673" t="s">
        <v>41</v>
      </c>
      <c r="P673" t="s">
        <v>50</v>
      </c>
    </row>
    <row r="674" spans="1:16" x14ac:dyDescent="0.35">
      <c r="A674" t="s">
        <v>2641</v>
      </c>
      <c r="B674" t="s">
        <v>2642</v>
      </c>
      <c r="C674" t="s">
        <v>84</v>
      </c>
      <c r="D674" t="s">
        <v>94</v>
      </c>
      <c r="E674" t="s">
        <v>113</v>
      </c>
      <c r="F674" s="1">
        <v>43450</v>
      </c>
      <c r="G674">
        <v>2026</v>
      </c>
      <c r="H674" t="s">
        <v>46</v>
      </c>
      <c r="I674" t="s">
        <v>4238</v>
      </c>
      <c r="J674" t="s">
        <v>72</v>
      </c>
      <c r="K674">
        <v>11.2</v>
      </c>
      <c r="L674">
        <v>2922159</v>
      </c>
      <c r="M674">
        <v>2913070</v>
      </c>
      <c r="N674">
        <v>65</v>
      </c>
      <c r="O674" t="s">
        <v>58</v>
      </c>
      <c r="P674" t="s">
        <v>50</v>
      </c>
    </row>
    <row r="675" spans="1:16" x14ac:dyDescent="0.35">
      <c r="A675" t="s">
        <v>3510</v>
      </c>
      <c r="B675" t="s">
        <v>3511</v>
      </c>
      <c r="C675" t="s">
        <v>4178</v>
      </c>
      <c r="D675" t="s">
        <v>4178</v>
      </c>
      <c r="E675" t="s">
        <v>37</v>
      </c>
      <c r="F675" s="1">
        <v>43450</v>
      </c>
      <c r="G675">
        <v>2014</v>
      </c>
      <c r="H675" t="s">
        <v>85</v>
      </c>
      <c r="I675" t="s">
        <v>162</v>
      </c>
      <c r="J675" t="s">
        <v>4178</v>
      </c>
      <c r="K675">
        <v>6.4</v>
      </c>
      <c r="L675">
        <v>14942223</v>
      </c>
      <c r="M675">
        <v>4200866</v>
      </c>
      <c r="N675">
        <v>49</v>
      </c>
      <c r="O675" t="s">
        <v>65</v>
      </c>
      <c r="P675" t="s">
        <v>87</v>
      </c>
    </row>
    <row r="676" spans="1:16" x14ac:dyDescent="0.35">
      <c r="A676" t="s">
        <v>2792</v>
      </c>
      <c r="B676" t="s">
        <v>4366</v>
      </c>
      <c r="C676" t="s">
        <v>53</v>
      </c>
      <c r="D676" t="s">
        <v>156</v>
      </c>
      <c r="E676" t="s">
        <v>99</v>
      </c>
      <c r="F676" s="1">
        <v>43452</v>
      </c>
      <c r="G676">
        <v>2024</v>
      </c>
      <c r="H676" t="s">
        <v>121</v>
      </c>
      <c r="I676" t="s">
        <v>64</v>
      </c>
      <c r="J676" t="s">
        <v>23</v>
      </c>
      <c r="K676">
        <v>6.3</v>
      </c>
      <c r="L676">
        <v>8083273</v>
      </c>
      <c r="M676">
        <v>1762556</v>
      </c>
      <c r="N676">
        <v>95</v>
      </c>
      <c r="O676" t="s">
        <v>4178</v>
      </c>
      <c r="P676" t="s">
        <v>87</v>
      </c>
    </row>
    <row r="677" spans="1:16" x14ac:dyDescent="0.35">
      <c r="A677" t="s">
        <v>1033</v>
      </c>
      <c r="B677" t="s">
        <v>1034</v>
      </c>
      <c r="C677" t="s">
        <v>4178</v>
      </c>
      <c r="D677" t="s">
        <v>156</v>
      </c>
      <c r="E677" t="s">
        <v>37</v>
      </c>
      <c r="F677" s="1">
        <v>43455</v>
      </c>
      <c r="G677">
        <v>2013</v>
      </c>
      <c r="H677" t="s">
        <v>63</v>
      </c>
      <c r="I677" t="s">
        <v>39</v>
      </c>
      <c r="J677" t="s">
        <v>103</v>
      </c>
      <c r="K677">
        <v>6.5</v>
      </c>
      <c r="L677">
        <v>15011</v>
      </c>
      <c r="M677">
        <v>664096</v>
      </c>
      <c r="N677">
        <v>41</v>
      </c>
      <c r="O677" t="s">
        <v>104</v>
      </c>
      <c r="P677" t="s">
        <v>4181</v>
      </c>
    </row>
    <row r="678" spans="1:16" x14ac:dyDescent="0.35">
      <c r="A678" t="s">
        <v>1055</v>
      </c>
      <c r="B678" t="s">
        <v>1056</v>
      </c>
      <c r="C678" t="s">
        <v>84</v>
      </c>
      <c r="D678" t="s">
        <v>54</v>
      </c>
      <c r="E678" t="s">
        <v>69</v>
      </c>
      <c r="F678" s="1">
        <v>43458</v>
      </c>
      <c r="G678">
        <v>2026</v>
      </c>
      <c r="H678" t="s">
        <v>114</v>
      </c>
      <c r="I678" t="s">
        <v>4277</v>
      </c>
      <c r="J678" t="s">
        <v>23</v>
      </c>
      <c r="K678">
        <v>7.7</v>
      </c>
      <c r="L678">
        <v>11347976</v>
      </c>
      <c r="M678">
        <v>2899860</v>
      </c>
      <c r="N678">
        <v>98</v>
      </c>
      <c r="O678" t="s">
        <v>41</v>
      </c>
      <c r="P678" t="s">
        <v>87</v>
      </c>
    </row>
    <row r="679" spans="1:16" x14ac:dyDescent="0.35">
      <c r="A679" t="s">
        <v>1838</v>
      </c>
      <c r="B679" t="s">
        <v>4329</v>
      </c>
      <c r="C679" t="s">
        <v>84</v>
      </c>
      <c r="D679" t="s">
        <v>4178</v>
      </c>
      <c r="E679" t="s">
        <v>4178</v>
      </c>
      <c r="F679" s="1">
        <v>43461</v>
      </c>
      <c r="G679">
        <v>2002</v>
      </c>
      <c r="H679" t="s">
        <v>121</v>
      </c>
      <c r="I679" t="s">
        <v>4276</v>
      </c>
      <c r="J679" t="s">
        <v>72</v>
      </c>
      <c r="K679">
        <v>7.9</v>
      </c>
      <c r="L679">
        <v>7271416</v>
      </c>
      <c r="M679">
        <v>3268237</v>
      </c>
      <c r="N679">
        <v>40</v>
      </c>
      <c r="O679" t="s">
        <v>49</v>
      </c>
      <c r="P679" t="s">
        <v>4181</v>
      </c>
    </row>
    <row r="680" spans="1:16" x14ac:dyDescent="0.35">
      <c r="A680" t="s">
        <v>1507</v>
      </c>
      <c r="B680" t="s">
        <v>1508</v>
      </c>
      <c r="C680" t="s">
        <v>84</v>
      </c>
      <c r="D680" t="s">
        <v>27</v>
      </c>
      <c r="E680" t="s">
        <v>28</v>
      </c>
      <c r="F680" s="1">
        <v>43462</v>
      </c>
      <c r="G680">
        <v>2004</v>
      </c>
      <c r="H680" t="s">
        <v>46</v>
      </c>
      <c r="I680" t="s">
        <v>4248</v>
      </c>
      <c r="J680" t="s">
        <v>133</v>
      </c>
      <c r="K680">
        <v>5.8</v>
      </c>
      <c r="L680">
        <v>12401322</v>
      </c>
      <c r="M680">
        <v>561779</v>
      </c>
      <c r="N680">
        <v>86</v>
      </c>
      <c r="O680" t="s">
        <v>49</v>
      </c>
      <c r="P680" t="s">
        <v>50</v>
      </c>
    </row>
    <row r="681" spans="1:16" x14ac:dyDescent="0.35">
      <c r="A681" t="s">
        <v>1296</v>
      </c>
      <c r="B681" t="s">
        <v>1297</v>
      </c>
      <c r="C681" t="s">
        <v>53</v>
      </c>
      <c r="D681" t="s">
        <v>75</v>
      </c>
      <c r="E681" t="s">
        <v>45</v>
      </c>
      <c r="F681" s="1">
        <v>43464</v>
      </c>
      <c r="G681">
        <v>2023</v>
      </c>
      <c r="H681" t="s">
        <v>63</v>
      </c>
      <c r="I681" t="s">
        <v>39</v>
      </c>
      <c r="J681" t="s">
        <v>153</v>
      </c>
      <c r="K681">
        <v>5.0999999999999996</v>
      </c>
      <c r="L681">
        <v>23676704</v>
      </c>
      <c r="M681">
        <v>1453114</v>
      </c>
      <c r="N681">
        <v>76</v>
      </c>
      <c r="O681" t="s">
        <v>4178</v>
      </c>
      <c r="P681" t="s">
        <v>4178</v>
      </c>
    </row>
    <row r="682" spans="1:16" x14ac:dyDescent="0.35">
      <c r="A682" t="s">
        <v>3539</v>
      </c>
      <c r="B682" t="s">
        <v>4383</v>
      </c>
      <c r="C682" t="s">
        <v>84</v>
      </c>
      <c r="D682" t="s">
        <v>156</v>
      </c>
      <c r="E682" t="s">
        <v>80</v>
      </c>
      <c r="F682" s="1">
        <v>43464</v>
      </c>
      <c r="G682">
        <v>2019</v>
      </c>
      <c r="H682" t="s">
        <v>107</v>
      </c>
      <c r="I682" t="s">
        <v>4226</v>
      </c>
      <c r="J682" t="s">
        <v>48</v>
      </c>
      <c r="K682">
        <v>7.6</v>
      </c>
      <c r="L682">
        <v>7875077</v>
      </c>
      <c r="M682">
        <v>1203293</v>
      </c>
      <c r="N682">
        <v>69</v>
      </c>
      <c r="O682" t="s">
        <v>104</v>
      </c>
      <c r="P682" t="s">
        <v>32</v>
      </c>
    </row>
    <row r="683" spans="1:16" x14ac:dyDescent="0.35">
      <c r="A683" t="s">
        <v>1041</v>
      </c>
      <c r="B683" t="s">
        <v>1042</v>
      </c>
      <c r="C683" t="s">
        <v>84</v>
      </c>
      <c r="D683" t="s">
        <v>94</v>
      </c>
      <c r="E683" t="s">
        <v>99</v>
      </c>
      <c r="F683" s="1">
        <v>43472</v>
      </c>
      <c r="G683">
        <v>2011</v>
      </c>
      <c r="H683" t="s">
        <v>81</v>
      </c>
      <c r="I683" t="s">
        <v>4248</v>
      </c>
      <c r="J683" t="s">
        <v>40</v>
      </c>
      <c r="K683">
        <v>8.1</v>
      </c>
      <c r="L683">
        <v>14045743</v>
      </c>
      <c r="M683">
        <v>3923193</v>
      </c>
      <c r="N683">
        <v>54</v>
      </c>
      <c r="O683" t="s">
        <v>104</v>
      </c>
      <c r="P683" t="s">
        <v>4178</v>
      </c>
    </row>
    <row r="684" spans="1:16" x14ac:dyDescent="0.35">
      <c r="A684" t="s">
        <v>630</v>
      </c>
      <c r="B684" t="s">
        <v>631</v>
      </c>
      <c r="C684" t="s">
        <v>53</v>
      </c>
      <c r="D684" t="s">
        <v>90</v>
      </c>
      <c r="E684" t="s">
        <v>69</v>
      </c>
      <c r="F684" s="1">
        <v>43475</v>
      </c>
      <c r="G684">
        <v>2009</v>
      </c>
      <c r="H684" t="s">
        <v>114</v>
      </c>
      <c r="I684" t="s">
        <v>136</v>
      </c>
      <c r="J684" t="s">
        <v>96</v>
      </c>
      <c r="K684">
        <v>4.5999999999999996</v>
      </c>
      <c r="L684">
        <v>21152714</v>
      </c>
      <c r="M684">
        <v>1414194</v>
      </c>
      <c r="N684">
        <v>50</v>
      </c>
      <c r="O684" t="s">
        <v>104</v>
      </c>
      <c r="P684" t="s">
        <v>4181</v>
      </c>
    </row>
    <row r="685" spans="1:16" x14ac:dyDescent="0.35">
      <c r="A685" t="s">
        <v>4123</v>
      </c>
      <c r="B685" t="s">
        <v>4124</v>
      </c>
      <c r="C685" t="s">
        <v>84</v>
      </c>
      <c r="D685" t="s">
        <v>61</v>
      </c>
      <c r="E685" t="s">
        <v>69</v>
      </c>
      <c r="F685" s="1">
        <v>43475</v>
      </c>
      <c r="G685">
        <v>2025</v>
      </c>
      <c r="H685" t="s">
        <v>46</v>
      </c>
      <c r="I685" t="s">
        <v>4215</v>
      </c>
      <c r="J685" t="s">
        <v>153</v>
      </c>
      <c r="K685">
        <v>8.5</v>
      </c>
      <c r="L685">
        <v>11543863</v>
      </c>
      <c r="M685">
        <v>1455830</v>
      </c>
      <c r="N685">
        <v>120</v>
      </c>
      <c r="O685" t="s">
        <v>41</v>
      </c>
      <c r="P685" t="s">
        <v>4178</v>
      </c>
    </row>
    <row r="686" spans="1:16" x14ac:dyDescent="0.35">
      <c r="A686" t="s">
        <v>572</v>
      </c>
      <c r="B686" t="s">
        <v>573</v>
      </c>
      <c r="C686" t="s">
        <v>84</v>
      </c>
      <c r="D686" t="s">
        <v>54</v>
      </c>
      <c r="E686" t="s">
        <v>45</v>
      </c>
      <c r="F686" s="1">
        <v>43481</v>
      </c>
      <c r="G686">
        <v>2010</v>
      </c>
      <c r="H686" t="s">
        <v>81</v>
      </c>
      <c r="I686" t="s">
        <v>4188</v>
      </c>
      <c r="J686" t="s">
        <v>133</v>
      </c>
      <c r="K686">
        <v>5.6</v>
      </c>
      <c r="L686">
        <v>4503910</v>
      </c>
      <c r="M686">
        <v>1951321</v>
      </c>
      <c r="N686">
        <v>85</v>
      </c>
      <c r="O686" t="s">
        <v>41</v>
      </c>
      <c r="P686" t="s">
        <v>32</v>
      </c>
    </row>
    <row r="687" spans="1:16" x14ac:dyDescent="0.35">
      <c r="A687" t="s">
        <v>2046</v>
      </c>
      <c r="B687" t="s">
        <v>4337</v>
      </c>
      <c r="C687" t="s">
        <v>4178</v>
      </c>
      <c r="D687" t="s">
        <v>36</v>
      </c>
      <c r="E687" t="s">
        <v>4178</v>
      </c>
      <c r="F687" s="1">
        <v>43483</v>
      </c>
      <c r="G687">
        <v>2009</v>
      </c>
      <c r="H687" t="s">
        <v>63</v>
      </c>
      <c r="I687" t="s">
        <v>64</v>
      </c>
      <c r="J687" t="s">
        <v>72</v>
      </c>
      <c r="K687">
        <v>8.1</v>
      </c>
      <c r="L687">
        <v>10975639</v>
      </c>
      <c r="M687">
        <v>1969376</v>
      </c>
      <c r="N687">
        <v>96</v>
      </c>
      <c r="O687" t="s">
        <v>4178</v>
      </c>
      <c r="P687" t="s">
        <v>4178</v>
      </c>
    </row>
    <row r="688" spans="1:16" x14ac:dyDescent="0.35">
      <c r="A688" t="s">
        <v>2131</v>
      </c>
      <c r="B688" t="s">
        <v>2132</v>
      </c>
      <c r="C688" t="s">
        <v>4178</v>
      </c>
      <c r="D688" t="s">
        <v>156</v>
      </c>
      <c r="E688" t="s">
        <v>69</v>
      </c>
      <c r="F688" s="1">
        <v>43489</v>
      </c>
      <c r="G688">
        <v>2015</v>
      </c>
      <c r="H688" t="s">
        <v>63</v>
      </c>
      <c r="I688" t="s">
        <v>95</v>
      </c>
      <c r="J688" t="s">
        <v>57</v>
      </c>
      <c r="K688">
        <v>4.5999999999999996</v>
      </c>
      <c r="L688">
        <v>17044674</v>
      </c>
      <c r="M688">
        <v>4423505</v>
      </c>
      <c r="N688">
        <v>46</v>
      </c>
      <c r="O688" t="s">
        <v>41</v>
      </c>
      <c r="P688" t="s">
        <v>87</v>
      </c>
    </row>
    <row r="689" spans="1:16" x14ac:dyDescent="0.35">
      <c r="A689" t="s">
        <v>2593</v>
      </c>
      <c r="B689" t="s">
        <v>2594</v>
      </c>
      <c r="C689" t="s">
        <v>84</v>
      </c>
      <c r="D689" t="s">
        <v>61</v>
      </c>
      <c r="E689" t="s">
        <v>62</v>
      </c>
      <c r="F689" s="1">
        <v>43489</v>
      </c>
      <c r="G689">
        <v>2005</v>
      </c>
      <c r="H689" t="s">
        <v>46</v>
      </c>
      <c r="I689" t="s">
        <v>4262</v>
      </c>
      <c r="J689" t="s">
        <v>57</v>
      </c>
      <c r="K689">
        <v>5.6</v>
      </c>
      <c r="L689">
        <v>15839477</v>
      </c>
      <c r="M689">
        <v>2548400</v>
      </c>
      <c r="N689">
        <v>77</v>
      </c>
      <c r="O689" t="s">
        <v>49</v>
      </c>
      <c r="P689" t="s">
        <v>4181</v>
      </c>
    </row>
    <row r="690" spans="1:16" x14ac:dyDescent="0.35">
      <c r="A690" t="s">
        <v>1553</v>
      </c>
      <c r="B690" t="s">
        <v>1554</v>
      </c>
      <c r="C690" t="s">
        <v>84</v>
      </c>
      <c r="D690" t="s">
        <v>19</v>
      </c>
      <c r="E690" t="s">
        <v>131</v>
      </c>
      <c r="F690" s="1">
        <v>43490</v>
      </c>
      <c r="G690">
        <v>2015</v>
      </c>
      <c r="H690" t="s">
        <v>38</v>
      </c>
      <c r="I690" t="s">
        <v>4177</v>
      </c>
      <c r="J690" t="s">
        <v>133</v>
      </c>
      <c r="K690">
        <v>9.4</v>
      </c>
      <c r="L690">
        <v>10206833</v>
      </c>
      <c r="M690">
        <v>1142645</v>
      </c>
      <c r="N690">
        <v>98</v>
      </c>
      <c r="O690" t="s">
        <v>49</v>
      </c>
      <c r="P690" t="s">
        <v>4178</v>
      </c>
    </row>
    <row r="691" spans="1:16" x14ac:dyDescent="0.35">
      <c r="A691" t="s">
        <v>3502</v>
      </c>
      <c r="B691" t="s">
        <v>3503</v>
      </c>
      <c r="C691" t="s">
        <v>4178</v>
      </c>
      <c r="D691" t="s">
        <v>61</v>
      </c>
      <c r="E691" t="s">
        <v>99</v>
      </c>
      <c r="F691" s="1">
        <v>43491</v>
      </c>
      <c r="G691">
        <v>2005</v>
      </c>
      <c r="H691" t="s">
        <v>85</v>
      </c>
      <c r="I691" t="s">
        <v>4178</v>
      </c>
      <c r="J691" t="s">
        <v>133</v>
      </c>
      <c r="K691">
        <v>6.8</v>
      </c>
      <c r="L691">
        <v>12966049</v>
      </c>
      <c r="M691">
        <v>1123693</v>
      </c>
      <c r="N691">
        <v>70</v>
      </c>
      <c r="O691" t="s">
        <v>123</v>
      </c>
      <c r="P691" t="s">
        <v>4181</v>
      </c>
    </row>
    <row r="692" spans="1:16" x14ac:dyDescent="0.35">
      <c r="A692" t="s">
        <v>932</v>
      </c>
      <c r="B692" t="s">
        <v>933</v>
      </c>
      <c r="C692" t="s">
        <v>84</v>
      </c>
      <c r="D692" t="s">
        <v>75</v>
      </c>
      <c r="E692" t="s">
        <v>20</v>
      </c>
      <c r="F692" s="1">
        <v>43493</v>
      </c>
      <c r="G692">
        <v>2004</v>
      </c>
      <c r="H692" t="s">
        <v>107</v>
      </c>
      <c r="I692" t="s">
        <v>4188</v>
      </c>
      <c r="J692" t="s">
        <v>72</v>
      </c>
      <c r="K692">
        <v>5.6</v>
      </c>
      <c r="L692">
        <v>3546094</v>
      </c>
      <c r="M692">
        <v>634719</v>
      </c>
      <c r="N692">
        <v>77</v>
      </c>
      <c r="O692" t="s">
        <v>65</v>
      </c>
      <c r="P692" t="s">
        <v>32</v>
      </c>
    </row>
    <row r="693" spans="1:16" x14ac:dyDescent="0.35">
      <c r="A693" t="s">
        <v>826</v>
      </c>
      <c r="B693" t="s">
        <v>827</v>
      </c>
      <c r="C693" t="s">
        <v>53</v>
      </c>
      <c r="D693" t="s">
        <v>75</v>
      </c>
      <c r="E693" t="s">
        <v>62</v>
      </c>
      <c r="F693" s="1">
        <v>43494</v>
      </c>
      <c r="G693">
        <v>2016</v>
      </c>
      <c r="H693" t="s">
        <v>85</v>
      </c>
      <c r="I693" t="s">
        <v>39</v>
      </c>
      <c r="J693" t="s">
        <v>133</v>
      </c>
      <c r="K693">
        <v>6.2</v>
      </c>
      <c r="L693">
        <v>3727368</v>
      </c>
      <c r="M693">
        <v>2101722</v>
      </c>
      <c r="N693">
        <v>79</v>
      </c>
      <c r="O693" t="s">
        <v>91</v>
      </c>
      <c r="P693" t="s">
        <v>4178</v>
      </c>
    </row>
    <row r="694" spans="1:16" x14ac:dyDescent="0.35">
      <c r="A694" t="s">
        <v>59</v>
      </c>
      <c r="B694" t="s">
        <v>60</v>
      </c>
      <c r="C694" t="s">
        <v>53</v>
      </c>
      <c r="D694" t="s">
        <v>61</v>
      </c>
      <c r="E694" t="s">
        <v>62</v>
      </c>
      <c r="F694" s="1">
        <v>43498</v>
      </c>
      <c r="G694">
        <v>2000</v>
      </c>
      <c r="H694" t="s">
        <v>63</v>
      </c>
      <c r="I694" t="s">
        <v>64</v>
      </c>
      <c r="J694" t="s">
        <v>40</v>
      </c>
      <c r="K694">
        <v>6.2</v>
      </c>
      <c r="L694">
        <v>17307022</v>
      </c>
      <c r="M694">
        <v>453925</v>
      </c>
      <c r="N694">
        <v>95</v>
      </c>
      <c r="O694" t="s">
        <v>65</v>
      </c>
      <c r="P694" t="s">
        <v>32</v>
      </c>
    </row>
    <row r="695" spans="1:16" x14ac:dyDescent="0.35">
      <c r="A695" t="s">
        <v>2715</v>
      </c>
      <c r="B695" t="s">
        <v>2716</v>
      </c>
      <c r="C695" t="s">
        <v>84</v>
      </c>
      <c r="D695" t="s">
        <v>36</v>
      </c>
      <c r="E695" t="s">
        <v>99</v>
      </c>
      <c r="F695" s="1">
        <v>43498</v>
      </c>
      <c r="G695">
        <v>2008</v>
      </c>
      <c r="H695" t="s">
        <v>38</v>
      </c>
      <c r="I695" t="s">
        <v>4287</v>
      </c>
      <c r="J695" t="s">
        <v>133</v>
      </c>
      <c r="K695">
        <v>7.7</v>
      </c>
      <c r="L695">
        <v>9417879</v>
      </c>
      <c r="M695">
        <v>1559420</v>
      </c>
      <c r="N695">
        <v>81</v>
      </c>
      <c r="O695" t="s">
        <v>104</v>
      </c>
      <c r="P695" t="s">
        <v>4181</v>
      </c>
    </row>
    <row r="696" spans="1:16" x14ac:dyDescent="0.35">
      <c r="A696" t="s">
        <v>3543</v>
      </c>
      <c r="B696" t="s">
        <v>4384</v>
      </c>
      <c r="C696" t="s">
        <v>84</v>
      </c>
      <c r="D696" t="s">
        <v>75</v>
      </c>
      <c r="E696" t="s">
        <v>99</v>
      </c>
      <c r="F696" s="1">
        <v>43499</v>
      </c>
      <c r="G696">
        <v>2000</v>
      </c>
      <c r="H696" t="s">
        <v>81</v>
      </c>
      <c r="I696" t="s">
        <v>4276</v>
      </c>
      <c r="J696" t="s">
        <v>153</v>
      </c>
      <c r="K696">
        <v>7.5</v>
      </c>
      <c r="L696">
        <v>7795141</v>
      </c>
      <c r="M696">
        <v>3189451</v>
      </c>
      <c r="N696">
        <v>42</v>
      </c>
      <c r="O696" t="s">
        <v>41</v>
      </c>
      <c r="P696" t="s">
        <v>50</v>
      </c>
    </row>
    <row r="697" spans="1:16" x14ac:dyDescent="0.35">
      <c r="A697" t="s">
        <v>3711</v>
      </c>
      <c r="B697" t="s">
        <v>3712</v>
      </c>
      <c r="C697" t="s">
        <v>84</v>
      </c>
      <c r="D697" t="s">
        <v>4178</v>
      </c>
      <c r="E697" t="s">
        <v>99</v>
      </c>
      <c r="F697" s="1">
        <v>43500</v>
      </c>
      <c r="G697">
        <v>2017</v>
      </c>
      <c r="H697" t="s">
        <v>38</v>
      </c>
      <c r="I697" t="s">
        <v>4315</v>
      </c>
      <c r="J697" t="s">
        <v>96</v>
      </c>
      <c r="K697">
        <v>8.1999999999999993</v>
      </c>
      <c r="L697">
        <v>-390</v>
      </c>
      <c r="M697">
        <v>4045207</v>
      </c>
      <c r="N697">
        <v>60</v>
      </c>
      <c r="O697" t="s">
        <v>91</v>
      </c>
      <c r="P697" t="s">
        <v>32</v>
      </c>
    </row>
    <row r="698" spans="1:16" x14ac:dyDescent="0.35">
      <c r="A698" t="s">
        <v>2862</v>
      </c>
      <c r="B698" t="s">
        <v>2861</v>
      </c>
      <c r="C698" t="s">
        <v>53</v>
      </c>
      <c r="D698" t="s">
        <v>4178</v>
      </c>
      <c r="E698" t="s">
        <v>69</v>
      </c>
      <c r="F698" s="1">
        <v>43502</v>
      </c>
      <c r="G698">
        <v>2026</v>
      </c>
      <c r="H698" t="s">
        <v>46</v>
      </c>
      <c r="I698" t="s">
        <v>71</v>
      </c>
      <c r="J698" t="s">
        <v>72</v>
      </c>
      <c r="K698">
        <v>8.6999999999999993</v>
      </c>
      <c r="L698">
        <v>11124934</v>
      </c>
      <c r="M698">
        <v>3356933</v>
      </c>
      <c r="N698">
        <v>43</v>
      </c>
      <c r="O698" t="s">
        <v>91</v>
      </c>
      <c r="P698" t="s">
        <v>4178</v>
      </c>
    </row>
    <row r="699" spans="1:16" x14ac:dyDescent="0.35">
      <c r="A699" t="s">
        <v>3369</v>
      </c>
      <c r="B699" t="s">
        <v>3370</v>
      </c>
      <c r="C699" t="s">
        <v>53</v>
      </c>
      <c r="D699" t="s">
        <v>156</v>
      </c>
      <c r="E699" t="s">
        <v>45</v>
      </c>
      <c r="F699" s="1">
        <v>43502</v>
      </c>
      <c r="G699">
        <v>2016</v>
      </c>
      <c r="H699" t="s">
        <v>63</v>
      </c>
      <c r="I699" t="s">
        <v>95</v>
      </c>
      <c r="J699" t="s">
        <v>57</v>
      </c>
      <c r="K699">
        <v>5.4</v>
      </c>
      <c r="L699">
        <v>4058785</v>
      </c>
      <c r="M699">
        <v>1111085</v>
      </c>
      <c r="N699">
        <v>70</v>
      </c>
      <c r="O699" t="s">
        <v>4178</v>
      </c>
      <c r="P699" t="s">
        <v>87</v>
      </c>
    </row>
    <row r="700" spans="1:16" x14ac:dyDescent="0.35">
      <c r="A700" t="s">
        <v>1681</v>
      </c>
      <c r="B700" t="s">
        <v>1682</v>
      </c>
      <c r="C700" t="s">
        <v>53</v>
      </c>
      <c r="D700" t="s">
        <v>156</v>
      </c>
      <c r="E700" t="s">
        <v>20</v>
      </c>
      <c r="F700" s="1">
        <v>43505</v>
      </c>
      <c r="G700">
        <v>2004</v>
      </c>
      <c r="H700" t="s">
        <v>46</v>
      </c>
      <c r="I700" t="s">
        <v>39</v>
      </c>
      <c r="J700" t="s">
        <v>103</v>
      </c>
      <c r="K700">
        <v>11.2</v>
      </c>
      <c r="L700">
        <v>21411812</v>
      </c>
      <c r="M700">
        <v>875239</v>
      </c>
      <c r="N700">
        <v>49</v>
      </c>
      <c r="O700" t="s">
        <v>49</v>
      </c>
      <c r="P700" t="s">
        <v>50</v>
      </c>
    </row>
    <row r="701" spans="1:16" x14ac:dyDescent="0.35">
      <c r="A701" t="s">
        <v>682</v>
      </c>
      <c r="B701" t="s">
        <v>683</v>
      </c>
      <c r="C701" t="s">
        <v>53</v>
      </c>
      <c r="D701" t="s">
        <v>90</v>
      </c>
      <c r="E701" t="s">
        <v>131</v>
      </c>
      <c r="F701" s="1">
        <v>43507</v>
      </c>
      <c r="G701">
        <v>2011</v>
      </c>
      <c r="H701" t="s">
        <v>121</v>
      </c>
      <c r="I701" t="s">
        <v>118</v>
      </c>
      <c r="J701" t="s">
        <v>72</v>
      </c>
      <c r="K701">
        <v>6.3</v>
      </c>
      <c r="L701">
        <v>1818534</v>
      </c>
      <c r="M701">
        <v>3584805</v>
      </c>
      <c r="N701">
        <v>49</v>
      </c>
      <c r="O701" t="s">
        <v>41</v>
      </c>
      <c r="P701" t="s">
        <v>4178</v>
      </c>
    </row>
    <row r="702" spans="1:16" x14ac:dyDescent="0.35">
      <c r="A702" t="s">
        <v>2129</v>
      </c>
      <c r="B702" t="s">
        <v>2130</v>
      </c>
      <c r="C702" t="s">
        <v>53</v>
      </c>
      <c r="D702" t="s">
        <v>4178</v>
      </c>
      <c r="E702" t="s">
        <v>4178</v>
      </c>
      <c r="F702" s="1">
        <v>43507</v>
      </c>
      <c r="G702">
        <v>2003</v>
      </c>
      <c r="H702" t="s">
        <v>46</v>
      </c>
      <c r="I702" t="s">
        <v>136</v>
      </c>
      <c r="J702" t="s">
        <v>57</v>
      </c>
      <c r="K702">
        <v>8.8000000000000007</v>
      </c>
      <c r="L702">
        <v>13673711</v>
      </c>
      <c r="M702">
        <v>2364337</v>
      </c>
      <c r="N702">
        <v>89</v>
      </c>
      <c r="O702" t="s">
        <v>123</v>
      </c>
      <c r="P702" t="s">
        <v>32</v>
      </c>
    </row>
    <row r="703" spans="1:16" x14ac:dyDescent="0.35">
      <c r="A703" t="s">
        <v>2188</v>
      </c>
      <c r="B703" t="s">
        <v>2189</v>
      </c>
      <c r="C703" t="s">
        <v>4178</v>
      </c>
      <c r="D703" t="s">
        <v>4178</v>
      </c>
      <c r="E703" t="s">
        <v>4178</v>
      </c>
      <c r="F703" s="1">
        <v>43507</v>
      </c>
      <c r="G703">
        <v>2012</v>
      </c>
      <c r="H703" t="s">
        <v>114</v>
      </c>
      <c r="I703" t="s">
        <v>71</v>
      </c>
      <c r="J703" t="s">
        <v>4178</v>
      </c>
      <c r="K703">
        <v>5.6</v>
      </c>
      <c r="L703">
        <v>15425734</v>
      </c>
      <c r="M703">
        <v>2303036</v>
      </c>
      <c r="N703">
        <v>53</v>
      </c>
      <c r="O703" t="s">
        <v>31</v>
      </c>
      <c r="P703" t="s">
        <v>4178</v>
      </c>
    </row>
    <row r="704" spans="1:16" x14ac:dyDescent="0.35">
      <c r="A704" t="s">
        <v>3251</v>
      </c>
      <c r="B704" t="s">
        <v>3252</v>
      </c>
      <c r="C704" t="s">
        <v>84</v>
      </c>
      <c r="D704" t="s">
        <v>94</v>
      </c>
      <c r="E704" t="s">
        <v>62</v>
      </c>
      <c r="F704" s="1">
        <v>43507</v>
      </c>
      <c r="G704">
        <v>2001</v>
      </c>
      <c r="H704" t="s">
        <v>114</v>
      </c>
      <c r="I704" t="s">
        <v>4229</v>
      </c>
      <c r="J704" t="s">
        <v>48</v>
      </c>
      <c r="K704">
        <v>7</v>
      </c>
      <c r="L704">
        <v>6683349</v>
      </c>
      <c r="M704">
        <v>4721356</v>
      </c>
      <c r="N704">
        <v>49</v>
      </c>
      <c r="O704" t="s">
        <v>24</v>
      </c>
      <c r="P704" t="s">
        <v>87</v>
      </c>
    </row>
    <row r="705" spans="1:16" x14ac:dyDescent="0.35">
      <c r="A705" t="s">
        <v>3866</v>
      </c>
      <c r="B705" t="s">
        <v>3867</v>
      </c>
      <c r="C705" t="s">
        <v>84</v>
      </c>
      <c r="D705" t="s">
        <v>94</v>
      </c>
      <c r="E705" t="s">
        <v>45</v>
      </c>
      <c r="F705" s="1">
        <v>43508</v>
      </c>
      <c r="G705">
        <v>2015</v>
      </c>
      <c r="H705" t="s">
        <v>46</v>
      </c>
      <c r="I705" t="s">
        <v>4264</v>
      </c>
      <c r="J705" t="s">
        <v>133</v>
      </c>
      <c r="K705">
        <v>5.5</v>
      </c>
      <c r="L705">
        <v>21512409</v>
      </c>
      <c r="M705">
        <v>1045321</v>
      </c>
      <c r="N705">
        <v>93</v>
      </c>
      <c r="O705" t="s">
        <v>49</v>
      </c>
      <c r="P705" t="s">
        <v>32</v>
      </c>
    </row>
    <row r="706" spans="1:16" x14ac:dyDescent="0.35">
      <c r="A706" t="s">
        <v>1653</v>
      </c>
      <c r="B706" t="s">
        <v>1654</v>
      </c>
      <c r="C706" t="s">
        <v>84</v>
      </c>
      <c r="D706" t="s">
        <v>4178</v>
      </c>
      <c r="E706" t="s">
        <v>55</v>
      </c>
      <c r="F706" s="1">
        <v>43509</v>
      </c>
      <c r="G706">
        <v>2024</v>
      </c>
      <c r="H706" t="s">
        <v>85</v>
      </c>
      <c r="I706" t="s">
        <v>4180</v>
      </c>
      <c r="J706" t="s">
        <v>96</v>
      </c>
      <c r="K706">
        <v>8.8000000000000007</v>
      </c>
      <c r="L706">
        <v>23417452</v>
      </c>
      <c r="M706">
        <v>2921284</v>
      </c>
      <c r="N706">
        <v>76</v>
      </c>
      <c r="O706" t="s">
        <v>123</v>
      </c>
      <c r="P706" t="s">
        <v>32</v>
      </c>
    </row>
    <row r="707" spans="1:16" x14ac:dyDescent="0.35">
      <c r="A707" t="s">
        <v>1369</v>
      </c>
      <c r="B707" t="s">
        <v>1370</v>
      </c>
      <c r="C707" t="s">
        <v>53</v>
      </c>
      <c r="D707" t="s">
        <v>68</v>
      </c>
      <c r="E707" t="s">
        <v>4178</v>
      </c>
      <c r="F707" s="1">
        <v>43510</v>
      </c>
      <c r="G707">
        <v>2026</v>
      </c>
      <c r="H707" t="s">
        <v>63</v>
      </c>
      <c r="I707" t="s">
        <v>136</v>
      </c>
      <c r="J707" t="s">
        <v>103</v>
      </c>
      <c r="K707">
        <v>6.7</v>
      </c>
      <c r="L707">
        <v>9847219</v>
      </c>
      <c r="M707">
        <v>534353</v>
      </c>
      <c r="N707">
        <v>96</v>
      </c>
      <c r="O707" t="s">
        <v>104</v>
      </c>
      <c r="P707" t="s">
        <v>87</v>
      </c>
    </row>
    <row r="708" spans="1:16" x14ac:dyDescent="0.35">
      <c r="A708" t="s">
        <v>2428</v>
      </c>
      <c r="B708" t="s">
        <v>2429</v>
      </c>
      <c r="C708" t="s">
        <v>84</v>
      </c>
      <c r="D708" t="s">
        <v>27</v>
      </c>
      <c r="E708" t="s">
        <v>69</v>
      </c>
      <c r="F708" s="1">
        <v>43510</v>
      </c>
      <c r="G708">
        <v>2016</v>
      </c>
      <c r="H708" t="s">
        <v>107</v>
      </c>
      <c r="I708" t="s">
        <v>4272</v>
      </c>
      <c r="J708" t="s">
        <v>30</v>
      </c>
      <c r="K708">
        <v>4.9000000000000004</v>
      </c>
      <c r="L708">
        <v>10759239</v>
      </c>
      <c r="M708">
        <v>1699479</v>
      </c>
      <c r="N708">
        <v>100</v>
      </c>
      <c r="O708" t="s">
        <v>65</v>
      </c>
      <c r="P708" t="s">
        <v>50</v>
      </c>
    </row>
    <row r="709" spans="1:16" x14ac:dyDescent="0.35">
      <c r="A709" t="s">
        <v>3828</v>
      </c>
      <c r="B709" t="s">
        <v>3829</v>
      </c>
      <c r="C709" t="s">
        <v>53</v>
      </c>
      <c r="D709" t="s">
        <v>36</v>
      </c>
      <c r="E709" t="s">
        <v>113</v>
      </c>
      <c r="F709" s="1">
        <v>43511</v>
      </c>
      <c r="G709">
        <v>2014</v>
      </c>
      <c r="H709" t="s">
        <v>38</v>
      </c>
      <c r="I709" t="s">
        <v>136</v>
      </c>
      <c r="J709" t="s">
        <v>48</v>
      </c>
      <c r="K709">
        <v>4.5</v>
      </c>
      <c r="L709">
        <v>24989047</v>
      </c>
      <c r="M709">
        <v>2638829</v>
      </c>
      <c r="N709">
        <v>98</v>
      </c>
      <c r="O709" t="s">
        <v>24</v>
      </c>
      <c r="P709" t="s">
        <v>4178</v>
      </c>
    </row>
    <row r="710" spans="1:16" x14ac:dyDescent="0.35">
      <c r="A710" t="s">
        <v>1463</v>
      </c>
      <c r="B710" t="s">
        <v>1464</v>
      </c>
      <c r="C710" t="s">
        <v>53</v>
      </c>
      <c r="D710" t="s">
        <v>75</v>
      </c>
      <c r="E710" t="s">
        <v>4178</v>
      </c>
      <c r="F710" s="1">
        <v>43513</v>
      </c>
      <c r="G710">
        <v>2012</v>
      </c>
      <c r="H710" t="s">
        <v>81</v>
      </c>
      <c r="I710" t="s">
        <v>39</v>
      </c>
      <c r="J710" t="s">
        <v>72</v>
      </c>
      <c r="K710">
        <v>8.3000000000000007</v>
      </c>
      <c r="L710">
        <v>2879548</v>
      </c>
      <c r="M710">
        <v>3540986</v>
      </c>
      <c r="N710">
        <v>64</v>
      </c>
      <c r="O710" t="s">
        <v>65</v>
      </c>
      <c r="P710" t="s">
        <v>87</v>
      </c>
    </row>
    <row r="711" spans="1:16" x14ac:dyDescent="0.35">
      <c r="A711" t="s">
        <v>1088</v>
      </c>
      <c r="B711" t="s">
        <v>1089</v>
      </c>
      <c r="C711" t="s">
        <v>53</v>
      </c>
      <c r="D711" t="s">
        <v>19</v>
      </c>
      <c r="E711" t="s">
        <v>80</v>
      </c>
      <c r="F711" s="1">
        <v>43517</v>
      </c>
      <c r="G711">
        <v>2001</v>
      </c>
      <c r="H711" t="s">
        <v>85</v>
      </c>
      <c r="I711" t="s">
        <v>71</v>
      </c>
      <c r="J711" t="s">
        <v>30</v>
      </c>
      <c r="K711">
        <v>6.4</v>
      </c>
      <c r="L711">
        <v>21607608</v>
      </c>
      <c r="M711">
        <v>3151384</v>
      </c>
      <c r="N711">
        <v>77</v>
      </c>
      <c r="O711" t="s">
        <v>104</v>
      </c>
      <c r="P711" t="s">
        <v>4178</v>
      </c>
    </row>
    <row r="712" spans="1:16" x14ac:dyDescent="0.35">
      <c r="A712" t="s">
        <v>1878</v>
      </c>
      <c r="B712" t="s">
        <v>1879</v>
      </c>
      <c r="C712" t="s">
        <v>4178</v>
      </c>
      <c r="D712" t="s">
        <v>90</v>
      </c>
      <c r="E712" t="s">
        <v>113</v>
      </c>
      <c r="F712" s="1">
        <v>43517</v>
      </c>
      <c r="G712">
        <v>2016</v>
      </c>
      <c r="H712" t="s">
        <v>85</v>
      </c>
      <c r="I712" t="s">
        <v>64</v>
      </c>
      <c r="J712" t="s">
        <v>23</v>
      </c>
      <c r="K712">
        <v>4.9000000000000004</v>
      </c>
      <c r="L712">
        <v>22959235</v>
      </c>
      <c r="M712">
        <v>4991486</v>
      </c>
      <c r="N712">
        <v>41</v>
      </c>
      <c r="O712" t="s">
        <v>58</v>
      </c>
      <c r="P712" t="s">
        <v>32</v>
      </c>
    </row>
    <row r="713" spans="1:16" x14ac:dyDescent="0.35">
      <c r="A713" t="s">
        <v>4093</v>
      </c>
      <c r="B713" t="s">
        <v>4094</v>
      </c>
      <c r="C713" t="s">
        <v>84</v>
      </c>
      <c r="D713" t="s">
        <v>27</v>
      </c>
      <c r="E713" t="s">
        <v>80</v>
      </c>
      <c r="F713" s="1">
        <v>43517</v>
      </c>
      <c r="G713">
        <v>2026</v>
      </c>
      <c r="H713" t="s">
        <v>114</v>
      </c>
      <c r="I713" t="s">
        <v>4274</v>
      </c>
      <c r="J713" t="s">
        <v>96</v>
      </c>
      <c r="K713">
        <v>9.1</v>
      </c>
      <c r="L713">
        <v>21520951</v>
      </c>
      <c r="M713">
        <v>4967751</v>
      </c>
      <c r="N713">
        <v>42</v>
      </c>
      <c r="O713" t="s">
        <v>91</v>
      </c>
      <c r="P713" t="s">
        <v>32</v>
      </c>
    </row>
    <row r="714" spans="1:16" x14ac:dyDescent="0.35">
      <c r="A714" t="s">
        <v>1936</v>
      </c>
      <c r="B714" t="s">
        <v>1937</v>
      </c>
      <c r="C714" t="s">
        <v>84</v>
      </c>
      <c r="D714" t="s">
        <v>90</v>
      </c>
      <c r="E714" t="s">
        <v>4178</v>
      </c>
      <c r="F714" s="1">
        <v>43519</v>
      </c>
      <c r="G714">
        <v>2012</v>
      </c>
      <c r="H714" t="s">
        <v>121</v>
      </c>
      <c r="I714" t="s">
        <v>4266</v>
      </c>
      <c r="J714" t="s">
        <v>96</v>
      </c>
      <c r="K714">
        <v>5.4</v>
      </c>
      <c r="L714">
        <v>22819744</v>
      </c>
      <c r="M714">
        <v>636018</v>
      </c>
      <c r="N714">
        <v>88</v>
      </c>
      <c r="O714" t="s">
        <v>49</v>
      </c>
      <c r="P714" t="s">
        <v>50</v>
      </c>
    </row>
    <row r="715" spans="1:16" x14ac:dyDescent="0.35">
      <c r="A715" t="s">
        <v>3178</v>
      </c>
      <c r="B715" t="s">
        <v>3179</v>
      </c>
      <c r="C715" t="s">
        <v>4178</v>
      </c>
      <c r="D715" t="s">
        <v>4178</v>
      </c>
      <c r="E715" t="s">
        <v>4196</v>
      </c>
      <c r="F715" s="1">
        <v>43519</v>
      </c>
      <c r="G715">
        <v>2011</v>
      </c>
      <c r="H715" t="s">
        <v>85</v>
      </c>
      <c r="I715" t="s">
        <v>95</v>
      </c>
      <c r="J715" t="s">
        <v>23</v>
      </c>
      <c r="K715">
        <v>9.1999999999999993</v>
      </c>
      <c r="L715">
        <v>19313207</v>
      </c>
      <c r="M715">
        <v>2293047</v>
      </c>
      <c r="N715">
        <v>42</v>
      </c>
      <c r="O715" t="s">
        <v>58</v>
      </c>
      <c r="P715" t="s">
        <v>4181</v>
      </c>
    </row>
    <row r="716" spans="1:16" x14ac:dyDescent="0.35">
      <c r="A716" t="s">
        <v>1232</v>
      </c>
      <c r="B716" t="s">
        <v>1233</v>
      </c>
      <c r="C716" t="s">
        <v>4178</v>
      </c>
      <c r="D716" t="s">
        <v>36</v>
      </c>
      <c r="E716" t="s">
        <v>113</v>
      </c>
      <c r="F716" s="1">
        <v>43523</v>
      </c>
      <c r="G716">
        <v>2017</v>
      </c>
      <c r="H716" t="s">
        <v>107</v>
      </c>
      <c r="I716" t="s">
        <v>39</v>
      </c>
      <c r="J716" t="s">
        <v>48</v>
      </c>
      <c r="K716">
        <v>9.6999999999999993</v>
      </c>
      <c r="L716">
        <v>15575061</v>
      </c>
      <c r="M716">
        <v>3704060</v>
      </c>
      <c r="N716">
        <v>76</v>
      </c>
      <c r="O716" t="s">
        <v>123</v>
      </c>
      <c r="P716" t="s">
        <v>4181</v>
      </c>
    </row>
    <row r="717" spans="1:16" x14ac:dyDescent="0.35">
      <c r="A717" t="s">
        <v>981</v>
      </c>
      <c r="B717" t="s">
        <v>982</v>
      </c>
      <c r="C717" t="s">
        <v>84</v>
      </c>
      <c r="D717" t="s">
        <v>94</v>
      </c>
      <c r="E717" t="s">
        <v>99</v>
      </c>
      <c r="F717" s="1">
        <v>43524</v>
      </c>
      <c r="G717">
        <v>2023</v>
      </c>
      <c r="H717" t="s">
        <v>63</v>
      </c>
      <c r="I717" t="s">
        <v>4216</v>
      </c>
      <c r="J717" t="s">
        <v>153</v>
      </c>
      <c r="K717">
        <v>9.6999999999999993</v>
      </c>
      <c r="L717">
        <v>17155647</v>
      </c>
      <c r="M717">
        <v>4696103</v>
      </c>
      <c r="N717">
        <v>41</v>
      </c>
      <c r="O717" t="s">
        <v>65</v>
      </c>
      <c r="P717" t="s">
        <v>50</v>
      </c>
    </row>
    <row r="718" spans="1:16" x14ac:dyDescent="0.35">
      <c r="A718" t="s">
        <v>1988</v>
      </c>
      <c r="B718" t="s">
        <v>1989</v>
      </c>
      <c r="C718" t="s">
        <v>84</v>
      </c>
      <c r="D718" t="s">
        <v>4178</v>
      </c>
      <c r="E718" t="s">
        <v>4196</v>
      </c>
      <c r="F718" s="1">
        <v>43524</v>
      </c>
      <c r="G718">
        <v>2007</v>
      </c>
      <c r="H718" t="s">
        <v>46</v>
      </c>
      <c r="I718" t="s">
        <v>4281</v>
      </c>
      <c r="J718" t="s">
        <v>96</v>
      </c>
      <c r="K718">
        <v>4.7</v>
      </c>
      <c r="L718">
        <v>2408617</v>
      </c>
      <c r="M718">
        <v>322766</v>
      </c>
      <c r="N718">
        <v>55</v>
      </c>
      <c r="O718" t="s">
        <v>123</v>
      </c>
      <c r="P718" t="s">
        <v>4181</v>
      </c>
    </row>
    <row r="719" spans="1:16" x14ac:dyDescent="0.35">
      <c r="A719" t="s">
        <v>2762</v>
      </c>
      <c r="B719" t="s">
        <v>2763</v>
      </c>
      <c r="C719" t="s">
        <v>4178</v>
      </c>
      <c r="D719" t="s">
        <v>4178</v>
      </c>
      <c r="E719" t="s">
        <v>4178</v>
      </c>
      <c r="F719" s="1">
        <v>43526</v>
      </c>
      <c r="G719">
        <v>2012</v>
      </c>
      <c r="H719" t="s">
        <v>21</v>
      </c>
      <c r="I719" t="s">
        <v>162</v>
      </c>
      <c r="J719" t="s">
        <v>96</v>
      </c>
      <c r="K719">
        <v>7.7</v>
      </c>
      <c r="L719">
        <v>12047203</v>
      </c>
      <c r="M719">
        <v>3314061</v>
      </c>
      <c r="N719">
        <v>120</v>
      </c>
      <c r="O719" t="s">
        <v>31</v>
      </c>
      <c r="P719" t="s">
        <v>4181</v>
      </c>
    </row>
    <row r="720" spans="1:16" x14ac:dyDescent="0.35">
      <c r="A720" t="s">
        <v>2956</v>
      </c>
      <c r="B720" t="s">
        <v>2957</v>
      </c>
      <c r="C720" t="s">
        <v>53</v>
      </c>
      <c r="D720" t="s">
        <v>94</v>
      </c>
      <c r="E720" t="s">
        <v>45</v>
      </c>
      <c r="F720" s="1">
        <v>43526</v>
      </c>
      <c r="G720">
        <v>2017</v>
      </c>
      <c r="H720" t="s">
        <v>63</v>
      </c>
      <c r="I720" t="s">
        <v>71</v>
      </c>
      <c r="J720" t="s">
        <v>23</v>
      </c>
      <c r="K720">
        <v>6.3</v>
      </c>
      <c r="L720">
        <v>21482942</v>
      </c>
      <c r="M720">
        <v>452940</v>
      </c>
      <c r="N720">
        <v>87</v>
      </c>
      <c r="O720" t="s">
        <v>123</v>
      </c>
      <c r="P720" t="s">
        <v>4181</v>
      </c>
    </row>
    <row r="721" spans="1:16" x14ac:dyDescent="0.35">
      <c r="A721" t="s">
        <v>2906</v>
      </c>
      <c r="B721" t="s">
        <v>2907</v>
      </c>
      <c r="C721" t="s">
        <v>53</v>
      </c>
      <c r="D721" t="s">
        <v>61</v>
      </c>
      <c r="E721" t="s">
        <v>69</v>
      </c>
      <c r="F721" s="1">
        <v>43529</v>
      </c>
      <c r="G721">
        <v>2024</v>
      </c>
      <c r="H721" t="s">
        <v>107</v>
      </c>
      <c r="I721" t="s">
        <v>136</v>
      </c>
      <c r="J721" t="s">
        <v>96</v>
      </c>
      <c r="K721">
        <v>9.6999999999999993</v>
      </c>
      <c r="L721">
        <v>19167844</v>
      </c>
      <c r="M721">
        <v>2874927</v>
      </c>
      <c r="N721">
        <v>76</v>
      </c>
      <c r="O721" t="s">
        <v>91</v>
      </c>
      <c r="P721" t="s">
        <v>50</v>
      </c>
    </row>
    <row r="722" spans="1:16" x14ac:dyDescent="0.35">
      <c r="A722" t="s">
        <v>2180</v>
      </c>
      <c r="B722" t="s">
        <v>2181</v>
      </c>
      <c r="C722" t="s">
        <v>53</v>
      </c>
      <c r="D722" t="s">
        <v>75</v>
      </c>
      <c r="E722" t="s">
        <v>69</v>
      </c>
      <c r="F722" s="1">
        <v>43532</v>
      </c>
      <c r="G722">
        <v>2032</v>
      </c>
      <c r="H722" t="s">
        <v>38</v>
      </c>
      <c r="I722" t="s">
        <v>39</v>
      </c>
      <c r="J722" t="s">
        <v>57</v>
      </c>
      <c r="K722">
        <v>5.8</v>
      </c>
      <c r="L722">
        <v>21881199</v>
      </c>
      <c r="M722">
        <v>4136542</v>
      </c>
      <c r="N722">
        <v>48</v>
      </c>
      <c r="O722" t="s">
        <v>91</v>
      </c>
      <c r="P722" t="s">
        <v>4178</v>
      </c>
    </row>
    <row r="723" spans="1:16" x14ac:dyDescent="0.35">
      <c r="A723" t="s">
        <v>2854</v>
      </c>
      <c r="B723" t="s">
        <v>2855</v>
      </c>
      <c r="C723" t="s">
        <v>53</v>
      </c>
      <c r="D723" t="s">
        <v>19</v>
      </c>
      <c r="E723" t="s">
        <v>28</v>
      </c>
      <c r="F723" s="1">
        <v>43533</v>
      </c>
      <c r="G723">
        <v>2018</v>
      </c>
      <c r="H723" t="s">
        <v>46</v>
      </c>
      <c r="I723" t="s">
        <v>136</v>
      </c>
      <c r="J723" t="s">
        <v>96</v>
      </c>
      <c r="K723">
        <v>8.4</v>
      </c>
      <c r="L723">
        <v>385879</v>
      </c>
      <c r="M723">
        <v>4531361</v>
      </c>
      <c r="N723">
        <v>65</v>
      </c>
      <c r="O723" t="s">
        <v>41</v>
      </c>
      <c r="P723" t="s">
        <v>87</v>
      </c>
    </row>
    <row r="724" spans="1:16" x14ac:dyDescent="0.35">
      <c r="A724" t="s">
        <v>2924</v>
      </c>
      <c r="B724" t="s">
        <v>2925</v>
      </c>
      <c r="C724" t="s">
        <v>53</v>
      </c>
      <c r="D724" t="s">
        <v>4178</v>
      </c>
      <c r="E724" t="s">
        <v>37</v>
      </c>
      <c r="F724" s="1">
        <v>43533</v>
      </c>
      <c r="G724">
        <v>2011</v>
      </c>
      <c r="H724" t="s">
        <v>107</v>
      </c>
      <c r="I724" t="s">
        <v>118</v>
      </c>
      <c r="J724" t="s">
        <v>40</v>
      </c>
      <c r="K724">
        <v>11.2</v>
      </c>
      <c r="L724">
        <v>3118072</v>
      </c>
      <c r="M724">
        <v>1043396</v>
      </c>
      <c r="N724">
        <v>45</v>
      </c>
      <c r="O724" t="s">
        <v>58</v>
      </c>
      <c r="P724" t="s">
        <v>32</v>
      </c>
    </row>
    <row r="725" spans="1:16" x14ac:dyDescent="0.35">
      <c r="A725" t="s">
        <v>2675</v>
      </c>
      <c r="B725" t="s">
        <v>4363</v>
      </c>
      <c r="C725" t="s">
        <v>84</v>
      </c>
      <c r="D725" t="s">
        <v>68</v>
      </c>
      <c r="E725" t="s">
        <v>20</v>
      </c>
      <c r="F725" s="1">
        <v>43534</v>
      </c>
      <c r="G725">
        <v>2000</v>
      </c>
      <c r="H725" t="s">
        <v>114</v>
      </c>
      <c r="I725" t="s">
        <v>4178</v>
      </c>
      <c r="J725" t="s">
        <v>96</v>
      </c>
      <c r="K725">
        <v>4.8</v>
      </c>
      <c r="L725">
        <v>18534587</v>
      </c>
      <c r="M725">
        <v>3938848</v>
      </c>
      <c r="N725">
        <v>79</v>
      </c>
      <c r="O725" t="s">
        <v>49</v>
      </c>
      <c r="P725" t="s">
        <v>87</v>
      </c>
    </row>
    <row r="726" spans="1:16" x14ac:dyDescent="0.35">
      <c r="A726" t="s">
        <v>1934</v>
      </c>
      <c r="B726" t="s">
        <v>1935</v>
      </c>
      <c r="C726" t="s">
        <v>84</v>
      </c>
      <c r="D726" t="s">
        <v>75</v>
      </c>
      <c r="E726" t="s">
        <v>20</v>
      </c>
      <c r="F726" s="1">
        <v>43535</v>
      </c>
      <c r="G726">
        <v>2009</v>
      </c>
      <c r="H726" t="s">
        <v>107</v>
      </c>
      <c r="I726" t="s">
        <v>4235</v>
      </c>
      <c r="J726" t="s">
        <v>153</v>
      </c>
      <c r="K726">
        <v>8.4</v>
      </c>
      <c r="L726">
        <v>6399822</v>
      </c>
      <c r="M726">
        <v>1379569</v>
      </c>
      <c r="N726">
        <v>70</v>
      </c>
      <c r="O726" t="s">
        <v>49</v>
      </c>
      <c r="P726" t="s">
        <v>50</v>
      </c>
    </row>
    <row r="727" spans="1:16" x14ac:dyDescent="0.35">
      <c r="A727" t="s">
        <v>2223</v>
      </c>
      <c r="B727" t="s">
        <v>2224</v>
      </c>
      <c r="C727" t="s">
        <v>84</v>
      </c>
      <c r="D727" t="s">
        <v>19</v>
      </c>
      <c r="E727" t="s">
        <v>113</v>
      </c>
      <c r="F727" s="1">
        <v>43536</v>
      </c>
      <c r="G727">
        <v>2021</v>
      </c>
      <c r="H727" t="s">
        <v>21</v>
      </c>
      <c r="I727" t="s">
        <v>4258</v>
      </c>
      <c r="J727" t="s">
        <v>4178</v>
      </c>
      <c r="K727">
        <v>7.2</v>
      </c>
      <c r="L727">
        <v>17483823</v>
      </c>
      <c r="M727">
        <v>3916513</v>
      </c>
      <c r="N727">
        <v>120</v>
      </c>
      <c r="O727" t="s">
        <v>123</v>
      </c>
      <c r="P727" t="s">
        <v>50</v>
      </c>
    </row>
    <row r="728" spans="1:16" x14ac:dyDescent="0.35">
      <c r="A728" t="s">
        <v>2863</v>
      </c>
      <c r="B728" t="s">
        <v>4367</v>
      </c>
      <c r="C728" t="s">
        <v>84</v>
      </c>
      <c r="D728" t="s">
        <v>61</v>
      </c>
      <c r="E728" t="s">
        <v>37</v>
      </c>
      <c r="F728" s="1">
        <v>43537</v>
      </c>
      <c r="G728">
        <v>2024</v>
      </c>
      <c r="H728" t="s">
        <v>4178</v>
      </c>
      <c r="I728" t="s">
        <v>4178</v>
      </c>
      <c r="J728" t="s">
        <v>4178</v>
      </c>
      <c r="K728">
        <v>8.6</v>
      </c>
      <c r="L728">
        <v>22983441</v>
      </c>
      <c r="M728">
        <v>946800</v>
      </c>
      <c r="N728">
        <v>72</v>
      </c>
      <c r="O728" t="s">
        <v>41</v>
      </c>
      <c r="P728" t="s">
        <v>87</v>
      </c>
    </row>
    <row r="729" spans="1:16" x14ac:dyDescent="0.35">
      <c r="A729" t="s">
        <v>1490</v>
      </c>
      <c r="B729" t="s">
        <v>1491</v>
      </c>
      <c r="C729" t="s">
        <v>53</v>
      </c>
      <c r="D729" t="s">
        <v>27</v>
      </c>
      <c r="E729" t="s">
        <v>20</v>
      </c>
      <c r="F729" s="1">
        <v>43540</v>
      </c>
      <c r="G729">
        <v>2021</v>
      </c>
      <c r="H729" t="s">
        <v>38</v>
      </c>
      <c r="I729" t="s">
        <v>64</v>
      </c>
      <c r="J729" t="s">
        <v>40</v>
      </c>
      <c r="K729">
        <v>4.9000000000000004</v>
      </c>
      <c r="L729">
        <v>5860189</v>
      </c>
      <c r="M729">
        <v>3126893</v>
      </c>
      <c r="N729">
        <v>80</v>
      </c>
      <c r="O729" t="s">
        <v>4178</v>
      </c>
      <c r="P729" t="s">
        <v>50</v>
      </c>
    </row>
    <row r="730" spans="1:16" x14ac:dyDescent="0.35">
      <c r="A730" t="s">
        <v>2058</v>
      </c>
      <c r="B730" t="s">
        <v>2059</v>
      </c>
      <c r="C730" t="s">
        <v>84</v>
      </c>
      <c r="D730" t="s">
        <v>4178</v>
      </c>
      <c r="E730" t="s">
        <v>37</v>
      </c>
      <c r="F730" s="1">
        <v>43541</v>
      </c>
      <c r="G730">
        <v>2017</v>
      </c>
      <c r="H730" t="s">
        <v>38</v>
      </c>
      <c r="I730" t="s">
        <v>4254</v>
      </c>
      <c r="J730" t="s">
        <v>103</v>
      </c>
      <c r="K730">
        <v>5.6</v>
      </c>
      <c r="L730">
        <v>17892501</v>
      </c>
      <c r="M730">
        <v>1029014</v>
      </c>
      <c r="N730">
        <v>84</v>
      </c>
      <c r="O730" t="s">
        <v>24</v>
      </c>
      <c r="P730" t="s">
        <v>50</v>
      </c>
    </row>
    <row r="731" spans="1:16" x14ac:dyDescent="0.35">
      <c r="A731" t="s">
        <v>2655</v>
      </c>
      <c r="B731" t="s">
        <v>2656</v>
      </c>
      <c r="C731" t="s">
        <v>53</v>
      </c>
      <c r="D731" t="s">
        <v>61</v>
      </c>
      <c r="E731" t="s">
        <v>62</v>
      </c>
      <c r="F731" s="1">
        <v>43542</v>
      </c>
      <c r="G731">
        <v>2011</v>
      </c>
      <c r="H731" t="s">
        <v>63</v>
      </c>
      <c r="I731" t="s">
        <v>64</v>
      </c>
      <c r="J731" t="s">
        <v>40</v>
      </c>
      <c r="K731">
        <v>9.6</v>
      </c>
      <c r="L731">
        <v>17036750</v>
      </c>
      <c r="M731">
        <v>803626</v>
      </c>
      <c r="N731">
        <v>64</v>
      </c>
      <c r="O731" t="s">
        <v>31</v>
      </c>
      <c r="P731" t="s">
        <v>87</v>
      </c>
    </row>
    <row r="732" spans="1:16" x14ac:dyDescent="0.35">
      <c r="A732" t="s">
        <v>1459</v>
      </c>
      <c r="B732" t="s">
        <v>1460</v>
      </c>
      <c r="C732" t="s">
        <v>84</v>
      </c>
      <c r="D732" t="s">
        <v>61</v>
      </c>
      <c r="E732" t="s">
        <v>62</v>
      </c>
      <c r="F732" s="1">
        <v>43546</v>
      </c>
      <c r="G732">
        <v>2012</v>
      </c>
      <c r="H732" t="s">
        <v>81</v>
      </c>
      <c r="I732" t="s">
        <v>4293</v>
      </c>
      <c r="J732" t="s">
        <v>48</v>
      </c>
      <c r="K732">
        <v>5.3</v>
      </c>
      <c r="L732">
        <v>16013634</v>
      </c>
      <c r="M732">
        <v>2509272</v>
      </c>
      <c r="N732">
        <v>72</v>
      </c>
      <c r="O732" t="s">
        <v>91</v>
      </c>
      <c r="P732" t="s">
        <v>4181</v>
      </c>
    </row>
    <row r="733" spans="1:16" x14ac:dyDescent="0.35">
      <c r="A733" t="s">
        <v>1277</v>
      </c>
      <c r="B733" t="s">
        <v>1278</v>
      </c>
      <c r="C733" t="s">
        <v>84</v>
      </c>
      <c r="D733" t="s">
        <v>94</v>
      </c>
      <c r="E733" t="s">
        <v>113</v>
      </c>
      <c r="F733" s="1">
        <v>43549</v>
      </c>
      <c r="G733">
        <v>2023</v>
      </c>
      <c r="H733" t="s">
        <v>107</v>
      </c>
      <c r="I733" t="s">
        <v>4306</v>
      </c>
      <c r="J733" t="s">
        <v>96</v>
      </c>
      <c r="K733">
        <v>8.1</v>
      </c>
      <c r="L733">
        <v>17045086</v>
      </c>
      <c r="M733">
        <v>2781079</v>
      </c>
      <c r="N733">
        <v>40</v>
      </c>
      <c r="O733" t="s">
        <v>65</v>
      </c>
      <c r="P733" t="s">
        <v>87</v>
      </c>
    </row>
    <row r="734" spans="1:16" x14ac:dyDescent="0.35">
      <c r="A734" t="s">
        <v>3618</v>
      </c>
      <c r="B734" t="s">
        <v>3619</v>
      </c>
      <c r="C734" t="s">
        <v>4178</v>
      </c>
      <c r="D734" t="s">
        <v>36</v>
      </c>
      <c r="E734" t="s">
        <v>45</v>
      </c>
      <c r="F734" s="1">
        <v>43561</v>
      </c>
      <c r="G734">
        <v>2026</v>
      </c>
      <c r="H734" t="s">
        <v>121</v>
      </c>
      <c r="I734" t="s">
        <v>136</v>
      </c>
      <c r="J734" t="s">
        <v>133</v>
      </c>
      <c r="K734">
        <v>5.6</v>
      </c>
      <c r="L734">
        <v>1320821</v>
      </c>
      <c r="M734">
        <v>1195160</v>
      </c>
      <c r="N734">
        <v>69</v>
      </c>
      <c r="O734" t="s">
        <v>123</v>
      </c>
      <c r="P734" t="s">
        <v>50</v>
      </c>
    </row>
    <row r="735" spans="1:16" x14ac:dyDescent="0.35">
      <c r="A735" t="s">
        <v>3654</v>
      </c>
      <c r="B735" t="s">
        <v>4387</v>
      </c>
      <c r="C735" t="s">
        <v>4178</v>
      </c>
      <c r="D735" t="s">
        <v>75</v>
      </c>
      <c r="E735" t="s">
        <v>37</v>
      </c>
      <c r="F735" s="1">
        <v>43565</v>
      </c>
      <c r="G735">
        <v>2013</v>
      </c>
      <c r="H735" t="s">
        <v>107</v>
      </c>
      <c r="I735" t="s">
        <v>64</v>
      </c>
      <c r="J735" t="s">
        <v>103</v>
      </c>
      <c r="K735">
        <v>6.9</v>
      </c>
      <c r="L735">
        <v>745124</v>
      </c>
      <c r="M735">
        <v>1385173</v>
      </c>
      <c r="N735">
        <v>56</v>
      </c>
      <c r="O735" t="s">
        <v>65</v>
      </c>
      <c r="P735" t="s">
        <v>4181</v>
      </c>
    </row>
    <row r="736" spans="1:16" x14ac:dyDescent="0.35">
      <c r="A736" t="s">
        <v>2016</v>
      </c>
      <c r="B736" t="s">
        <v>2017</v>
      </c>
      <c r="C736" t="s">
        <v>84</v>
      </c>
      <c r="D736" t="s">
        <v>4178</v>
      </c>
      <c r="E736" t="s">
        <v>37</v>
      </c>
      <c r="F736" s="1">
        <v>43572</v>
      </c>
      <c r="G736">
        <v>2011</v>
      </c>
      <c r="H736" t="s">
        <v>107</v>
      </c>
      <c r="I736" t="s">
        <v>4199</v>
      </c>
      <c r="J736" t="s">
        <v>48</v>
      </c>
      <c r="K736">
        <v>5.4</v>
      </c>
      <c r="L736">
        <v>14852080</v>
      </c>
      <c r="M736">
        <v>3848283</v>
      </c>
      <c r="N736">
        <v>120</v>
      </c>
      <c r="O736" t="s">
        <v>58</v>
      </c>
      <c r="P736" t="s">
        <v>4181</v>
      </c>
    </row>
    <row r="737" spans="1:16" x14ac:dyDescent="0.35">
      <c r="A737" t="s">
        <v>1035</v>
      </c>
      <c r="B737" t="s">
        <v>1036</v>
      </c>
      <c r="C737" t="s">
        <v>84</v>
      </c>
      <c r="D737" t="s">
        <v>68</v>
      </c>
      <c r="E737" t="s">
        <v>55</v>
      </c>
      <c r="F737" s="1">
        <v>43574</v>
      </c>
      <c r="G737">
        <v>2012</v>
      </c>
      <c r="H737" t="s">
        <v>114</v>
      </c>
      <c r="I737" t="s">
        <v>4270</v>
      </c>
      <c r="J737" t="s">
        <v>57</v>
      </c>
      <c r="K737">
        <v>8.6999999999999993</v>
      </c>
      <c r="L737">
        <v>20235222</v>
      </c>
      <c r="M737">
        <v>1512670</v>
      </c>
      <c r="N737">
        <v>77</v>
      </c>
      <c r="O737" t="s">
        <v>65</v>
      </c>
      <c r="P737" t="s">
        <v>4178</v>
      </c>
    </row>
    <row r="738" spans="1:16" x14ac:dyDescent="0.35">
      <c r="A738" t="s">
        <v>3080</v>
      </c>
      <c r="B738" t="s">
        <v>3081</v>
      </c>
      <c r="C738" t="s">
        <v>84</v>
      </c>
      <c r="D738" t="s">
        <v>36</v>
      </c>
      <c r="E738" t="s">
        <v>4196</v>
      </c>
      <c r="F738" s="1">
        <v>43575</v>
      </c>
      <c r="G738">
        <v>2012</v>
      </c>
      <c r="H738" t="s">
        <v>121</v>
      </c>
      <c r="I738" t="s">
        <v>4180</v>
      </c>
      <c r="J738" t="s">
        <v>57</v>
      </c>
      <c r="K738">
        <v>6.5</v>
      </c>
      <c r="L738">
        <v>8646096</v>
      </c>
      <c r="M738">
        <v>4188219</v>
      </c>
      <c r="N738">
        <v>49</v>
      </c>
      <c r="O738" t="s">
        <v>49</v>
      </c>
      <c r="P738" t="s">
        <v>32</v>
      </c>
    </row>
    <row r="739" spans="1:16" x14ac:dyDescent="0.35">
      <c r="A739" t="s">
        <v>569</v>
      </c>
      <c r="B739" t="s">
        <v>570</v>
      </c>
      <c r="C739" t="s">
        <v>84</v>
      </c>
      <c r="D739" t="s">
        <v>4178</v>
      </c>
      <c r="E739" t="s">
        <v>4178</v>
      </c>
      <c r="F739" s="1">
        <v>43583</v>
      </c>
      <c r="G739">
        <v>2018</v>
      </c>
      <c r="H739" t="s">
        <v>121</v>
      </c>
      <c r="I739" t="s">
        <v>4254</v>
      </c>
      <c r="J739" t="s">
        <v>96</v>
      </c>
      <c r="K739">
        <v>9.6</v>
      </c>
      <c r="L739">
        <v>13835809</v>
      </c>
      <c r="M739">
        <v>3073479</v>
      </c>
      <c r="N739">
        <v>56</v>
      </c>
      <c r="O739" t="s">
        <v>104</v>
      </c>
      <c r="P739" t="s">
        <v>87</v>
      </c>
    </row>
    <row r="740" spans="1:16" x14ac:dyDescent="0.35">
      <c r="A740" t="s">
        <v>1782</v>
      </c>
      <c r="B740" t="s">
        <v>1783</v>
      </c>
      <c r="C740" t="s">
        <v>84</v>
      </c>
      <c r="D740" t="s">
        <v>19</v>
      </c>
      <c r="E740" t="s">
        <v>45</v>
      </c>
      <c r="F740" s="1">
        <v>43583</v>
      </c>
      <c r="G740">
        <v>2021</v>
      </c>
      <c r="H740" t="s">
        <v>46</v>
      </c>
      <c r="I740" t="s">
        <v>4236</v>
      </c>
      <c r="J740" t="s">
        <v>57</v>
      </c>
      <c r="K740">
        <v>8.6</v>
      </c>
      <c r="L740">
        <v>7745717</v>
      </c>
      <c r="M740">
        <v>2450578</v>
      </c>
      <c r="N740">
        <v>97</v>
      </c>
      <c r="O740" t="s">
        <v>24</v>
      </c>
      <c r="P740" t="s">
        <v>32</v>
      </c>
    </row>
    <row r="741" spans="1:16" x14ac:dyDescent="0.35">
      <c r="A741" t="s">
        <v>3287</v>
      </c>
      <c r="B741" t="s">
        <v>3288</v>
      </c>
      <c r="C741" t="s">
        <v>4178</v>
      </c>
      <c r="D741" t="s">
        <v>94</v>
      </c>
      <c r="E741" t="s">
        <v>80</v>
      </c>
      <c r="F741" s="1">
        <v>43585</v>
      </c>
      <c r="G741">
        <v>2006</v>
      </c>
      <c r="H741" t="s">
        <v>107</v>
      </c>
      <c r="I741" t="s">
        <v>95</v>
      </c>
      <c r="J741" t="s">
        <v>4178</v>
      </c>
      <c r="K741">
        <v>6.5</v>
      </c>
      <c r="L741">
        <v>3162270</v>
      </c>
      <c r="M741">
        <v>3650622</v>
      </c>
      <c r="N741">
        <v>54</v>
      </c>
      <c r="O741" t="s">
        <v>4178</v>
      </c>
      <c r="P741" t="s">
        <v>50</v>
      </c>
    </row>
    <row r="742" spans="1:16" x14ac:dyDescent="0.35">
      <c r="A742" t="s">
        <v>713</v>
      </c>
      <c r="B742" t="s">
        <v>714</v>
      </c>
      <c r="C742" t="s">
        <v>53</v>
      </c>
      <c r="D742" t="s">
        <v>27</v>
      </c>
      <c r="E742" t="s">
        <v>62</v>
      </c>
      <c r="F742" s="1">
        <v>43587</v>
      </c>
      <c r="G742">
        <v>2016</v>
      </c>
      <c r="H742" t="s">
        <v>107</v>
      </c>
      <c r="I742" t="s">
        <v>64</v>
      </c>
      <c r="J742" t="s">
        <v>72</v>
      </c>
      <c r="K742">
        <v>9.1</v>
      </c>
      <c r="L742">
        <v>21687337</v>
      </c>
      <c r="M742">
        <v>4782073</v>
      </c>
      <c r="N742">
        <v>67</v>
      </c>
      <c r="O742" t="s">
        <v>31</v>
      </c>
      <c r="P742" t="s">
        <v>50</v>
      </c>
    </row>
    <row r="743" spans="1:16" x14ac:dyDescent="0.35">
      <c r="A743" t="s">
        <v>2983</v>
      </c>
      <c r="B743" t="s">
        <v>2984</v>
      </c>
      <c r="C743" t="s">
        <v>53</v>
      </c>
      <c r="D743" t="s">
        <v>54</v>
      </c>
      <c r="E743" t="s">
        <v>131</v>
      </c>
      <c r="F743" s="1">
        <v>43590</v>
      </c>
      <c r="G743">
        <v>2014</v>
      </c>
      <c r="H743" t="s">
        <v>81</v>
      </c>
      <c r="I743" t="s">
        <v>162</v>
      </c>
      <c r="J743" t="s">
        <v>57</v>
      </c>
      <c r="K743">
        <v>6.5</v>
      </c>
      <c r="L743">
        <v>11277638</v>
      </c>
      <c r="M743">
        <v>2041835</v>
      </c>
      <c r="N743">
        <v>120</v>
      </c>
      <c r="O743" t="s">
        <v>91</v>
      </c>
      <c r="P743" t="s">
        <v>32</v>
      </c>
    </row>
    <row r="744" spans="1:16" x14ac:dyDescent="0.35">
      <c r="A744" t="s">
        <v>1657</v>
      </c>
      <c r="B744" t="s">
        <v>1658</v>
      </c>
      <c r="C744" t="s">
        <v>84</v>
      </c>
      <c r="D744" t="s">
        <v>4178</v>
      </c>
      <c r="E744" t="s">
        <v>55</v>
      </c>
      <c r="F744" s="1">
        <v>43601</v>
      </c>
      <c r="G744">
        <v>2016</v>
      </c>
      <c r="H744" t="s">
        <v>121</v>
      </c>
      <c r="I744" t="s">
        <v>4286</v>
      </c>
      <c r="J744" t="s">
        <v>4178</v>
      </c>
      <c r="K744">
        <v>7.9</v>
      </c>
      <c r="L744">
        <v>9642644</v>
      </c>
      <c r="M744">
        <v>976903</v>
      </c>
      <c r="N744">
        <v>91</v>
      </c>
      <c r="O744" t="s">
        <v>49</v>
      </c>
      <c r="P744" t="s">
        <v>32</v>
      </c>
    </row>
    <row r="745" spans="1:16" x14ac:dyDescent="0.35">
      <c r="A745" t="s">
        <v>1814</v>
      </c>
      <c r="B745" t="s">
        <v>1815</v>
      </c>
      <c r="C745" t="s">
        <v>84</v>
      </c>
      <c r="D745" t="s">
        <v>68</v>
      </c>
      <c r="E745" t="s">
        <v>4178</v>
      </c>
      <c r="F745" s="1">
        <v>43602</v>
      </c>
      <c r="G745">
        <v>2007</v>
      </c>
      <c r="H745" t="s">
        <v>107</v>
      </c>
      <c r="I745" t="s">
        <v>4216</v>
      </c>
      <c r="J745" t="s">
        <v>23</v>
      </c>
      <c r="K745">
        <v>9.4</v>
      </c>
      <c r="L745">
        <v>4360432</v>
      </c>
      <c r="M745">
        <v>1607616</v>
      </c>
      <c r="N745">
        <v>100</v>
      </c>
      <c r="O745" t="s">
        <v>91</v>
      </c>
      <c r="P745" t="s">
        <v>4178</v>
      </c>
    </row>
    <row r="746" spans="1:16" x14ac:dyDescent="0.35">
      <c r="A746" t="s">
        <v>890</v>
      </c>
      <c r="B746" t="s">
        <v>891</v>
      </c>
      <c r="C746" t="s">
        <v>53</v>
      </c>
      <c r="D746" t="s">
        <v>156</v>
      </c>
      <c r="E746" t="s">
        <v>69</v>
      </c>
      <c r="F746" s="1">
        <v>43608</v>
      </c>
      <c r="G746">
        <v>2009</v>
      </c>
      <c r="H746" t="s">
        <v>46</v>
      </c>
      <c r="I746" t="s">
        <v>136</v>
      </c>
      <c r="J746" t="s">
        <v>133</v>
      </c>
      <c r="K746">
        <v>6.3</v>
      </c>
      <c r="L746">
        <v>12809743</v>
      </c>
      <c r="M746">
        <v>2335240</v>
      </c>
      <c r="N746">
        <v>56</v>
      </c>
      <c r="O746" t="s">
        <v>58</v>
      </c>
      <c r="P746" t="s">
        <v>4178</v>
      </c>
    </row>
    <row r="747" spans="1:16" x14ac:dyDescent="0.35">
      <c r="A747" t="s">
        <v>1121</v>
      </c>
      <c r="B747" t="s">
        <v>1122</v>
      </c>
      <c r="C747" t="s">
        <v>84</v>
      </c>
      <c r="D747" t="s">
        <v>90</v>
      </c>
      <c r="E747" t="s">
        <v>80</v>
      </c>
      <c r="F747" s="1">
        <v>43609</v>
      </c>
      <c r="G747">
        <v>2020</v>
      </c>
      <c r="H747" t="s">
        <v>38</v>
      </c>
      <c r="I747" t="s">
        <v>4235</v>
      </c>
      <c r="J747" t="s">
        <v>30</v>
      </c>
      <c r="K747">
        <v>7.8</v>
      </c>
      <c r="L747">
        <v>20751890</v>
      </c>
      <c r="M747">
        <v>2045511</v>
      </c>
      <c r="N747">
        <v>64</v>
      </c>
      <c r="O747" t="s">
        <v>24</v>
      </c>
      <c r="P747" t="s">
        <v>4178</v>
      </c>
    </row>
    <row r="748" spans="1:16" x14ac:dyDescent="0.35">
      <c r="A748" t="s">
        <v>3170</v>
      </c>
      <c r="B748" t="s">
        <v>3171</v>
      </c>
      <c r="C748" t="s">
        <v>84</v>
      </c>
      <c r="D748" t="s">
        <v>27</v>
      </c>
      <c r="E748" t="s">
        <v>80</v>
      </c>
      <c r="F748" s="1">
        <v>43616</v>
      </c>
      <c r="G748">
        <v>2004</v>
      </c>
      <c r="H748" t="s">
        <v>121</v>
      </c>
      <c r="I748" t="s">
        <v>4269</v>
      </c>
      <c r="J748" t="s">
        <v>72</v>
      </c>
      <c r="K748">
        <v>9.6</v>
      </c>
      <c r="L748">
        <v>3504531</v>
      </c>
      <c r="M748">
        <v>559472</v>
      </c>
      <c r="N748">
        <v>91</v>
      </c>
      <c r="O748" t="s">
        <v>91</v>
      </c>
      <c r="P748" t="s">
        <v>50</v>
      </c>
    </row>
    <row r="749" spans="1:16" x14ac:dyDescent="0.35">
      <c r="A749" t="s">
        <v>1444</v>
      </c>
      <c r="B749" t="s">
        <v>1445</v>
      </c>
      <c r="C749" t="s">
        <v>53</v>
      </c>
      <c r="D749" t="s">
        <v>27</v>
      </c>
      <c r="E749" t="s">
        <v>113</v>
      </c>
      <c r="F749" s="1">
        <v>43619</v>
      </c>
      <c r="G749">
        <v>2018</v>
      </c>
      <c r="H749" t="s">
        <v>121</v>
      </c>
      <c r="I749" t="s">
        <v>64</v>
      </c>
      <c r="J749" t="s">
        <v>23</v>
      </c>
      <c r="K749">
        <v>5.0999999999999996</v>
      </c>
      <c r="L749">
        <v>-591</v>
      </c>
      <c r="M749">
        <v>3395690</v>
      </c>
      <c r="N749">
        <v>69</v>
      </c>
      <c r="O749" t="s">
        <v>65</v>
      </c>
      <c r="P749" t="s">
        <v>4181</v>
      </c>
    </row>
    <row r="750" spans="1:16" x14ac:dyDescent="0.35">
      <c r="A750" t="s">
        <v>197</v>
      </c>
      <c r="B750" t="s">
        <v>198</v>
      </c>
      <c r="C750" t="s">
        <v>84</v>
      </c>
      <c r="D750" t="s">
        <v>54</v>
      </c>
      <c r="E750" t="s">
        <v>4178</v>
      </c>
      <c r="F750" s="1">
        <v>43621</v>
      </c>
      <c r="G750">
        <v>2026</v>
      </c>
      <c r="H750" t="s">
        <v>114</v>
      </c>
      <c r="I750" t="s">
        <v>4204</v>
      </c>
      <c r="J750" t="s">
        <v>57</v>
      </c>
      <c r="K750">
        <v>7.7</v>
      </c>
      <c r="L750">
        <v>2905560</v>
      </c>
      <c r="M750">
        <v>1345493</v>
      </c>
      <c r="N750">
        <v>94</v>
      </c>
      <c r="O750" t="s">
        <v>31</v>
      </c>
      <c r="P750" t="s">
        <v>4178</v>
      </c>
    </row>
    <row r="751" spans="1:16" x14ac:dyDescent="0.35">
      <c r="A751" t="s">
        <v>2900</v>
      </c>
      <c r="B751" t="s">
        <v>2901</v>
      </c>
      <c r="C751" t="s">
        <v>84</v>
      </c>
      <c r="D751" t="s">
        <v>27</v>
      </c>
      <c r="E751" t="s">
        <v>28</v>
      </c>
      <c r="F751" s="1">
        <v>43622</v>
      </c>
      <c r="G751">
        <v>2022</v>
      </c>
      <c r="H751" t="s">
        <v>38</v>
      </c>
      <c r="I751" t="s">
        <v>4242</v>
      </c>
      <c r="J751" t="s">
        <v>4178</v>
      </c>
      <c r="K751">
        <v>8.1999999999999993</v>
      </c>
      <c r="L751">
        <v>14690359</v>
      </c>
      <c r="M751">
        <v>2466370</v>
      </c>
      <c r="N751">
        <v>57</v>
      </c>
      <c r="O751" t="s">
        <v>49</v>
      </c>
      <c r="P751" t="s">
        <v>87</v>
      </c>
    </row>
    <row r="752" spans="1:16" x14ac:dyDescent="0.35">
      <c r="A752" t="s">
        <v>3555</v>
      </c>
      <c r="B752" t="s">
        <v>3556</v>
      </c>
      <c r="C752" t="s">
        <v>84</v>
      </c>
      <c r="D752" t="s">
        <v>75</v>
      </c>
      <c r="E752" t="s">
        <v>45</v>
      </c>
      <c r="F752" s="1">
        <v>43623</v>
      </c>
      <c r="G752">
        <v>2001</v>
      </c>
      <c r="H752" t="s">
        <v>85</v>
      </c>
      <c r="I752" t="s">
        <v>4220</v>
      </c>
      <c r="J752" t="s">
        <v>153</v>
      </c>
      <c r="K752">
        <v>8</v>
      </c>
      <c r="L752">
        <v>8007411</v>
      </c>
      <c r="M752">
        <v>4114994</v>
      </c>
      <c r="N752">
        <v>66</v>
      </c>
      <c r="O752" t="s">
        <v>65</v>
      </c>
      <c r="P752" t="s">
        <v>87</v>
      </c>
    </row>
    <row r="753" spans="1:16" x14ac:dyDescent="0.35">
      <c r="A753" t="s">
        <v>795</v>
      </c>
      <c r="B753" t="s">
        <v>796</v>
      </c>
      <c r="C753" t="s">
        <v>53</v>
      </c>
      <c r="D753" t="s">
        <v>156</v>
      </c>
      <c r="E753" t="s">
        <v>62</v>
      </c>
      <c r="F753" s="1">
        <v>43624</v>
      </c>
      <c r="G753">
        <v>2012</v>
      </c>
      <c r="H753" t="s">
        <v>85</v>
      </c>
      <c r="I753" t="s">
        <v>4178</v>
      </c>
      <c r="J753" t="s">
        <v>48</v>
      </c>
      <c r="K753">
        <v>8.4</v>
      </c>
      <c r="L753">
        <v>5813431</v>
      </c>
      <c r="M753">
        <v>3473318</v>
      </c>
      <c r="N753">
        <v>47</v>
      </c>
      <c r="O753" t="s">
        <v>41</v>
      </c>
      <c r="P753" t="s">
        <v>4178</v>
      </c>
    </row>
    <row r="754" spans="1:16" x14ac:dyDescent="0.35">
      <c r="A754" t="s">
        <v>4103</v>
      </c>
      <c r="B754" t="s">
        <v>4403</v>
      </c>
      <c r="C754" t="s">
        <v>84</v>
      </c>
      <c r="D754" t="s">
        <v>156</v>
      </c>
      <c r="E754" t="s">
        <v>55</v>
      </c>
      <c r="F754" s="1">
        <v>43624</v>
      </c>
      <c r="G754">
        <v>2002</v>
      </c>
      <c r="H754" t="s">
        <v>38</v>
      </c>
      <c r="I754" t="s">
        <v>4218</v>
      </c>
      <c r="J754" t="s">
        <v>72</v>
      </c>
      <c r="K754">
        <v>6.6</v>
      </c>
      <c r="L754">
        <v>17591830</v>
      </c>
      <c r="M754">
        <v>1405904</v>
      </c>
      <c r="N754">
        <v>45</v>
      </c>
      <c r="O754" t="s">
        <v>4178</v>
      </c>
      <c r="P754" t="s">
        <v>32</v>
      </c>
    </row>
    <row r="755" spans="1:16" x14ac:dyDescent="0.35">
      <c r="A755" t="s">
        <v>709</v>
      </c>
      <c r="B755" t="s">
        <v>710</v>
      </c>
      <c r="C755" t="s">
        <v>53</v>
      </c>
      <c r="D755" t="s">
        <v>156</v>
      </c>
      <c r="E755" t="s">
        <v>37</v>
      </c>
      <c r="F755" s="1">
        <v>43625</v>
      </c>
      <c r="G755">
        <v>2007</v>
      </c>
      <c r="H755" t="s">
        <v>85</v>
      </c>
      <c r="I755" t="s">
        <v>162</v>
      </c>
      <c r="J755" t="s">
        <v>133</v>
      </c>
      <c r="K755">
        <v>6.3</v>
      </c>
      <c r="L755">
        <v>9469002</v>
      </c>
      <c r="M755">
        <v>3162500</v>
      </c>
      <c r="N755">
        <v>93</v>
      </c>
      <c r="O755" t="s">
        <v>31</v>
      </c>
      <c r="P755" t="s">
        <v>50</v>
      </c>
    </row>
    <row r="756" spans="1:16" x14ac:dyDescent="0.35">
      <c r="A756" t="s">
        <v>2977</v>
      </c>
      <c r="B756" t="s">
        <v>2978</v>
      </c>
      <c r="C756" t="s">
        <v>4178</v>
      </c>
      <c r="D756" t="s">
        <v>27</v>
      </c>
      <c r="E756" t="s">
        <v>4178</v>
      </c>
      <c r="F756" s="1">
        <v>43625</v>
      </c>
      <c r="G756">
        <v>2007</v>
      </c>
      <c r="H756" t="s">
        <v>21</v>
      </c>
      <c r="I756" t="s">
        <v>162</v>
      </c>
      <c r="J756" t="s">
        <v>4178</v>
      </c>
      <c r="K756">
        <v>5.6</v>
      </c>
      <c r="L756">
        <v>13792474</v>
      </c>
      <c r="M756">
        <v>2389078</v>
      </c>
      <c r="N756">
        <v>53</v>
      </c>
      <c r="O756" t="s">
        <v>91</v>
      </c>
      <c r="P756" t="s">
        <v>50</v>
      </c>
    </row>
    <row r="757" spans="1:16" x14ac:dyDescent="0.35">
      <c r="A757" t="s">
        <v>2302</v>
      </c>
      <c r="B757" t="s">
        <v>2303</v>
      </c>
      <c r="C757" t="s">
        <v>53</v>
      </c>
      <c r="D757" t="s">
        <v>68</v>
      </c>
      <c r="E757" t="s">
        <v>45</v>
      </c>
      <c r="F757" s="1">
        <v>43626</v>
      </c>
      <c r="G757">
        <v>2023</v>
      </c>
      <c r="H757" t="s">
        <v>4178</v>
      </c>
      <c r="I757" t="s">
        <v>136</v>
      </c>
      <c r="J757" t="s">
        <v>57</v>
      </c>
      <c r="K757">
        <v>4.7</v>
      </c>
      <c r="L757">
        <v>15385278</v>
      </c>
      <c r="M757">
        <v>3525187</v>
      </c>
      <c r="N757">
        <v>65</v>
      </c>
      <c r="O757" t="s">
        <v>24</v>
      </c>
      <c r="P757" t="s">
        <v>4178</v>
      </c>
    </row>
    <row r="758" spans="1:16" x14ac:dyDescent="0.35">
      <c r="A758" t="s">
        <v>3269</v>
      </c>
      <c r="B758" t="s">
        <v>3270</v>
      </c>
      <c r="C758" t="s">
        <v>53</v>
      </c>
      <c r="D758" t="s">
        <v>19</v>
      </c>
      <c r="E758" t="s">
        <v>45</v>
      </c>
      <c r="F758" s="1">
        <v>43630</v>
      </c>
      <c r="G758">
        <v>2005</v>
      </c>
      <c r="H758" t="s">
        <v>81</v>
      </c>
      <c r="I758" t="s">
        <v>56</v>
      </c>
      <c r="J758" t="s">
        <v>133</v>
      </c>
      <c r="K758">
        <v>8.9</v>
      </c>
      <c r="L758">
        <v>13937804</v>
      </c>
      <c r="M758">
        <v>2990018</v>
      </c>
      <c r="N758">
        <v>72</v>
      </c>
      <c r="O758" t="s">
        <v>58</v>
      </c>
      <c r="P758" t="s">
        <v>87</v>
      </c>
    </row>
    <row r="759" spans="1:16" x14ac:dyDescent="0.35">
      <c r="A759" t="s">
        <v>3751</v>
      </c>
      <c r="B759" t="s">
        <v>3752</v>
      </c>
      <c r="C759" t="s">
        <v>84</v>
      </c>
      <c r="D759" t="s">
        <v>68</v>
      </c>
      <c r="E759" t="s">
        <v>20</v>
      </c>
      <c r="F759" s="1">
        <v>43635</v>
      </c>
      <c r="G759">
        <v>2020</v>
      </c>
      <c r="H759" t="s">
        <v>38</v>
      </c>
      <c r="I759" t="s">
        <v>4254</v>
      </c>
      <c r="J759" t="s">
        <v>153</v>
      </c>
      <c r="K759">
        <v>7.4</v>
      </c>
      <c r="L759">
        <v>12898939</v>
      </c>
      <c r="M759">
        <v>164327</v>
      </c>
      <c r="N759">
        <v>65</v>
      </c>
      <c r="O759" t="s">
        <v>41</v>
      </c>
      <c r="P759" t="s">
        <v>4178</v>
      </c>
    </row>
    <row r="760" spans="1:16" x14ac:dyDescent="0.35">
      <c r="A760" t="s">
        <v>88</v>
      </c>
      <c r="B760" t="s">
        <v>89</v>
      </c>
      <c r="C760" t="s">
        <v>4178</v>
      </c>
      <c r="D760" t="s">
        <v>90</v>
      </c>
      <c r="E760" t="s">
        <v>4178</v>
      </c>
      <c r="F760" s="1">
        <v>43637</v>
      </c>
      <c r="G760">
        <v>2005</v>
      </c>
      <c r="H760" t="s">
        <v>21</v>
      </c>
      <c r="I760" t="s">
        <v>56</v>
      </c>
      <c r="J760" t="s">
        <v>40</v>
      </c>
      <c r="K760">
        <v>9.5</v>
      </c>
      <c r="L760">
        <v>15551088</v>
      </c>
      <c r="M760">
        <v>3368076</v>
      </c>
      <c r="N760">
        <v>45</v>
      </c>
      <c r="O760" t="s">
        <v>91</v>
      </c>
      <c r="P760" t="s">
        <v>4181</v>
      </c>
    </row>
    <row r="761" spans="1:16" x14ac:dyDescent="0.35">
      <c r="A761" t="s">
        <v>2738</v>
      </c>
      <c r="B761" t="s">
        <v>2739</v>
      </c>
      <c r="C761" t="s">
        <v>84</v>
      </c>
      <c r="D761" t="s">
        <v>94</v>
      </c>
      <c r="E761" t="s">
        <v>28</v>
      </c>
      <c r="F761" s="1">
        <v>43638</v>
      </c>
      <c r="G761">
        <v>2015</v>
      </c>
      <c r="H761" t="s">
        <v>4178</v>
      </c>
      <c r="I761" t="s">
        <v>4281</v>
      </c>
      <c r="J761" t="s">
        <v>96</v>
      </c>
      <c r="K761">
        <v>7.3</v>
      </c>
      <c r="L761">
        <v>22338592</v>
      </c>
      <c r="M761">
        <v>1672034</v>
      </c>
      <c r="N761">
        <v>93</v>
      </c>
      <c r="O761" t="s">
        <v>31</v>
      </c>
      <c r="P761" t="s">
        <v>4178</v>
      </c>
    </row>
    <row r="762" spans="1:16" x14ac:dyDescent="0.35">
      <c r="A762" t="s">
        <v>530</v>
      </c>
      <c r="B762" t="s">
        <v>531</v>
      </c>
      <c r="C762" t="s">
        <v>53</v>
      </c>
      <c r="D762" t="s">
        <v>75</v>
      </c>
      <c r="E762" t="s">
        <v>20</v>
      </c>
      <c r="F762" s="1">
        <v>43642</v>
      </c>
      <c r="G762">
        <v>2018</v>
      </c>
      <c r="H762" t="s">
        <v>107</v>
      </c>
      <c r="I762" t="s">
        <v>56</v>
      </c>
      <c r="J762" t="s">
        <v>72</v>
      </c>
      <c r="K762">
        <v>6.8</v>
      </c>
      <c r="L762">
        <v>24319431</v>
      </c>
      <c r="M762">
        <v>452030</v>
      </c>
      <c r="N762">
        <v>50</v>
      </c>
      <c r="O762" t="s">
        <v>58</v>
      </c>
      <c r="P762" t="s">
        <v>4181</v>
      </c>
    </row>
    <row r="763" spans="1:16" x14ac:dyDescent="0.35">
      <c r="A763" t="s">
        <v>2705</v>
      </c>
      <c r="B763" t="s">
        <v>2706</v>
      </c>
      <c r="C763" t="s">
        <v>84</v>
      </c>
      <c r="D763" t="s">
        <v>19</v>
      </c>
      <c r="E763" t="s">
        <v>99</v>
      </c>
      <c r="F763" s="1">
        <v>43648</v>
      </c>
      <c r="G763">
        <v>2021</v>
      </c>
      <c r="H763" t="s">
        <v>63</v>
      </c>
      <c r="I763" t="s">
        <v>4216</v>
      </c>
      <c r="J763" t="s">
        <v>4178</v>
      </c>
      <c r="K763">
        <v>9.6</v>
      </c>
      <c r="L763">
        <v>21096532</v>
      </c>
      <c r="M763">
        <v>3550692</v>
      </c>
      <c r="N763">
        <v>59</v>
      </c>
      <c r="O763" t="s">
        <v>58</v>
      </c>
      <c r="P763" t="s">
        <v>4178</v>
      </c>
    </row>
    <row r="764" spans="1:16" x14ac:dyDescent="0.35">
      <c r="A764" t="s">
        <v>1194</v>
      </c>
      <c r="B764" t="s">
        <v>1195</v>
      </c>
      <c r="C764" t="s">
        <v>4178</v>
      </c>
      <c r="D764" t="s">
        <v>94</v>
      </c>
      <c r="E764" t="s">
        <v>131</v>
      </c>
      <c r="F764" s="1">
        <v>43654</v>
      </c>
      <c r="G764">
        <v>2011</v>
      </c>
      <c r="H764" t="s">
        <v>38</v>
      </c>
      <c r="I764" t="s">
        <v>136</v>
      </c>
      <c r="J764" t="s">
        <v>72</v>
      </c>
      <c r="K764">
        <v>6.6</v>
      </c>
      <c r="L764">
        <v>9582240</v>
      </c>
      <c r="M764">
        <v>4861559</v>
      </c>
      <c r="N764">
        <v>76</v>
      </c>
      <c r="O764" t="s">
        <v>41</v>
      </c>
      <c r="P764" t="s">
        <v>50</v>
      </c>
    </row>
    <row r="765" spans="1:16" x14ac:dyDescent="0.35">
      <c r="A765" t="s">
        <v>1346</v>
      </c>
      <c r="B765" t="s">
        <v>1347</v>
      </c>
      <c r="C765" t="s">
        <v>53</v>
      </c>
      <c r="D765" t="s">
        <v>36</v>
      </c>
      <c r="E765" t="s">
        <v>80</v>
      </c>
      <c r="F765" s="1">
        <v>43654</v>
      </c>
      <c r="G765">
        <v>2002</v>
      </c>
      <c r="H765" t="s">
        <v>63</v>
      </c>
      <c r="I765" t="s">
        <v>71</v>
      </c>
      <c r="J765" t="s">
        <v>133</v>
      </c>
      <c r="K765">
        <v>7.7</v>
      </c>
      <c r="L765">
        <v>23858823</v>
      </c>
      <c r="M765">
        <v>3658880</v>
      </c>
      <c r="N765">
        <v>61</v>
      </c>
      <c r="O765" t="s">
        <v>104</v>
      </c>
      <c r="P765" t="s">
        <v>4181</v>
      </c>
    </row>
    <row r="766" spans="1:16" x14ac:dyDescent="0.35">
      <c r="A766" t="s">
        <v>907</v>
      </c>
      <c r="B766" t="s">
        <v>908</v>
      </c>
      <c r="C766" t="s">
        <v>53</v>
      </c>
      <c r="D766" t="s">
        <v>61</v>
      </c>
      <c r="E766" t="s">
        <v>4178</v>
      </c>
      <c r="F766" s="1">
        <v>43655</v>
      </c>
      <c r="G766">
        <v>2019</v>
      </c>
      <c r="H766" t="s">
        <v>63</v>
      </c>
      <c r="I766" t="s">
        <v>95</v>
      </c>
      <c r="J766" t="s">
        <v>48</v>
      </c>
      <c r="K766">
        <v>5.0999999999999996</v>
      </c>
      <c r="L766">
        <v>24389066</v>
      </c>
      <c r="M766">
        <v>1967945</v>
      </c>
      <c r="N766">
        <v>79</v>
      </c>
      <c r="O766" t="s">
        <v>123</v>
      </c>
      <c r="P766" t="s">
        <v>87</v>
      </c>
    </row>
    <row r="767" spans="1:16" x14ac:dyDescent="0.35">
      <c r="A767" t="s">
        <v>2543</v>
      </c>
      <c r="B767" t="s">
        <v>4359</v>
      </c>
      <c r="C767" t="s">
        <v>84</v>
      </c>
      <c r="D767" t="s">
        <v>27</v>
      </c>
      <c r="E767" t="s">
        <v>4196</v>
      </c>
      <c r="F767" s="1">
        <v>43655</v>
      </c>
      <c r="G767">
        <v>2000</v>
      </c>
      <c r="H767" t="s">
        <v>114</v>
      </c>
      <c r="I767" t="s">
        <v>4177</v>
      </c>
      <c r="J767" t="s">
        <v>133</v>
      </c>
      <c r="K767">
        <v>6.9</v>
      </c>
      <c r="L767">
        <v>19355401</v>
      </c>
      <c r="M767">
        <v>2573333</v>
      </c>
      <c r="N767">
        <v>44</v>
      </c>
      <c r="O767" t="s">
        <v>41</v>
      </c>
      <c r="P767" t="s">
        <v>4181</v>
      </c>
    </row>
    <row r="768" spans="1:16" x14ac:dyDescent="0.35">
      <c r="A768" t="s">
        <v>3787</v>
      </c>
      <c r="B768" t="s">
        <v>3788</v>
      </c>
      <c r="C768" t="s">
        <v>53</v>
      </c>
      <c r="D768" t="s">
        <v>27</v>
      </c>
      <c r="E768" t="s">
        <v>99</v>
      </c>
      <c r="F768" s="1">
        <v>43661</v>
      </c>
      <c r="G768">
        <v>2014</v>
      </c>
      <c r="H768" t="s">
        <v>107</v>
      </c>
      <c r="I768" t="s">
        <v>71</v>
      </c>
      <c r="J768" t="s">
        <v>103</v>
      </c>
      <c r="K768">
        <v>9.3000000000000007</v>
      </c>
      <c r="L768">
        <v>2570601</v>
      </c>
      <c r="M768">
        <v>1178791</v>
      </c>
      <c r="N768">
        <v>44</v>
      </c>
      <c r="O768" t="s">
        <v>104</v>
      </c>
      <c r="P768" t="s">
        <v>32</v>
      </c>
    </row>
    <row r="769" spans="1:16" x14ac:dyDescent="0.35">
      <c r="A769" t="s">
        <v>2164</v>
      </c>
      <c r="B769" t="s">
        <v>2165</v>
      </c>
      <c r="C769" t="s">
        <v>53</v>
      </c>
      <c r="D769" t="s">
        <v>156</v>
      </c>
      <c r="E769" t="s">
        <v>99</v>
      </c>
      <c r="F769" s="1">
        <v>43664</v>
      </c>
      <c r="G769">
        <v>2000</v>
      </c>
      <c r="H769" t="s">
        <v>63</v>
      </c>
      <c r="I769" t="s">
        <v>162</v>
      </c>
      <c r="J769" t="s">
        <v>133</v>
      </c>
      <c r="K769">
        <v>6.6</v>
      </c>
      <c r="L769">
        <v>21484264</v>
      </c>
      <c r="M769">
        <v>4244005</v>
      </c>
      <c r="N769">
        <v>87</v>
      </c>
      <c r="O769" t="s">
        <v>41</v>
      </c>
      <c r="P769" t="s">
        <v>50</v>
      </c>
    </row>
    <row r="770" spans="1:16" x14ac:dyDescent="0.35">
      <c r="A770" t="s">
        <v>942</v>
      </c>
      <c r="B770" t="s">
        <v>943</v>
      </c>
      <c r="C770" t="s">
        <v>84</v>
      </c>
      <c r="D770" t="s">
        <v>4178</v>
      </c>
      <c r="E770" t="s">
        <v>45</v>
      </c>
      <c r="F770" s="1">
        <v>43665</v>
      </c>
      <c r="G770">
        <v>2011</v>
      </c>
      <c r="H770" t="s">
        <v>121</v>
      </c>
      <c r="I770" t="s">
        <v>4207</v>
      </c>
      <c r="J770" t="s">
        <v>103</v>
      </c>
      <c r="K770">
        <v>7</v>
      </c>
      <c r="L770">
        <v>9277663</v>
      </c>
      <c r="M770">
        <v>442824</v>
      </c>
      <c r="N770">
        <v>78</v>
      </c>
      <c r="O770" t="s">
        <v>31</v>
      </c>
      <c r="P770" t="s">
        <v>87</v>
      </c>
    </row>
    <row r="771" spans="1:16" x14ac:dyDescent="0.35">
      <c r="A771" t="s">
        <v>1479</v>
      </c>
      <c r="B771" t="s">
        <v>1480</v>
      </c>
      <c r="C771" t="s">
        <v>53</v>
      </c>
      <c r="D771" t="s">
        <v>156</v>
      </c>
      <c r="E771" t="s">
        <v>99</v>
      </c>
      <c r="F771" s="1">
        <v>43665</v>
      </c>
      <c r="G771">
        <v>2032</v>
      </c>
      <c r="H771" t="s">
        <v>46</v>
      </c>
      <c r="I771" t="s">
        <v>39</v>
      </c>
      <c r="J771" t="s">
        <v>4178</v>
      </c>
      <c r="K771">
        <v>7</v>
      </c>
      <c r="L771">
        <v>5897594</v>
      </c>
      <c r="M771">
        <v>2496776</v>
      </c>
      <c r="N771">
        <v>60</v>
      </c>
      <c r="O771" t="s">
        <v>41</v>
      </c>
      <c r="P771" t="s">
        <v>87</v>
      </c>
    </row>
    <row r="772" spans="1:16" x14ac:dyDescent="0.35">
      <c r="A772" t="s">
        <v>1671</v>
      </c>
      <c r="B772" t="s">
        <v>1672</v>
      </c>
      <c r="C772" t="s">
        <v>84</v>
      </c>
      <c r="D772" t="s">
        <v>4178</v>
      </c>
      <c r="E772" t="s">
        <v>28</v>
      </c>
      <c r="F772" s="1">
        <v>43667</v>
      </c>
      <c r="G772">
        <v>2004</v>
      </c>
      <c r="H772" t="s">
        <v>85</v>
      </c>
      <c r="I772" t="s">
        <v>4233</v>
      </c>
      <c r="J772" t="s">
        <v>30</v>
      </c>
      <c r="K772">
        <v>5.3</v>
      </c>
      <c r="L772">
        <v>20595834</v>
      </c>
      <c r="M772">
        <v>2271923</v>
      </c>
      <c r="N772">
        <v>45</v>
      </c>
      <c r="O772" t="s">
        <v>58</v>
      </c>
      <c r="P772" t="s">
        <v>4181</v>
      </c>
    </row>
    <row r="773" spans="1:16" x14ac:dyDescent="0.35">
      <c r="A773" t="s">
        <v>2072</v>
      </c>
      <c r="B773" t="s">
        <v>4339</v>
      </c>
      <c r="C773" t="s">
        <v>84</v>
      </c>
      <c r="D773" t="s">
        <v>4178</v>
      </c>
      <c r="E773" t="s">
        <v>131</v>
      </c>
      <c r="F773" s="1">
        <v>43667</v>
      </c>
      <c r="G773">
        <v>2018</v>
      </c>
      <c r="H773" t="s">
        <v>21</v>
      </c>
      <c r="I773" t="s">
        <v>4321</v>
      </c>
      <c r="J773" t="s">
        <v>57</v>
      </c>
      <c r="K773">
        <v>5.5</v>
      </c>
      <c r="L773">
        <v>10792145</v>
      </c>
      <c r="M773">
        <v>1402587</v>
      </c>
      <c r="N773">
        <v>95</v>
      </c>
      <c r="O773" t="s">
        <v>4178</v>
      </c>
      <c r="P773" t="s">
        <v>4181</v>
      </c>
    </row>
    <row r="774" spans="1:16" x14ac:dyDescent="0.35">
      <c r="A774" t="s">
        <v>3942</v>
      </c>
      <c r="B774" t="s">
        <v>3943</v>
      </c>
      <c r="C774" t="s">
        <v>4178</v>
      </c>
      <c r="D774" t="s">
        <v>156</v>
      </c>
      <c r="E774" t="s">
        <v>45</v>
      </c>
      <c r="F774" s="1">
        <v>43668</v>
      </c>
      <c r="G774">
        <v>2013</v>
      </c>
      <c r="H774" t="s">
        <v>63</v>
      </c>
      <c r="I774" t="s">
        <v>136</v>
      </c>
      <c r="J774" t="s">
        <v>96</v>
      </c>
      <c r="K774">
        <v>5.6</v>
      </c>
      <c r="L774">
        <v>21379154</v>
      </c>
      <c r="M774">
        <v>3625605</v>
      </c>
      <c r="N774">
        <v>72</v>
      </c>
      <c r="O774" t="s">
        <v>31</v>
      </c>
      <c r="P774" t="s">
        <v>50</v>
      </c>
    </row>
    <row r="775" spans="1:16" x14ac:dyDescent="0.35">
      <c r="A775" t="s">
        <v>461</v>
      </c>
      <c r="B775" t="s">
        <v>462</v>
      </c>
      <c r="C775" t="s">
        <v>53</v>
      </c>
      <c r="D775" t="s">
        <v>4178</v>
      </c>
      <c r="E775" t="s">
        <v>62</v>
      </c>
      <c r="F775" s="1">
        <v>43669</v>
      </c>
      <c r="G775">
        <v>2013</v>
      </c>
      <c r="H775" t="s">
        <v>4178</v>
      </c>
      <c r="I775" t="s">
        <v>136</v>
      </c>
      <c r="J775" t="s">
        <v>96</v>
      </c>
      <c r="K775">
        <v>4.9000000000000004</v>
      </c>
      <c r="L775">
        <v>6055355</v>
      </c>
      <c r="M775">
        <v>120042</v>
      </c>
      <c r="N775">
        <v>75</v>
      </c>
      <c r="O775" t="s">
        <v>91</v>
      </c>
      <c r="P775" t="s">
        <v>32</v>
      </c>
    </row>
    <row r="776" spans="1:16" x14ac:dyDescent="0.35">
      <c r="A776" t="s">
        <v>2111</v>
      </c>
      <c r="B776" t="s">
        <v>2112</v>
      </c>
      <c r="C776" t="s">
        <v>53</v>
      </c>
      <c r="D776" t="s">
        <v>4178</v>
      </c>
      <c r="E776" t="s">
        <v>99</v>
      </c>
      <c r="F776" s="1">
        <v>43670</v>
      </c>
      <c r="G776">
        <v>2015</v>
      </c>
      <c r="H776" t="s">
        <v>107</v>
      </c>
      <c r="I776" t="s">
        <v>162</v>
      </c>
      <c r="J776" t="s">
        <v>153</v>
      </c>
      <c r="K776">
        <v>8.6</v>
      </c>
      <c r="L776">
        <v>11341238</v>
      </c>
      <c r="M776">
        <v>4984553</v>
      </c>
      <c r="N776">
        <v>59</v>
      </c>
      <c r="O776" t="s">
        <v>123</v>
      </c>
      <c r="P776" t="s">
        <v>4181</v>
      </c>
    </row>
    <row r="777" spans="1:16" x14ac:dyDescent="0.35">
      <c r="A777" t="s">
        <v>739</v>
      </c>
      <c r="B777" t="s">
        <v>740</v>
      </c>
      <c r="C777" t="s">
        <v>53</v>
      </c>
      <c r="D777" t="s">
        <v>54</v>
      </c>
      <c r="E777" t="s">
        <v>28</v>
      </c>
      <c r="F777" s="1">
        <v>43676</v>
      </c>
      <c r="G777">
        <v>2017</v>
      </c>
      <c r="H777" t="s">
        <v>4178</v>
      </c>
      <c r="I777" t="s">
        <v>136</v>
      </c>
      <c r="J777" t="s">
        <v>4178</v>
      </c>
      <c r="K777">
        <v>4.9000000000000004</v>
      </c>
      <c r="L777">
        <v>5897280</v>
      </c>
      <c r="M777">
        <v>3023939</v>
      </c>
      <c r="N777">
        <v>79</v>
      </c>
      <c r="O777" t="s">
        <v>31</v>
      </c>
      <c r="P777" t="s">
        <v>32</v>
      </c>
    </row>
    <row r="778" spans="1:16" x14ac:dyDescent="0.35">
      <c r="A778" t="s">
        <v>2459</v>
      </c>
      <c r="B778" t="s">
        <v>2460</v>
      </c>
      <c r="C778" t="s">
        <v>53</v>
      </c>
      <c r="D778" t="s">
        <v>54</v>
      </c>
      <c r="E778" t="s">
        <v>20</v>
      </c>
      <c r="F778" s="1">
        <v>43679</v>
      </c>
      <c r="G778">
        <v>2015</v>
      </c>
      <c r="H778" t="s">
        <v>63</v>
      </c>
      <c r="I778" t="s">
        <v>95</v>
      </c>
      <c r="J778" t="s">
        <v>4178</v>
      </c>
      <c r="K778">
        <v>8.1</v>
      </c>
      <c r="L778">
        <v>12543508</v>
      </c>
      <c r="M778">
        <v>83613</v>
      </c>
      <c r="N778">
        <v>79</v>
      </c>
      <c r="O778" t="s">
        <v>104</v>
      </c>
      <c r="P778" t="s">
        <v>50</v>
      </c>
    </row>
    <row r="779" spans="1:16" x14ac:dyDescent="0.35">
      <c r="A779" t="s">
        <v>2647</v>
      </c>
      <c r="B779" t="s">
        <v>2648</v>
      </c>
      <c r="C779" t="s">
        <v>84</v>
      </c>
      <c r="D779" t="s">
        <v>61</v>
      </c>
      <c r="E779" t="s">
        <v>99</v>
      </c>
      <c r="F779" s="1">
        <v>43683</v>
      </c>
      <c r="G779">
        <v>2026</v>
      </c>
      <c r="H779" t="s">
        <v>38</v>
      </c>
      <c r="I779" t="s">
        <v>4191</v>
      </c>
      <c r="J779" t="s">
        <v>153</v>
      </c>
      <c r="K779">
        <v>8.6999999999999993</v>
      </c>
      <c r="L779">
        <v>21838555</v>
      </c>
      <c r="M779">
        <v>517885</v>
      </c>
      <c r="N779">
        <v>79</v>
      </c>
      <c r="O779" t="s">
        <v>65</v>
      </c>
      <c r="P779" t="s">
        <v>50</v>
      </c>
    </row>
    <row r="780" spans="1:16" x14ac:dyDescent="0.35">
      <c r="A780" t="s">
        <v>250</v>
      </c>
      <c r="B780" t="s">
        <v>251</v>
      </c>
      <c r="C780" t="s">
        <v>53</v>
      </c>
      <c r="D780" t="s">
        <v>75</v>
      </c>
      <c r="E780" t="s">
        <v>4178</v>
      </c>
      <c r="F780" s="1">
        <v>43684</v>
      </c>
      <c r="G780">
        <v>2016</v>
      </c>
      <c r="H780" t="s">
        <v>114</v>
      </c>
      <c r="I780" t="s">
        <v>39</v>
      </c>
      <c r="J780" t="s">
        <v>40</v>
      </c>
      <c r="K780">
        <v>6.7</v>
      </c>
      <c r="L780">
        <v>7059430</v>
      </c>
      <c r="M780">
        <v>1542848</v>
      </c>
      <c r="N780">
        <v>88</v>
      </c>
      <c r="O780" t="s">
        <v>104</v>
      </c>
      <c r="P780" t="s">
        <v>4178</v>
      </c>
    </row>
    <row r="781" spans="1:16" x14ac:dyDescent="0.35">
      <c r="A781" t="s">
        <v>3620</v>
      </c>
      <c r="B781" t="s">
        <v>3621</v>
      </c>
      <c r="C781" t="s">
        <v>53</v>
      </c>
      <c r="D781" t="s">
        <v>4178</v>
      </c>
      <c r="E781" t="s">
        <v>45</v>
      </c>
      <c r="F781" s="1">
        <v>43693</v>
      </c>
      <c r="G781">
        <v>2022</v>
      </c>
      <c r="H781" t="s">
        <v>121</v>
      </c>
      <c r="I781" t="s">
        <v>95</v>
      </c>
      <c r="J781" t="s">
        <v>4178</v>
      </c>
      <c r="K781">
        <v>5</v>
      </c>
      <c r="L781">
        <v>15272201</v>
      </c>
      <c r="M781">
        <v>279976</v>
      </c>
      <c r="N781">
        <v>80</v>
      </c>
      <c r="O781" t="s">
        <v>58</v>
      </c>
      <c r="P781" t="s">
        <v>4181</v>
      </c>
    </row>
    <row r="782" spans="1:16" x14ac:dyDescent="0.35">
      <c r="A782" t="s">
        <v>1259</v>
      </c>
      <c r="B782" t="s">
        <v>1260</v>
      </c>
      <c r="C782" t="s">
        <v>53</v>
      </c>
      <c r="D782" t="s">
        <v>61</v>
      </c>
      <c r="E782" t="s">
        <v>20</v>
      </c>
      <c r="F782" s="1">
        <v>43697</v>
      </c>
      <c r="G782">
        <v>2025</v>
      </c>
      <c r="H782" t="s">
        <v>21</v>
      </c>
      <c r="I782" t="s">
        <v>71</v>
      </c>
      <c r="J782" t="s">
        <v>153</v>
      </c>
      <c r="K782">
        <v>5</v>
      </c>
      <c r="L782">
        <v>10663172</v>
      </c>
      <c r="M782">
        <v>4933045</v>
      </c>
      <c r="N782">
        <v>48</v>
      </c>
      <c r="O782" t="s">
        <v>91</v>
      </c>
      <c r="P782" t="s">
        <v>32</v>
      </c>
    </row>
    <row r="783" spans="1:16" x14ac:dyDescent="0.35">
      <c r="A783" t="s">
        <v>3990</v>
      </c>
      <c r="B783" t="s">
        <v>3991</v>
      </c>
      <c r="C783" t="s">
        <v>53</v>
      </c>
      <c r="D783" t="s">
        <v>36</v>
      </c>
      <c r="E783" t="s">
        <v>37</v>
      </c>
      <c r="F783" s="1">
        <v>43700</v>
      </c>
      <c r="G783">
        <v>2006</v>
      </c>
      <c r="H783" t="s">
        <v>114</v>
      </c>
      <c r="I783" t="s">
        <v>118</v>
      </c>
      <c r="J783" t="s">
        <v>133</v>
      </c>
      <c r="K783">
        <v>4.8</v>
      </c>
      <c r="L783">
        <v>10860365</v>
      </c>
      <c r="M783">
        <v>924379</v>
      </c>
      <c r="N783">
        <v>92</v>
      </c>
      <c r="O783" t="s">
        <v>91</v>
      </c>
      <c r="P783" t="s">
        <v>32</v>
      </c>
    </row>
    <row r="784" spans="1:16" x14ac:dyDescent="0.35">
      <c r="A784" t="s">
        <v>538</v>
      </c>
      <c r="B784" t="s">
        <v>4251</v>
      </c>
      <c r="C784" t="s">
        <v>53</v>
      </c>
      <c r="D784" t="s">
        <v>75</v>
      </c>
      <c r="E784" t="s">
        <v>80</v>
      </c>
      <c r="F784" s="1">
        <v>43701</v>
      </c>
      <c r="G784">
        <v>2003</v>
      </c>
      <c r="H784" t="s">
        <v>107</v>
      </c>
      <c r="I784" t="s">
        <v>64</v>
      </c>
      <c r="J784" t="s">
        <v>103</v>
      </c>
      <c r="K784">
        <v>8.1</v>
      </c>
      <c r="L784">
        <v>8027190</v>
      </c>
      <c r="M784">
        <v>851743</v>
      </c>
      <c r="N784">
        <v>57</v>
      </c>
      <c r="O784" t="s">
        <v>123</v>
      </c>
      <c r="P784" t="s">
        <v>50</v>
      </c>
    </row>
    <row r="785" spans="1:16" x14ac:dyDescent="0.35">
      <c r="A785" t="s">
        <v>1327</v>
      </c>
      <c r="B785" t="s">
        <v>1328</v>
      </c>
      <c r="C785" t="s">
        <v>84</v>
      </c>
      <c r="D785" t="s">
        <v>19</v>
      </c>
      <c r="E785" t="s">
        <v>131</v>
      </c>
      <c r="F785" s="1">
        <v>43708</v>
      </c>
      <c r="G785">
        <v>2012</v>
      </c>
      <c r="H785" t="s">
        <v>46</v>
      </c>
      <c r="I785" t="s">
        <v>4277</v>
      </c>
      <c r="J785" t="s">
        <v>96</v>
      </c>
      <c r="K785">
        <v>7.2</v>
      </c>
      <c r="L785">
        <v>16692343</v>
      </c>
      <c r="M785">
        <v>4902655</v>
      </c>
      <c r="N785">
        <v>68</v>
      </c>
      <c r="O785" t="s">
        <v>41</v>
      </c>
      <c r="P785" t="s">
        <v>4181</v>
      </c>
    </row>
    <row r="786" spans="1:16" x14ac:dyDescent="0.35">
      <c r="A786" t="s">
        <v>2848</v>
      </c>
      <c r="B786" t="s">
        <v>2849</v>
      </c>
      <c r="C786" t="s">
        <v>4178</v>
      </c>
      <c r="D786" t="s">
        <v>54</v>
      </c>
      <c r="E786" t="s">
        <v>131</v>
      </c>
      <c r="F786" s="1">
        <v>43709</v>
      </c>
      <c r="G786">
        <v>2024</v>
      </c>
      <c r="H786" t="s">
        <v>38</v>
      </c>
      <c r="I786" t="s">
        <v>39</v>
      </c>
      <c r="J786" t="s">
        <v>72</v>
      </c>
      <c r="K786">
        <v>5.8</v>
      </c>
      <c r="L786">
        <v>6789862</v>
      </c>
      <c r="M786">
        <v>4910709</v>
      </c>
      <c r="N786">
        <v>120</v>
      </c>
      <c r="O786" t="s">
        <v>123</v>
      </c>
      <c r="P786" t="s">
        <v>4178</v>
      </c>
    </row>
    <row r="787" spans="1:16" x14ac:dyDescent="0.35">
      <c r="A787" t="s">
        <v>3375</v>
      </c>
      <c r="B787" t="s">
        <v>4378</v>
      </c>
      <c r="C787" t="s">
        <v>84</v>
      </c>
      <c r="D787" t="s">
        <v>36</v>
      </c>
      <c r="E787" t="s">
        <v>4178</v>
      </c>
      <c r="F787" s="1">
        <v>43709</v>
      </c>
      <c r="G787">
        <v>2006</v>
      </c>
      <c r="H787" t="s">
        <v>107</v>
      </c>
      <c r="I787" t="s">
        <v>4203</v>
      </c>
      <c r="J787" t="s">
        <v>40</v>
      </c>
      <c r="K787">
        <v>5.6</v>
      </c>
      <c r="L787">
        <v>457716</v>
      </c>
      <c r="M787">
        <v>2950724</v>
      </c>
      <c r="N787">
        <v>54</v>
      </c>
      <c r="O787" t="s">
        <v>4178</v>
      </c>
      <c r="P787" t="s">
        <v>4181</v>
      </c>
    </row>
    <row r="788" spans="1:16" x14ac:dyDescent="0.35">
      <c r="A788" t="s">
        <v>2107</v>
      </c>
      <c r="B788" t="s">
        <v>2108</v>
      </c>
      <c r="C788" t="s">
        <v>53</v>
      </c>
      <c r="D788" t="s">
        <v>156</v>
      </c>
      <c r="E788" t="s">
        <v>113</v>
      </c>
      <c r="F788" s="1">
        <v>43717</v>
      </c>
      <c r="G788">
        <v>2002</v>
      </c>
      <c r="H788" t="s">
        <v>63</v>
      </c>
      <c r="I788" t="s">
        <v>71</v>
      </c>
      <c r="J788" t="s">
        <v>23</v>
      </c>
      <c r="K788">
        <v>9.5</v>
      </c>
      <c r="L788">
        <v>6983680</v>
      </c>
      <c r="M788">
        <v>743045</v>
      </c>
      <c r="N788">
        <v>59</v>
      </c>
      <c r="O788" t="s">
        <v>4178</v>
      </c>
      <c r="P788" t="s">
        <v>4181</v>
      </c>
    </row>
    <row r="789" spans="1:16" x14ac:dyDescent="0.35">
      <c r="A789" t="s">
        <v>3695</v>
      </c>
      <c r="B789" t="s">
        <v>3696</v>
      </c>
      <c r="C789" t="s">
        <v>84</v>
      </c>
      <c r="D789" t="s">
        <v>156</v>
      </c>
      <c r="E789" t="s">
        <v>45</v>
      </c>
      <c r="F789" s="1">
        <v>43718</v>
      </c>
      <c r="G789">
        <v>2005</v>
      </c>
      <c r="H789" t="s">
        <v>63</v>
      </c>
      <c r="I789" t="s">
        <v>4224</v>
      </c>
      <c r="J789" t="s">
        <v>153</v>
      </c>
      <c r="K789">
        <v>4.7</v>
      </c>
      <c r="L789">
        <v>13555676</v>
      </c>
      <c r="M789">
        <v>4665027</v>
      </c>
      <c r="N789">
        <v>46</v>
      </c>
      <c r="O789" t="s">
        <v>24</v>
      </c>
      <c r="P789" t="s">
        <v>4181</v>
      </c>
    </row>
    <row r="790" spans="1:16" x14ac:dyDescent="0.35">
      <c r="A790" t="s">
        <v>2671</v>
      </c>
      <c r="B790" t="s">
        <v>2672</v>
      </c>
      <c r="C790" t="s">
        <v>4178</v>
      </c>
      <c r="D790" t="s">
        <v>19</v>
      </c>
      <c r="E790" t="s">
        <v>113</v>
      </c>
      <c r="F790" s="1">
        <v>43729</v>
      </c>
      <c r="G790">
        <v>2021</v>
      </c>
      <c r="H790" t="s">
        <v>107</v>
      </c>
      <c r="I790" t="s">
        <v>71</v>
      </c>
      <c r="J790" t="s">
        <v>96</v>
      </c>
      <c r="K790">
        <v>5.4</v>
      </c>
      <c r="L790">
        <v>16913350</v>
      </c>
      <c r="M790">
        <v>1234740</v>
      </c>
      <c r="N790">
        <v>90</v>
      </c>
      <c r="O790" t="s">
        <v>91</v>
      </c>
      <c r="P790" t="s">
        <v>87</v>
      </c>
    </row>
    <row r="791" spans="1:16" x14ac:dyDescent="0.35">
      <c r="A791" t="s">
        <v>2231</v>
      </c>
      <c r="B791" t="s">
        <v>2232</v>
      </c>
      <c r="C791" t="s">
        <v>53</v>
      </c>
      <c r="D791" t="s">
        <v>156</v>
      </c>
      <c r="E791" t="s">
        <v>28</v>
      </c>
      <c r="F791" s="1">
        <v>43730</v>
      </c>
      <c r="G791">
        <v>2016</v>
      </c>
      <c r="H791" t="s">
        <v>121</v>
      </c>
      <c r="I791" t="s">
        <v>162</v>
      </c>
      <c r="J791" t="s">
        <v>153</v>
      </c>
      <c r="K791">
        <v>4.7</v>
      </c>
      <c r="L791">
        <v>22315968</v>
      </c>
      <c r="M791">
        <v>22677</v>
      </c>
      <c r="N791">
        <v>46</v>
      </c>
      <c r="O791" t="s">
        <v>58</v>
      </c>
      <c r="P791" t="s">
        <v>87</v>
      </c>
    </row>
    <row r="792" spans="1:16" x14ac:dyDescent="0.35">
      <c r="A792" t="s">
        <v>267</v>
      </c>
      <c r="B792" t="s">
        <v>268</v>
      </c>
      <c r="C792" t="s">
        <v>4178</v>
      </c>
      <c r="D792" t="s">
        <v>19</v>
      </c>
      <c r="E792" t="s">
        <v>62</v>
      </c>
      <c r="F792" s="1">
        <v>43731</v>
      </c>
      <c r="G792">
        <v>2010</v>
      </c>
      <c r="H792" t="s">
        <v>21</v>
      </c>
      <c r="I792" t="s">
        <v>39</v>
      </c>
      <c r="J792" t="s">
        <v>72</v>
      </c>
      <c r="K792">
        <v>6.1</v>
      </c>
      <c r="L792">
        <v>13556920</v>
      </c>
      <c r="M792">
        <v>2800461</v>
      </c>
      <c r="N792">
        <v>57</v>
      </c>
      <c r="O792" t="s">
        <v>65</v>
      </c>
      <c r="P792" t="s">
        <v>50</v>
      </c>
    </row>
    <row r="793" spans="1:16" x14ac:dyDescent="0.35">
      <c r="A793" t="s">
        <v>2388</v>
      </c>
      <c r="B793" t="s">
        <v>2389</v>
      </c>
      <c r="C793" t="s">
        <v>84</v>
      </c>
      <c r="D793" t="s">
        <v>68</v>
      </c>
      <c r="E793" t="s">
        <v>113</v>
      </c>
      <c r="F793" s="1">
        <v>43739</v>
      </c>
      <c r="G793">
        <v>2032</v>
      </c>
      <c r="H793" t="s">
        <v>107</v>
      </c>
      <c r="I793" t="s">
        <v>4265</v>
      </c>
      <c r="J793" t="s">
        <v>72</v>
      </c>
      <c r="K793">
        <v>7.4</v>
      </c>
      <c r="L793">
        <v>-189</v>
      </c>
      <c r="M793">
        <v>3231644</v>
      </c>
      <c r="N793">
        <v>46</v>
      </c>
      <c r="O793" t="s">
        <v>65</v>
      </c>
      <c r="P793" t="s">
        <v>87</v>
      </c>
    </row>
    <row r="794" spans="1:16" x14ac:dyDescent="0.35">
      <c r="A794" t="s">
        <v>3153</v>
      </c>
      <c r="B794" t="s">
        <v>3154</v>
      </c>
      <c r="C794" t="s">
        <v>84</v>
      </c>
      <c r="D794" t="s">
        <v>54</v>
      </c>
      <c r="E794" t="s">
        <v>37</v>
      </c>
      <c r="F794" s="1">
        <v>43743</v>
      </c>
      <c r="G794">
        <v>2009</v>
      </c>
      <c r="H794" t="s">
        <v>107</v>
      </c>
      <c r="I794" t="s">
        <v>4223</v>
      </c>
      <c r="J794" t="s">
        <v>72</v>
      </c>
      <c r="K794">
        <v>7.8</v>
      </c>
      <c r="L794">
        <v>4867221</v>
      </c>
      <c r="M794">
        <v>4487481</v>
      </c>
      <c r="N794">
        <v>54</v>
      </c>
      <c r="O794" t="s">
        <v>31</v>
      </c>
      <c r="P794" t="s">
        <v>4181</v>
      </c>
    </row>
    <row r="795" spans="1:16" x14ac:dyDescent="0.35">
      <c r="A795" t="s">
        <v>3624</v>
      </c>
      <c r="B795" t="s">
        <v>3625</v>
      </c>
      <c r="C795" t="s">
        <v>4178</v>
      </c>
      <c r="D795" t="s">
        <v>54</v>
      </c>
      <c r="E795" t="s">
        <v>4178</v>
      </c>
      <c r="F795" s="1">
        <v>43743</v>
      </c>
      <c r="G795">
        <v>2011</v>
      </c>
      <c r="H795" t="s">
        <v>81</v>
      </c>
      <c r="I795" t="s">
        <v>71</v>
      </c>
      <c r="J795" t="s">
        <v>153</v>
      </c>
      <c r="K795">
        <v>9.3000000000000007</v>
      </c>
      <c r="L795">
        <v>2088286</v>
      </c>
      <c r="M795">
        <v>2581911</v>
      </c>
      <c r="N795">
        <v>79</v>
      </c>
      <c r="O795" t="s">
        <v>41</v>
      </c>
      <c r="P795" t="s">
        <v>4178</v>
      </c>
    </row>
    <row r="796" spans="1:16" x14ac:dyDescent="0.35">
      <c r="A796" t="s">
        <v>1475</v>
      </c>
      <c r="B796" t="s">
        <v>4317</v>
      </c>
      <c r="C796" t="s">
        <v>84</v>
      </c>
      <c r="D796" t="s">
        <v>27</v>
      </c>
      <c r="E796" t="s">
        <v>4196</v>
      </c>
      <c r="F796" s="1">
        <v>43744</v>
      </c>
      <c r="G796">
        <v>2010</v>
      </c>
      <c r="H796" t="s">
        <v>4178</v>
      </c>
      <c r="I796" t="s">
        <v>4177</v>
      </c>
      <c r="J796" t="s">
        <v>72</v>
      </c>
      <c r="K796">
        <v>8.3000000000000007</v>
      </c>
      <c r="L796">
        <v>7858007</v>
      </c>
      <c r="M796">
        <v>3364777</v>
      </c>
      <c r="N796">
        <v>47</v>
      </c>
      <c r="O796" t="s">
        <v>4178</v>
      </c>
      <c r="P796" t="s">
        <v>4178</v>
      </c>
    </row>
    <row r="797" spans="1:16" x14ac:dyDescent="0.35">
      <c r="A797" t="s">
        <v>678</v>
      </c>
      <c r="B797" t="s">
        <v>679</v>
      </c>
      <c r="C797" t="s">
        <v>53</v>
      </c>
      <c r="D797" t="s">
        <v>36</v>
      </c>
      <c r="E797" t="s">
        <v>62</v>
      </c>
      <c r="F797" s="1">
        <v>43749</v>
      </c>
      <c r="G797">
        <v>2011</v>
      </c>
      <c r="H797" t="s">
        <v>121</v>
      </c>
      <c r="I797" t="s">
        <v>71</v>
      </c>
      <c r="J797" t="s">
        <v>133</v>
      </c>
      <c r="K797">
        <v>8.4</v>
      </c>
      <c r="L797">
        <v>7855189</v>
      </c>
      <c r="M797">
        <v>3626333</v>
      </c>
      <c r="N797">
        <v>83</v>
      </c>
      <c r="O797" t="s">
        <v>123</v>
      </c>
      <c r="P797" t="s">
        <v>50</v>
      </c>
    </row>
    <row r="798" spans="1:16" x14ac:dyDescent="0.35">
      <c r="A798" t="s">
        <v>2443</v>
      </c>
      <c r="B798" t="s">
        <v>2444</v>
      </c>
      <c r="C798" t="s">
        <v>53</v>
      </c>
      <c r="D798" t="s">
        <v>27</v>
      </c>
      <c r="E798" t="s">
        <v>45</v>
      </c>
      <c r="F798" s="1">
        <v>43749</v>
      </c>
      <c r="G798">
        <v>2003</v>
      </c>
      <c r="H798" t="s">
        <v>107</v>
      </c>
      <c r="I798" t="s">
        <v>56</v>
      </c>
      <c r="J798" t="s">
        <v>48</v>
      </c>
      <c r="K798">
        <v>8.8000000000000007</v>
      </c>
      <c r="L798">
        <v>11078217</v>
      </c>
      <c r="M798">
        <v>1335283</v>
      </c>
      <c r="N798">
        <v>52</v>
      </c>
      <c r="O798" t="s">
        <v>49</v>
      </c>
      <c r="P798" t="s">
        <v>4181</v>
      </c>
    </row>
    <row r="799" spans="1:16" x14ac:dyDescent="0.35">
      <c r="A799" t="s">
        <v>3703</v>
      </c>
      <c r="B799" t="s">
        <v>3704</v>
      </c>
      <c r="C799" t="s">
        <v>84</v>
      </c>
      <c r="D799" t="s">
        <v>156</v>
      </c>
      <c r="E799" t="s">
        <v>131</v>
      </c>
      <c r="F799" s="1">
        <v>43752</v>
      </c>
      <c r="G799">
        <v>2011</v>
      </c>
      <c r="H799" t="s">
        <v>4178</v>
      </c>
      <c r="I799" t="s">
        <v>4235</v>
      </c>
      <c r="J799" t="s">
        <v>103</v>
      </c>
      <c r="K799">
        <v>5</v>
      </c>
      <c r="L799">
        <v>-753</v>
      </c>
      <c r="M799">
        <v>1535146</v>
      </c>
      <c r="N799">
        <v>69</v>
      </c>
      <c r="O799" t="s">
        <v>65</v>
      </c>
      <c r="P799" t="s">
        <v>4181</v>
      </c>
    </row>
    <row r="800" spans="1:16" x14ac:dyDescent="0.35">
      <c r="A800" t="s">
        <v>613</v>
      </c>
      <c r="B800" t="s">
        <v>614</v>
      </c>
      <c r="C800" t="s">
        <v>4178</v>
      </c>
      <c r="D800" t="s">
        <v>156</v>
      </c>
      <c r="E800" t="s">
        <v>62</v>
      </c>
      <c r="F800" s="1">
        <v>43753</v>
      </c>
      <c r="G800">
        <v>2020</v>
      </c>
      <c r="H800" t="s">
        <v>107</v>
      </c>
      <c r="I800" t="s">
        <v>64</v>
      </c>
      <c r="J800" t="s">
        <v>153</v>
      </c>
      <c r="K800">
        <v>8.1</v>
      </c>
      <c r="L800">
        <v>7854376</v>
      </c>
      <c r="M800">
        <v>3526487</v>
      </c>
      <c r="N800">
        <v>80</v>
      </c>
      <c r="O800" t="s">
        <v>49</v>
      </c>
      <c r="P800" t="s">
        <v>87</v>
      </c>
    </row>
    <row r="801" spans="1:16" x14ac:dyDescent="0.35">
      <c r="A801" t="s">
        <v>1059</v>
      </c>
      <c r="B801" t="s">
        <v>1060</v>
      </c>
      <c r="C801" t="s">
        <v>84</v>
      </c>
      <c r="D801" t="s">
        <v>61</v>
      </c>
      <c r="E801" t="s">
        <v>113</v>
      </c>
      <c r="F801" s="1">
        <v>43769</v>
      </c>
      <c r="G801">
        <v>2005</v>
      </c>
      <c r="H801" t="s">
        <v>4178</v>
      </c>
      <c r="I801" t="s">
        <v>4226</v>
      </c>
      <c r="J801" t="s">
        <v>96</v>
      </c>
      <c r="K801">
        <v>9.8000000000000007</v>
      </c>
      <c r="L801">
        <v>10781460</v>
      </c>
      <c r="M801">
        <v>1177729</v>
      </c>
      <c r="N801">
        <v>48</v>
      </c>
      <c r="O801" t="s">
        <v>58</v>
      </c>
      <c r="P801" t="s">
        <v>50</v>
      </c>
    </row>
    <row r="802" spans="1:16" x14ac:dyDescent="0.35">
      <c r="A802" t="s">
        <v>1201</v>
      </c>
      <c r="B802" t="s">
        <v>1202</v>
      </c>
      <c r="C802" t="s">
        <v>4178</v>
      </c>
      <c r="D802" t="s">
        <v>94</v>
      </c>
      <c r="E802" t="s">
        <v>113</v>
      </c>
      <c r="F802" s="1">
        <v>43770</v>
      </c>
      <c r="G802">
        <v>2011</v>
      </c>
      <c r="H802" t="s">
        <v>38</v>
      </c>
      <c r="I802" t="s">
        <v>4178</v>
      </c>
      <c r="J802" t="s">
        <v>72</v>
      </c>
      <c r="K802">
        <v>9.1999999999999993</v>
      </c>
      <c r="L802">
        <v>14082232</v>
      </c>
      <c r="M802">
        <v>215815</v>
      </c>
      <c r="N802">
        <v>60</v>
      </c>
      <c r="O802" t="s">
        <v>4178</v>
      </c>
      <c r="P802" t="s">
        <v>87</v>
      </c>
    </row>
    <row r="803" spans="1:16" x14ac:dyDescent="0.35">
      <c r="A803" t="s">
        <v>1446</v>
      </c>
      <c r="B803" t="s">
        <v>1447</v>
      </c>
      <c r="C803" t="s">
        <v>53</v>
      </c>
      <c r="D803" t="s">
        <v>19</v>
      </c>
      <c r="E803" t="s">
        <v>80</v>
      </c>
      <c r="F803" s="1">
        <v>43770</v>
      </c>
      <c r="G803">
        <v>2001</v>
      </c>
      <c r="H803" t="s">
        <v>81</v>
      </c>
      <c r="I803" t="s">
        <v>162</v>
      </c>
      <c r="J803" t="s">
        <v>23</v>
      </c>
      <c r="K803">
        <v>6.8</v>
      </c>
      <c r="L803">
        <v>6247316</v>
      </c>
      <c r="M803">
        <v>2521977</v>
      </c>
      <c r="N803">
        <v>100</v>
      </c>
      <c r="O803" t="s">
        <v>104</v>
      </c>
      <c r="P803" t="s">
        <v>50</v>
      </c>
    </row>
    <row r="804" spans="1:16" x14ac:dyDescent="0.35">
      <c r="A804" t="s">
        <v>1731</v>
      </c>
      <c r="B804" t="s">
        <v>1732</v>
      </c>
      <c r="C804" t="s">
        <v>84</v>
      </c>
      <c r="D804" t="s">
        <v>19</v>
      </c>
      <c r="E804" t="s">
        <v>4178</v>
      </c>
      <c r="F804" s="1">
        <v>43770</v>
      </c>
      <c r="G804">
        <v>2004</v>
      </c>
      <c r="H804" t="s">
        <v>85</v>
      </c>
      <c r="I804" t="s">
        <v>4234</v>
      </c>
      <c r="J804" t="s">
        <v>72</v>
      </c>
      <c r="K804">
        <v>8.3000000000000007</v>
      </c>
      <c r="L804">
        <v>21786897</v>
      </c>
      <c r="M804">
        <v>1268001</v>
      </c>
      <c r="N804">
        <v>51</v>
      </c>
      <c r="O804" t="s">
        <v>24</v>
      </c>
      <c r="P804" t="s">
        <v>32</v>
      </c>
    </row>
    <row r="805" spans="1:16" x14ac:dyDescent="0.35">
      <c r="A805" t="s">
        <v>995</v>
      </c>
      <c r="B805" t="s">
        <v>996</v>
      </c>
      <c r="C805" t="s">
        <v>4178</v>
      </c>
      <c r="D805" t="s">
        <v>94</v>
      </c>
      <c r="E805" t="s">
        <v>62</v>
      </c>
      <c r="F805" s="1">
        <v>43772</v>
      </c>
      <c r="G805">
        <v>2015</v>
      </c>
      <c r="H805" t="s">
        <v>63</v>
      </c>
      <c r="I805" t="s">
        <v>136</v>
      </c>
      <c r="J805" t="s">
        <v>133</v>
      </c>
      <c r="K805">
        <v>4.9000000000000004</v>
      </c>
      <c r="L805">
        <v>6073054</v>
      </c>
      <c r="M805">
        <v>4350610</v>
      </c>
      <c r="N805">
        <v>120</v>
      </c>
      <c r="O805" t="s">
        <v>49</v>
      </c>
      <c r="P805" t="s">
        <v>50</v>
      </c>
    </row>
    <row r="806" spans="1:16" x14ac:dyDescent="0.35">
      <c r="A806" t="s">
        <v>2579</v>
      </c>
      <c r="B806" t="s">
        <v>2580</v>
      </c>
      <c r="C806" t="s">
        <v>53</v>
      </c>
      <c r="D806" t="s">
        <v>68</v>
      </c>
      <c r="E806" t="s">
        <v>45</v>
      </c>
      <c r="F806" s="1">
        <v>43774</v>
      </c>
      <c r="G806">
        <v>2010</v>
      </c>
      <c r="H806" t="s">
        <v>81</v>
      </c>
      <c r="I806" t="s">
        <v>95</v>
      </c>
      <c r="J806" t="s">
        <v>23</v>
      </c>
      <c r="K806">
        <v>4.8</v>
      </c>
      <c r="L806">
        <v>22598783</v>
      </c>
      <c r="M806">
        <v>4785079</v>
      </c>
      <c r="N806">
        <v>72</v>
      </c>
      <c r="O806" t="s">
        <v>24</v>
      </c>
      <c r="P806" t="s">
        <v>87</v>
      </c>
    </row>
    <row r="807" spans="1:16" x14ac:dyDescent="0.35">
      <c r="A807" t="s">
        <v>2827</v>
      </c>
      <c r="B807" t="s">
        <v>2828</v>
      </c>
      <c r="C807" t="s">
        <v>84</v>
      </c>
      <c r="D807" t="s">
        <v>19</v>
      </c>
      <c r="E807" t="s">
        <v>113</v>
      </c>
      <c r="F807" s="1">
        <v>43774</v>
      </c>
      <c r="G807">
        <v>2003</v>
      </c>
      <c r="H807" t="s">
        <v>114</v>
      </c>
      <c r="I807" t="s">
        <v>4178</v>
      </c>
      <c r="J807" t="s">
        <v>23</v>
      </c>
      <c r="K807">
        <v>5.5</v>
      </c>
      <c r="L807">
        <v>18638453</v>
      </c>
      <c r="M807">
        <v>2626005</v>
      </c>
      <c r="N807">
        <v>99</v>
      </c>
      <c r="O807" t="s">
        <v>58</v>
      </c>
      <c r="P807" t="s">
        <v>50</v>
      </c>
    </row>
    <row r="808" spans="1:16" x14ac:dyDescent="0.35">
      <c r="A808" t="s">
        <v>911</v>
      </c>
      <c r="B808" t="s">
        <v>912</v>
      </c>
      <c r="C808" t="s">
        <v>4178</v>
      </c>
      <c r="D808" t="s">
        <v>27</v>
      </c>
      <c r="E808" t="s">
        <v>37</v>
      </c>
      <c r="F808" s="1">
        <v>43779</v>
      </c>
      <c r="G808">
        <v>2014</v>
      </c>
      <c r="H808" t="s">
        <v>63</v>
      </c>
      <c r="I808" t="s">
        <v>56</v>
      </c>
      <c r="J808" t="s">
        <v>57</v>
      </c>
      <c r="K808">
        <v>6.5</v>
      </c>
      <c r="L808">
        <v>5151369</v>
      </c>
      <c r="M808">
        <v>2345455</v>
      </c>
      <c r="N808">
        <v>65</v>
      </c>
      <c r="O808" t="s">
        <v>24</v>
      </c>
      <c r="P808" t="s">
        <v>4178</v>
      </c>
    </row>
    <row r="809" spans="1:16" x14ac:dyDescent="0.35">
      <c r="A809" t="s">
        <v>3810</v>
      </c>
      <c r="B809" t="s">
        <v>3811</v>
      </c>
      <c r="C809" t="s">
        <v>53</v>
      </c>
      <c r="D809" t="s">
        <v>156</v>
      </c>
      <c r="E809" t="s">
        <v>55</v>
      </c>
      <c r="F809" s="1">
        <v>43779</v>
      </c>
      <c r="G809">
        <v>2019</v>
      </c>
      <c r="H809" t="s">
        <v>114</v>
      </c>
      <c r="I809" t="s">
        <v>118</v>
      </c>
      <c r="J809" t="s">
        <v>133</v>
      </c>
      <c r="K809">
        <v>5.6</v>
      </c>
      <c r="L809">
        <v>6908693</v>
      </c>
      <c r="M809">
        <v>2430770</v>
      </c>
      <c r="N809">
        <v>72</v>
      </c>
      <c r="O809" t="s">
        <v>49</v>
      </c>
      <c r="P809" t="s">
        <v>4181</v>
      </c>
    </row>
    <row r="810" spans="1:16" x14ac:dyDescent="0.35">
      <c r="A810" t="s">
        <v>2256</v>
      </c>
      <c r="B810" t="s">
        <v>4351</v>
      </c>
      <c r="C810" t="s">
        <v>84</v>
      </c>
      <c r="D810" t="s">
        <v>90</v>
      </c>
      <c r="E810" t="s">
        <v>37</v>
      </c>
      <c r="F810" s="1">
        <v>43782</v>
      </c>
      <c r="G810">
        <v>2008</v>
      </c>
      <c r="H810" t="s">
        <v>85</v>
      </c>
      <c r="I810" t="s">
        <v>4214</v>
      </c>
      <c r="J810" t="s">
        <v>72</v>
      </c>
      <c r="K810">
        <v>8.6999999999999993</v>
      </c>
      <c r="L810">
        <v>15537402</v>
      </c>
      <c r="M810">
        <v>1096695</v>
      </c>
      <c r="N810">
        <v>63</v>
      </c>
      <c r="O810" t="s">
        <v>91</v>
      </c>
      <c r="P810" t="s">
        <v>4178</v>
      </c>
    </row>
    <row r="811" spans="1:16" x14ac:dyDescent="0.35">
      <c r="A811" t="s">
        <v>926</v>
      </c>
      <c r="B811" t="s">
        <v>927</v>
      </c>
      <c r="C811" t="s">
        <v>4178</v>
      </c>
      <c r="D811" t="s">
        <v>94</v>
      </c>
      <c r="E811" t="s">
        <v>4178</v>
      </c>
      <c r="F811" s="1">
        <v>43783</v>
      </c>
      <c r="G811">
        <v>2001</v>
      </c>
      <c r="H811" t="s">
        <v>121</v>
      </c>
      <c r="I811" t="s">
        <v>162</v>
      </c>
      <c r="J811" t="s">
        <v>30</v>
      </c>
      <c r="K811">
        <v>7.1</v>
      </c>
      <c r="L811">
        <v>14136291</v>
      </c>
      <c r="M811">
        <v>3934193</v>
      </c>
      <c r="N811">
        <v>120</v>
      </c>
      <c r="O811" t="s">
        <v>41</v>
      </c>
      <c r="P811" t="s">
        <v>50</v>
      </c>
    </row>
    <row r="812" spans="1:16" x14ac:dyDescent="0.35">
      <c r="A812" t="s">
        <v>3307</v>
      </c>
      <c r="B812" t="s">
        <v>4376</v>
      </c>
      <c r="C812" t="s">
        <v>4178</v>
      </c>
      <c r="D812" t="s">
        <v>94</v>
      </c>
      <c r="E812" t="s">
        <v>4178</v>
      </c>
      <c r="F812" s="1">
        <v>43789</v>
      </c>
      <c r="G812">
        <v>2008</v>
      </c>
      <c r="H812" t="s">
        <v>63</v>
      </c>
      <c r="I812" t="s">
        <v>71</v>
      </c>
      <c r="J812" t="s">
        <v>72</v>
      </c>
      <c r="K812">
        <v>9.3000000000000007</v>
      </c>
      <c r="L812">
        <v>15530132</v>
      </c>
      <c r="M812">
        <v>1813257</v>
      </c>
      <c r="N812">
        <v>66</v>
      </c>
      <c r="O812" t="s">
        <v>65</v>
      </c>
      <c r="P812" t="s">
        <v>4178</v>
      </c>
    </row>
    <row r="813" spans="1:16" x14ac:dyDescent="0.35">
      <c r="A813" t="s">
        <v>3868</v>
      </c>
      <c r="B813" t="s">
        <v>3869</v>
      </c>
      <c r="C813" t="s">
        <v>84</v>
      </c>
      <c r="D813" t="s">
        <v>54</v>
      </c>
      <c r="E813" t="s">
        <v>45</v>
      </c>
      <c r="F813" s="1">
        <v>43790</v>
      </c>
      <c r="G813">
        <v>2000</v>
      </c>
      <c r="H813" t="s">
        <v>4178</v>
      </c>
      <c r="I813" t="s">
        <v>4301</v>
      </c>
      <c r="J813" t="s">
        <v>96</v>
      </c>
      <c r="K813">
        <v>7.3</v>
      </c>
      <c r="L813">
        <v>2166336</v>
      </c>
      <c r="M813">
        <v>4236722</v>
      </c>
      <c r="N813">
        <v>79</v>
      </c>
      <c r="O813" t="s">
        <v>65</v>
      </c>
      <c r="P813" t="s">
        <v>87</v>
      </c>
    </row>
    <row r="814" spans="1:16" x14ac:dyDescent="0.35">
      <c r="A814" t="s">
        <v>1679</v>
      </c>
      <c r="B814" t="s">
        <v>1680</v>
      </c>
      <c r="C814" t="s">
        <v>4178</v>
      </c>
      <c r="D814" t="s">
        <v>19</v>
      </c>
      <c r="E814" t="s">
        <v>131</v>
      </c>
      <c r="F814" s="1">
        <v>43791</v>
      </c>
      <c r="G814">
        <v>2025</v>
      </c>
      <c r="H814" t="s">
        <v>81</v>
      </c>
      <c r="I814" t="s">
        <v>95</v>
      </c>
      <c r="J814" t="s">
        <v>4178</v>
      </c>
      <c r="K814">
        <v>7.4</v>
      </c>
      <c r="L814">
        <v>15787592</v>
      </c>
      <c r="M814">
        <v>4235314</v>
      </c>
      <c r="N814">
        <v>83</v>
      </c>
      <c r="O814" t="s">
        <v>41</v>
      </c>
      <c r="P814" t="s">
        <v>87</v>
      </c>
    </row>
    <row r="815" spans="1:16" x14ac:dyDescent="0.35">
      <c r="A815" t="s">
        <v>3447</v>
      </c>
      <c r="B815" t="s">
        <v>3446</v>
      </c>
      <c r="C815" t="s">
        <v>84</v>
      </c>
      <c r="D815" t="s">
        <v>68</v>
      </c>
      <c r="E815" t="s">
        <v>45</v>
      </c>
      <c r="F815" s="1">
        <v>43794</v>
      </c>
      <c r="G815">
        <v>2001</v>
      </c>
      <c r="H815" t="s">
        <v>21</v>
      </c>
      <c r="I815" t="s">
        <v>4292</v>
      </c>
      <c r="J815" t="s">
        <v>96</v>
      </c>
      <c r="K815">
        <v>8.6999999999999993</v>
      </c>
      <c r="L815">
        <v>13660381</v>
      </c>
      <c r="M815">
        <v>3399980</v>
      </c>
      <c r="N815">
        <v>97</v>
      </c>
      <c r="O815" t="s">
        <v>65</v>
      </c>
      <c r="P815" t="s">
        <v>4181</v>
      </c>
    </row>
    <row r="816" spans="1:16" x14ac:dyDescent="0.35">
      <c r="A816" t="s">
        <v>2451</v>
      </c>
      <c r="B816" t="s">
        <v>2452</v>
      </c>
      <c r="C816" t="s">
        <v>4178</v>
      </c>
      <c r="D816" t="s">
        <v>4178</v>
      </c>
      <c r="E816" t="s">
        <v>20</v>
      </c>
      <c r="F816" s="1">
        <v>43795</v>
      </c>
      <c r="G816">
        <v>2006</v>
      </c>
      <c r="H816" t="s">
        <v>63</v>
      </c>
      <c r="I816" t="s">
        <v>118</v>
      </c>
      <c r="J816" t="s">
        <v>133</v>
      </c>
      <c r="K816">
        <v>6.4</v>
      </c>
      <c r="L816">
        <v>21207219</v>
      </c>
      <c r="M816">
        <v>4630444</v>
      </c>
      <c r="N816">
        <v>48</v>
      </c>
      <c r="O816" t="s">
        <v>24</v>
      </c>
      <c r="P816" t="s">
        <v>4178</v>
      </c>
    </row>
    <row r="817" spans="1:16" x14ac:dyDescent="0.35">
      <c r="A817" t="s">
        <v>2284</v>
      </c>
      <c r="B817" t="s">
        <v>2285</v>
      </c>
      <c r="C817" t="s">
        <v>53</v>
      </c>
      <c r="D817" t="s">
        <v>54</v>
      </c>
      <c r="E817" t="s">
        <v>45</v>
      </c>
      <c r="F817" s="1">
        <v>43796</v>
      </c>
      <c r="G817">
        <v>2016</v>
      </c>
      <c r="H817" t="s">
        <v>38</v>
      </c>
      <c r="I817" t="s">
        <v>64</v>
      </c>
      <c r="J817" t="s">
        <v>72</v>
      </c>
      <c r="K817">
        <v>5.7</v>
      </c>
      <c r="L817">
        <v>24079358</v>
      </c>
      <c r="M817">
        <v>4286065</v>
      </c>
      <c r="N817">
        <v>75</v>
      </c>
      <c r="O817" t="s">
        <v>4178</v>
      </c>
      <c r="P817" t="s">
        <v>4181</v>
      </c>
    </row>
    <row r="818" spans="1:16" x14ac:dyDescent="0.35">
      <c r="A818" t="s">
        <v>2166</v>
      </c>
      <c r="B818" t="s">
        <v>4345</v>
      </c>
      <c r="C818" t="s">
        <v>4178</v>
      </c>
      <c r="D818" t="s">
        <v>19</v>
      </c>
      <c r="E818" t="s">
        <v>45</v>
      </c>
      <c r="F818" s="1">
        <v>43798</v>
      </c>
      <c r="G818">
        <v>2024</v>
      </c>
      <c r="H818" t="s">
        <v>85</v>
      </c>
      <c r="I818" t="s">
        <v>71</v>
      </c>
      <c r="J818" t="s">
        <v>133</v>
      </c>
      <c r="K818">
        <v>5.8</v>
      </c>
      <c r="L818">
        <v>16615215</v>
      </c>
      <c r="M818">
        <v>405702</v>
      </c>
      <c r="N818">
        <v>57</v>
      </c>
      <c r="O818" t="s">
        <v>31</v>
      </c>
      <c r="P818" t="s">
        <v>32</v>
      </c>
    </row>
    <row r="819" spans="1:16" x14ac:dyDescent="0.35">
      <c r="A819" t="s">
        <v>4075</v>
      </c>
      <c r="B819" t="s">
        <v>4076</v>
      </c>
      <c r="C819" t="s">
        <v>4178</v>
      </c>
      <c r="D819" t="s">
        <v>61</v>
      </c>
      <c r="E819" t="s">
        <v>113</v>
      </c>
      <c r="F819" s="1">
        <v>43798</v>
      </c>
      <c r="G819">
        <v>2024</v>
      </c>
      <c r="H819" t="s">
        <v>38</v>
      </c>
      <c r="I819" t="s">
        <v>56</v>
      </c>
      <c r="J819" t="s">
        <v>72</v>
      </c>
      <c r="K819">
        <v>5.8</v>
      </c>
      <c r="L819">
        <v>5318120</v>
      </c>
      <c r="M819">
        <v>4797052</v>
      </c>
      <c r="N819">
        <v>99</v>
      </c>
      <c r="O819" t="s">
        <v>31</v>
      </c>
      <c r="P819" t="s">
        <v>87</v>
      </c>
    </row>
    <row r="820" spans="1:16" x14ac:dyDescent="0.35">
      <c r="A820" t="s">
        <v>1864</v>
      </c>
      <c r="B820" t="s">
        <v>1865</v>
      </c>
      <c r="C820" t="s">
        <v>4178</v>
      </c>
      <c r="D820" t="s">
        <v>36</v>
      </c>
      <c r="E820" t="s">
        <v>20</v>
      </c>
      <c r="F820" s="1">
        <v>43799</v>
      </c>
      <c r="G820">
        <v>2006</v>
      </c>
      <c r="H820" t="s">
        <v>38</v>
      </c>
      <c r="I820" t="s">
        <v>39</v>
      </c>
      <c r="J820" t="s">
        <v>48</v>
      </c>
      <c r="K820">
        <v>7.5</v>
      </c>
      <c r="L820">
        <v>6500147</v>
      </c>
      <c r="M820">
        <v>4455288</v>
      </c>
      <c r="N820">
        <v>67</v>
      </c>
      <c r="O820" t="s">
        <v>123</v>
      </c>
      <c r="P820" t="s">
        <v>4178</v>
      </c>
    </row>
    <row r="821" spans="1:16" x14ac:dyDescent="0.35">
      <c r="A821" t="s">
        <v>1494</v>
      </c>
      <c r="B821" t="s">
        <v>1495</v>
      </c>
      <c r="C821" t="s">
        <v>84</v>
      </c>
      <c r="D821" t="s">
        <v>54</v>
      </c>
      <c r="E821" t="s">
        <v>131</v>
      </c>
      <c r="F821" s="1">
        <v>43801</v>
      </c>
      <c r="G821">
        <v>2000</v>
      </c>
      <c r="H821" t="s">
        <v>121</v>
      </c>
      <c r="I821" t="s">
        <v>4209</v>
      </c>
      <c r="J821" t="s">
        <v>57</v>
      </c>
      <c r="K821">
        <v>5.5</v>
      </c>
      <c r="L821">
        <v>9048504</v>
      </c>
      <c r="M821">
        <v>3233304</v>
      </c>
      <c r="N821">
        <v>48</v>
      </c>
      <c r="O821" t="s">
        <v>24</v>
      </c>
      <c r="P821" t="s">
        <v>50</v>
      </c>
    </row>
    <row r="822" spans="1:16" x14ac:dyDescent="0.35">
      <c r="A822" t="s">
        <v>2605</v>
      </c>
      <c r="B822" t="s">
        <v>2606</v>
      </c>
      <c r="C822" t="s">
        <v>84</v>
      </c>
      <c r="D822" t="s">
        <v>68</v>
      </c>
      <c r="E822" t="s">
        <v>4178</v>
      </c>
      <c r="F822" s="1">
        <v>43801</v>
      </c>
      <c r="G822">
        <v>2019</v>
      </c>
      <c r="H822" t="s">
        <v>107</v>
      </c>
      <c r="I822" t="s">
        <v>4198</v>
      </c>
      <c r="J822" t="s">
        <v>153</v>
      </c>
      <c r="K822">
        <v>6.9</v>
      </c>
      <c r="L822">
        <v>771392</v>
      </c>
      <c r="M822">
        <v>1855968</v>
      </c>
      <c r="N822">
        <v>76</v>
      </c>
      <c r="O822" t="s">
        <v>58</v>
      </c>
      <c r="P822" t="s">
        <v>50</v>
      </c>
    </row>
    <row r="823" spans="1:16" x14ac:dyDescent="0.35">
      <c r="A823" t="s">
        <v>3141</v>
      </c>
      <c r="B823" t="s">
        <v>3142</v>
      </c>
      <c r="C823" t="s">
        <v>84</v>
      </c>
      <c r="D823" t="s">
        <v>68</v>
      </c>
      <c r="E823" t="s">
        <v>113</v>
      </c>
      <c r="F823" s="1">
        <v>43801</v>
      </c>
      <c r="G823">
        <v>2015</v>
      </c>
      <c r="H823" t="s">
        <v>81</v>
      </c>
      <c r="I823" t="s">
        <v>4256</v>
      </c>
      <c r="J823" t="s">
        <v>103</v>
      </c>
      <c r="K823">
        <v>7.9</v>
      </c>
      <c r="L823">
        <v>2746280</v>
      </c>
      <c r="M823">
        <v>3654564</v>
      </c>
      <c r="N823">
        <v>77</v>
      </c>
      <c r="O823" t="s">
        <v>24</v>
      </c>
      <c r="P823" t="s">
        <v>32</v>
      </c>
    </row>
    <row r="824" spans="1:16" x14ac:dyDescent="0.35">
      <c r="A824" t="s">
        <v>2012</v>
      </c>
      <c r="B824" t="s">
        <v>2013</v>
      </c>
      <c r="C824" t="s">
        <v>53</v>
      </c>
      <c r="D824" t="s">
        <v>4178</v>
      </c>
      <c r="E824" t="s">
        <v>4178</v>
      </c>
      <c r="F824" s="1">
        <v>43803</v>
      </c>
      <c r="G824">
        <v>2017</v>
      </c>
      <c r="H824" t="s">
        <v>114</v>
      </c>
      <c r="I824" t="s">
        <v>56</v>
      </c>
      <c r="J824" t="s">
        <v>40</v>
      </c>
      <c r="K824">
        <v>5.3</v>
      </c>
      <c r="L824">
        <v>17273832</v>
      </c>
      <c r="M824">
        <v>2894939</v>
      </c>
      <c r="N824">
        <v>91</v>
      </c>
      <c r="O824" t="s">
        <v>24</v>
      </c>
      <c r="P824" t="s">
        <v>32</v>
      </c>
    </row>
    <row r="825" spans="1:16" x14ac:dyDescent="0.35">
      <c r="A825" t="s">
        <v>2406</v>
      </c>
      <c r="B825" t="s">
        <v>2407</v>
      </c>
      <c r="C825" t="s">
        <v>53</v>
      </c>
      <c r="D825" t="s">
        <v>156</v>
      </c>
      <c r="E825" t="s">
        <v>4178</v>
      </c>
      <c r="F825" s="1">
        <v>43803</v>
      </c>
      <c r="G825">
        <v>2018</v>
      </c>
      <c r="H825" t="s">
        <v>107</v>
      </c>
      <c r="I825" t="s">
        <v>162</v>
      </c>
      <c r="J825" t="s">
        <v>72</v>
      </c>
      <c r="K825">
        <v>9.1</v>
      </c>
      <c r="L825">
        <v>10319839</v>
      </c>
      <c r="M825">
        <v>4135576</v>
      </c>
      <c r="N825">
        <v>74</v>
      </c>
      <c r="O825" t="s">
        <v>41</v>
      </c>
      <c r="P825" t="s">
        <v>32</v>
      </c>
    </row>
    <row r="826" spans="1:16" x14ac:dyDescent="0.35">
      <c r="A826" t="s">
        <v>3745</v>
      </c>
      <c r="B826" t="s">
        <v>3746</v>
      </c>
      <c r="C826" t="s">
        <v>84</v>
      </c>
      <c r="D826" t="s">
        <v>61</v>
      </c>
      <c r="E826" t="s">
        <v>80</v>
      </c>
      <c r="F826" s="1">
        <v>43804</v>
      </c>
      <c r="G826">
        <v>2022</v>
      </c>
      <c r="H826" t="s">
        <v>21</v>
      </c>
      <c r="I826" t="s">
        <v>4210</v>
      </c>
      <c r="J826" t="s">
        <v>96</v>
      </c>
      <c r="K826">
        <v>9.1999999999999993</v>
      </c>
      <c r="L826">
        <v>15723165</v>
      </c>
      <c r="M826">
        <v>2762158</v>
      </c>
      <c r="N826">
        <v>93</v>
      </c>
      <c r="O826" t="s">
        <v>65</v>
      </c>
      <c r="P826" t="s">
        <v>4181</v>
      </c>
    </row>
    <row r="827" spans="1:16" x14ac:dyDescent="0.35">
      <c r="A827" t="s">
        <v>154</v>
      </c>
      <c r="B827" t="s">
        <v>155</v>
      </c>
      <c r="C827" t="s">
        <v>84</v>
      </c>
      <c r="D827" t="s">
        <v>156</v>
      </c>
      <c r="E827" t="s">
        <v>4178</v>
      </c>
      <c r="F827" s="1">
        <v>43807</v>
      </c>
      <c r="G827">
        <v>2010</v>
      </c>
      <c r="H827" t="s">
        <v>107</v>
      </c>
      <c r="I827" t="s">
        <v>4195</v>
      </c>
      <c r="J827" t="s">
        <v>103</v>
      </c>
      <c r="K827">
        <v>5</v>
      </c>
      <c r="L827">
        <v>3066618</v>
      </c>
      <c r="M827">
        <v>2679379</v>
      </c>
      <c r="N827">
        <v>56</v>
      </c>
      <c r="O827" t="s">
        <v>4178</v>
      </c>
      <c r="P827" t="s">
        <v>4181</v>
      </c>
    </row>
    <row r="828" spans="1:16" x14ac:dyDescent="0.35">
      <c r="A828" t="s">
        <v>1521</v>
      </c>
      <c r="B828" t="s">
        <v>1522</v>
      </c>
      <c r="C828" t="s">
        <v>84</v>
      </c>
      <c r="D828" t="s">
        <v>68</v>
      </c>
      <c r="E828" t="s">
        <v>69</v>
      </c>
      <c r="F828" s="1">
        <v>43807</v>
      </c>
      <c r="G828">
        <v>2016</v>
      </c>
      <c r="H828" t="s">
        <v>107</v>
      </c>
      <c r="I828" t="s">
        <v>4286</v>
      </c>
      <c r="J828" t="s">
        <v>72</v>
      </c>
      <c r="K828">
        <v>4.5999999999999996</v>
      </c>
      <c r="L828">
        <v>11837233</v>
      </c>
      <c r="M828">
        <v>3375099</v>
      </c>
      <c r="N828">
        <v>73</v>
      </c>
      <c r="O828" t="s">
        <v>65</v>
      </c>
      <c r="P828" t="s">
        <v>32</v>
      </c>
    </row>
    <row r="829" spans="1:16" x14ac:dyDescent="0.35">
      <c r="A829" t="s">
        <v>2989</v>
      </c>
      <c r="B829" t="s">
        <v>2990</v>
      </c>
      <c r="C829" t="s">
        <v>53</v>
      </c>
      <c r="D829" t="s">
        <v>94</v>
      </c>
      <c r="E829" t="s">
        <v>4196</v>
      </c>
      <c r="F829" s="1">
        <v>43815</v>
      </c>
      <c r="G829">
        <v>2024</v>
      </c>
      <c r="H829" t="s">
        <v>107</v>
      </c>
      <c r="I829" t="s">
        <v>118</v>
      </c>
      <c r="J829" t="s">
        <v>103</v>
      </c>
      <c r="K829">
        <v>9.1999999999999993</v>
      </c>
      <c r="L829">
        <v>1043502</v>
      </c>
      <c r="M829">
        <v>3795056</v>
      </c>
      <c r="N829">
        <v>80</v>
      </c>
      <c r="O829" t="s">
        <v>49</v>
      </c>
      <c r="P829" t="s">
        <v>50</v>
      </c>
    </row>
    <row r="830" spans="1:16" x14ac:dyDescent="0.35">
      <c r="A830" t="s">
        <v>3553</v>
      </c>
      <c r="B830" t="s">
        <v>3554</v>
      </c>
      <c r="C830" t="s">
        <v>53</v>
      </c>
      <c r="D830" t="s">
        <v>36</v>
      </c>
      <c r="E830" t="s">
        <v>99</v>
      </c>
      <c r="F830" s="1">
        <v>43816</v>
      </c>
      <c r="G830">
        <v>2001</v>
      </c>
      <c r="H830" t="s">
        <v>107</v>
      </c>
      <c r="I830" t="s">
        <v>4178</v>
      </c>
      <c r="J830" t="s">
        <v>133</v>
      </c>
      <c r="K830">
        <v>6.1</v>
      </c>
      <c r="L830">
        <v>15783546</v>
      </c>
      <c r="M830">
        <v>4130634</v>
      </c>
      <c r="N830">
        <v>76</v>
      </c>
      <c r="O830" t="s">
        <v>49</v>
      </c>
      <c r="P830" t="s">
        <v>50</v>
      </c>
    </row>
    <row r="831" spans="1:16" x14ac:dyDescent="0.35">
      <c r="A831" t="s">
        <v>1544</v>
      </c>
      <c r="B831" t="s">
        <v>1545</v>
      </c>
      <c r="C831" t="s">
        <v>4178</v>
      </c>
      <c r="D831" t="s">
        <v>27</v>
      </c>
      <c r="E831" t="s">
        <v>20</v>
      </c>
      <c r="F831" s="1">
        <v>43817</v>
      </c>
      <c r="G831">
        <v>2019</v>
      </c>
      <c r="H831" t="s">
        <v>107</v>
      </c>
      <c r="I831" t="s">
        <v>136</v>
      </c>
      <c r="J831" t="s">
        <v>23</v>
      </c>
      <c r="K831">
        <v>5.5</v>
      </c>
      <c r="L831">
        <v>10945164</v>
      </c>
      <c r="M831">
        <v>3404461</v>
      </c>
      <c r="N831">
        <v>40</v>
      </c>
      <c r="O831" t="s">
        <v>31</v>
      </c>
      <c r="P831" t="s">
        <v>87</v>
      </c>
    </row>
    <row r="832" spans="1:16" x14ac:dyDescent="0.35">
      <c r="A832" t="s">
        <v>1898</v>
      </c>
      <c r="B832" t="s">
        <v>1899</v>
      </c>
      <c r="C832" t="s">
        <v>84</v>
      </c>
      <c r="D832" t="s">
        <v>61</v>
      </c>
      <c r="E832" t="s">
        <v>99</v>
      </c>
      <c r="F832" s="1">
        <v>43817</v>
      </c>
      <c r="G832">
        <v>2017</v>
      </c>
      <c r="H832" t="s">
        <v>114</v>
      </c>
      <c r="I832" t="s">
        <v>4230</v>
      </c>
      <c r="J832" t="s">
        <v>133</v>
      </c>
      <c r="K832">
        <v>7.7</v>
      </c>
      <c r="L832">
        <v>4084053</v>
      </c>
      <c r="M832">
        <v>4549461</v>
      </c>
      <c r="N832">
        <v>72</v>
      </c>
      <c r="O832" t="s">
        <v>58</v>
      </c>
      <c r="P832" t="s">
        <v>87</v>
      </c>
    </row>
    <row r="833" spans="1:16" x14ac:dyDescent="0.35">
      <c r="A833" t="s">
        <v>1972</v>
      </c>
      <c r="B833" t="s">
        <v>1971</v>
      </c>
      <c r="C833" t="s">
        <v>4178</v>
      </c>
      <c r="D833" t="s">
        <v>19</v>
      </c>
      <c r="E833" t="s">
        <v>80</v>
      </c>
      <c r="F833" s="1">
        <v>43817</v>
      </c>
      <c r="G833">
        <v>2016</v>
      </c>
      <c r="H833" t="s">
        <v>21</v>
      </c>
      <c r="I833" t="s">
        <v>71</v>
      </c>
      <c r="J833" t="s">
        <v>72</v>
      </c>
      <c r="K833">
        <v>8</v>
      </c>
      <c r="L833">
        <v>438643</v>
      </c>
      <c r="M833">
        <v>21272</v>
      </c>
      <c r="N833">
        <v>69</v>
      </c>
      <c r="O833" t="s">
        <v>91</v>
      </c>
      <c r="P833" t="s">
        <v>4178</v>
      </c>
    </row>
    <row r="834" spans="1:16" x14ac:dyDescent="0.35">
      <c r="A834" t="s">
        <v>3220</v>
      </c>
      <c r="B834" t="s">
        <v>3221</v>
      </c>
      <c r="C834" t="s">
        <v>84</v>
      </c>
      <c r="D834" t="s">
        <v>4178</v>
      </c>
      <c r="E834" t="s">
        <v>69</v>
      </c>
      <c r="F834" s="1">
        <v>43817</v>
      </c>
      <c r="G834">
        <v>2018</v>
      </c>
      <c r="H834" t="s">
        <v>21</v>
      </c>
      <c r="I834" t="s">
        <v>4241</v>
      </c>
      <c r="J834" t="s">
        <v>30</v>
      </c>
      <c r="K834">
        <v>7.7</v>
      </c>
      <c r="L834">
        <v>6862772</v>
      </c>
      <c r="M834">
        <v>2945450</v>
      </c>
      <c r="N834">
        <v>86</v>
      </c>
      <c r="O834" t="s">
        <v>123</v>
      </c>
      <c r="P834" t="s">
        <v>50</v>
      </c>
    </row>
    <row r="835" spans="1:16" x14ac:dyDescent="0.35">
      <c r="A835" t="s">
        <v>2566</v>
      </c>
      <c r="B835" t="s">
        <v>2567</v>
      </c>
      <c r="C835" t="s">
        <v>84</v>
      </c>
      <c r="D835" t="s">
        <v>27</v>
      </c>
      <c r="E835" t="s">
        <v>45</v>
      </c>
      <c r="F835" s="1">
        <v>43819</v>
      </c>
      <c r="G835">
        <v>2015</v>
      </c>
      <c r="H835" t="s">
        <v>63</v>
      </c>
      <c r="I835" t="s">
        <v>4264</v>
      </c>
      <c r="J835" t="s">
        <v>133</v>
      </c>
      <c r="K835">
        <v>5.9</v>
      </c>
      <c r="L835">
        <v>16479978</v>
      </c>
      <c r="M835">
        <v>3697840</v>
      </c>
      <c r="N835">
        <v>95</v>
      </c>
      <c r="O835" t="s">
        <v>104</v>
      </c>
      <c r="P835" t="s">
        <v>32</v>
      </c>
    </row>
    <row r="836" spans="1:16" x14ac:dyDescent="0.35">
      <c r="A836" t="s">
        <v>327</v>
      </c>
      <c r="B836" t="s">
        <v>328</v>
      </c>
      <c r="C836" t="s">
        <v>84</v>
      </c>
      <c r="D836" t="s">
        <v>54</v>
      </c>
      <c r="E836" t="s">
        <v>20</v>
      </c>
      <c r="F836" s="1">
        <v>43820</v>
      </c>
      <c r="G836">
        <v>2006</v>
      </c>
      <c r="H836" t="s">
        <v>38</v>
      </c>
      <c r="I836" t="s">
        <v>4218</v>
      </c>
      <c r="J836" t="s">
        <v>57</v>
      </c>
      <c r="K836">
        <v>6.1</v>
      </c>
      <c r="L836">
        <v>10428803</v>
      </c>
      <c r="M836">
        <v>260730</v>
      </c>
      <c r="N836">
        <v>54</v>
      </c>
      <c r="O836" t="s">
        <v>31</v>
      </c>
      <c r="P836" t="s">
        <v>4178</v>
      </c>
    </row>
    <row r="837" spans="1:16" x14ac:dyDescent="0.35">
      <c r="A837" t="s">
        <v>3749</v>
      </c>
      <c r="B837" t="s">
        <v>3750</v>
      </c>
      <c r="C837" t="s">
        <v>84</v>
      </c>
      <c r="D837" t="s">
        <v>90</v>
      </c>
      <c r="E837" t="s">
        <v>4196</v>
      </c>
      <c r="F837" s="1">
        <v>43820</v>
      </c>
      <c r="G837">
        <v>2019</v>
      </c>
      <c r="H837" t="s">
        <v>114</v>
      </c>
      <c r="I837" t="s">
        <v>4264</v>
      </c>
      <c r="J837" t="s">
        <v>72</v>
      </c>
      <c r="K837">
        <v>8.6</v>
      </c>
      <c r="L837">
        <v>7698717</v>
      </c>
      <c r="M837">
        <v>2964080</v>
      </c>
      <c r="N837">
        <v>81</v>
      </c>
      <c r="O837" t="s">
        <v>58</v>
      </c>
      <c r="P837" t="s">
        <v>87</v>
      </c>
    </row>
    <row r="838" spans="1:16" x14ac:dyDescent="0.35">
      <c r="A838" t="s">
        <v>1203</v>
      </c>
      <c r="B838" t="s">
        <v>1204</v>
      </c>
      <c r="C838" t="s">
        <v>53</v>
      </c>
      <c r="D838" t="s">
        <v>54</v>
      </c>
      <c r="E838" t="s">
        <v>45</v>
      </c>
      <c r="F838" s="1">
        <v>43821</v>
      </c>
      <c r="G838">
        <v>2025</v>
      </c>
      <c r="H838" t="s">
        <v>46</v>
      </c>
      <c r="I838" t="s">
        <v>71</v>
      </c>
      <c r="J838" t="s">
        <v>23</v>
      </c>
      <c r="K838">
        <v>9.4</v>
      </c>
      <c r="L838">
        <v>11281098</v>
      </c>
      <c r="M838">
        <v>2792648</v>
      </c>
      <c r="N838">
        <v>120</v>
      </c>
      <c r="O838" t="s">
        <v>58</v>
      </c>
      <c r="P838" t="s">
        <v>87</v>
      </c>
    </row>
    <row r="839" spans="1:16" x14ac:dyDescent="0.35">
      <c r="A839" t="s">
        <v>1284</v>
      </c>
      <c r="B839" t="s">
        <v>1285</v>
      </c>
      <c r="C839" t="s">
        <v>84</v>
      </c>
      <c r="D839" t="s">
        <v>61</v>
      </c>
      <c r="E839" t="s">
        <v>4178</v>
      </c>
      <c r="F839" s="1">
        <v>43822</v>
      </c>
      <c r="G839">
        <v>2023</v>
      </c>
      <c r="H839" t="s">
        <v>63</v>
      </c>
      <c r="I839" t="s">
        <v>4212</v>
      </c>
      <c r="J839" t="s">
        <v>103</v>
      </c>
      <c r="K839">
        <v>4.5999999999999996</v>
      </c>
      <c r="L839">
        <v>20181782</v>
      </c>
      <c r="M839">
        <v>1512474</v>
      </c>
      <c r="N839">
        <v>53</v>
      </c>
      <c r="O839" t="s">
        <v>49</v>
      </c>
      <c r="P839" t="s">
        <v>4181</v>
      </c>
    </row>
    <row r="840" spans="1:16" x14ac:dyDescent="0.35">
      <c r="A840" t="s">
        <v>1661</v>
      </c>
      <c r="B840" t="s">
        <v>1662</v>
      </c>
      <c r="C840" t="s">
        <v>84</v>
      </c>
      <c r="D840" t="s">
        <v>90</v>
      </c>
      <c r="E840" t="s">
        <v>113</v>
      </c>
      <c r="F840" s="1">
        <v>43822</v>
      </c>
      <c r="G840">
        <v>2011</v>
      </c>
      <c r="H840" t="s">
        <v>107</v>
      </c>
      <c r="I840" t="s">
        <v>4315</v>
      </c>
      <c r="J840" t="s">
        <v>72</v>
      </c>
      <c r="K840">
        <v>7.5</v>
      </c>
      <c r="L840">
        <v>12696795</v>
      </c>
      <c r="M840">
        <v>4047768</v>
      </c>
      <c r="N840">
        <v>52</v>
      </c>
      <c r="O840" t="s">
        <v>65</v>
      </c>
      <c r="P840" t="s">
        <v>50</v>
      </c>
    </row>
    <row r="841" spans="1:16" x14ac:dyDescent="0.35">
      <c r="A841" t="s">
        <v>2156</v>
      </c>
      <c r="B841" t="s">
        <v>2157</v>
      </c>
      <c r="C841" t="s">
        <v>84</v>
      </c>
      <c r="D841" t="s">
        <v>61</v>
      </c>
      <c r="E841" t="s">
        <v>20</v>
      </c>
      <c r="F841" s="1">
        <v>43823</v>
      </c>
      <c r="G841">
        <v>2000</v>
      </c>
      <c r="H841" t="s">
        <v>85</v>
      </c>
      <c r="I841" t="s">
        <v>4315</v>
      </c>
      <c r="J841" t="s">
        <v>72</v>
      </c>
      <c r="K841">
        <v>9.1999999999999993</v>
      </c>
      <c r="L841">
        <v>12842571</v>
      </c>
      <c r="M841">
        <v>4022372</v>
      </c>
      <c r="N841">
        <v>72</v>
      </c>
      <c r="O841" t="s">
        <v>49</v>
      </c>
      <c r="P841" t="s">
        <v>4181</v>
      </c>
    </row>
    <row r="842" spans="1:16" x14ac:dyDescent="0.35">
      <c r="A842" t="s">
        <v>887</v>
      </c>
      <c r="B842" t="s">
        <v>886</v>
      </c>
      <c r="C842" t="s">
        <v>84</v>
      </c>
      <c r="D842" t="s">
        <v>4178</v>
      </c>
      <c r="E842" t="s">
        <v>131</v>
      </c>
      <c r="F842" s="1">
        <v>43825</v>
      </c>
      <c r="G842">
        <v>2020</v>
      </c>
      <c r="H842" t="s">
        <v>63</v>
      </c>
      <c r="I842" t="s">
        <v>4186</v>
      </c>
      <c r="J842" t="s">
        <v>96</v>
      </c>
      <c r="K842">
        <v>4.5</v>
      </c>
      <c r="L842">
        <v>12833817</v>
      </c>
      <c r="M842">
        <v>1722471</v>
      </c>
      <c r="N842">
        <v>92</v>
      </c>
      <c r="O842" t="s">
        <v>123</v>
      </c>
      <c r="P842" t="s">
        <v>4181</v>
      </c>
    </row>
    <row r="843" spans="1:16" x14ac:dyDescent="0.35">
      <c r="A843" t="s">
        <v>3806</v>
      </c>
      <c r="B843" t="s">
        <v>3807</v>
      </c>
      <c r="C843" t="s">
        <v>4178</v>
      </c>
      <c r="D843" t="s">
        <v>54</v>
      </c>
      <c r="E843" t="s">
        <v>62</v>
      </c>
      <c r="F843" s="1">
        <v>43825</v>
      </c>
      <c r="G843">
        <v>2008</v>
      </c>
      <c r="H843" t="s">
        <v>63</v>
      </c>
      <c r="I843" t="s">
        <v>118</v>
      </c>
      <c r="J843" t="s">
        <v>103</v>
      </c>
      <c r="K843">
        <v>6.4</v>
      </c>
      <c r="L843">
        <v>14850412</v>
      </c>
      <c r="M843">
        <v>121659</v>
      </c>
      <c r="N843">
        <v>66</v>
      </c>
      <c r="O843" t="s">
        <v>31</v>
      </c>
      <c r="P843" t="s">
        <v>87</v>
      </c>
    </row>
    <row r="844" spans="1:16" x14ac:dyDescent="0.35">
      <c r="A844" t="s">
        <v>1057</v>
      </c>
      <c r="B844" t="s">
        <v>1058</v>
      </c>
      <c r="C844" t="s">
        <v>84</v>
      </c>
      <c r="D844" t="s">
        <v>4178</v>
      </c>
      <c r="E844" t="s">
        <v>55</v>
      </c>
      <c r="F844" s="1">
        <v>43826</v>
      </c>
      <c r="G844">
        <v>2018</v>
      </c>
      <c r="H844" t="s">
        <v>121</v>
      </c>
      <c r="I844" t="s">
        <v>4206</v>
      </c>
      <c r="J844" t="s">
        <v>133</v>
      </c>
      <c r="K844">
        <v>11.2</v>
      </c>
      <c r="L844">
        <v>15128897</v>
      </c>
      <c r="M844">
        <v>2201562</v>
      </c>
      <c r="N844">
        <v>62</v>
      </c>
      <c r="O844" t="s">
        <v>4178</v>
      </c>
      <c r="P844" t="s">
        <v>4178</v>
      </c>
    </row>
    <row r="845" spans="1:16" x14ac:dyDescent="0.35">
      <c r="A845" t="s">
        <v>1154</v>
      </c>
      <c r="B845" t="s">
        <v>1155</v>
      </c>
      <c r="C845" t="s">
        <v>53</v>
      </c>
      <c r="D845" t="s">
        <v>4178</v>
      </c>
      <c r="E845" t="s">
        <v>62</v>
      </c>
      <c r="F845" s="1">
        <v>43826</v>
      </c>
      <c r="G845">
        <v>2009</v>
      </c>
      <c r="H845" t="s">
        <v>4178</v>
      </c>
      <c r="I845" t="s">
        <v>39</v>
      </c>
      <c r="J845" t="s">
        <v>153</v>
      </c>
      <c r="K845">
        <v>6.1</v>
      </c>
      <c r="L845">
        <v>9728485</v>
      </c>
      <c r="M845">
        <v>1953228</v>
      </c>
      <c r="N845">
        <v>41</v>
      </c>
      <c r="O845" t="s">
        <v>123</v>
      </c>
      <c r="P845" t="s">
        <v>50</v>
      </c>
    </row>
    <row r="846" spans="1:16" x14ac:dyDescent="0.35">
      <c r="A846" t="s">
        <v>2840</v>
      </c>
      <c r="B846" t="s">
        <v>2841</v>
      </c>
      <c r="C846" t="s">
        <v>84</v>
      </c>
      <c r="D846" t="s">
        <v>156</v>
      </c>
      <c r="E846" t="s">
        <v>28</v>
      </c>
      <c r="F846" s="1">
        <v>43826</v>
      </c>
      <c r="G846">
        <v>2008</v>
      </c>
      <c r="H846" t="s">
        <v>121</v>
      </c>
      <c r="I846" t="s">
        <v>4226</v>
      </c>
      <c r="J846" t="s">
        <v>30</v>
      </c>
      <c r="K846">
        <v>8.8000000000000007</v>
      </c>
      <c r="L846">
        <v>16268609</v>
      </c>
      <c r="M846">
        <v>952720</v>
      </c>
      <c r="N846">
        <v>44</v>
      </c>
      <c r="O846" t="s">
        <v>41</v>
      </c>
      <c r="P846" t="s">
        <v>87</v>
      </c>
    </row>
    <row r="847" spans="1:16" x14ac:dyDescent="0.35">
      <c r="A847" t="s">
        <v>2154</v>
      </c>
      <c r="B847" t="s">
        <v>2155</v>
      </c>
      <c r="C847" t="s">
        <v>84</v>
      </c>
      <c r="D847" t="s">
        <v>36</v>
      </c>
      <c r="E847" t="s">
        <v>28</v>
      </c>
      <c r="F847" s="1">
        <v>43829</v>
      </c>
      <c r="G847">
        <v>2004</v>
      </c>
      <c r="H847" t="s">
        <v>121</v>
      </c>
      <c r="I847" t="s">
        <v>4246</v>
      </c>
      <c r="J847" t="s">
        <v>72</v>
      </c>
      <c r="K847">
        <v>8.1999999999999993</v>
      </c>
      <c r="L847">
        <v>1672112</v>
      </c>
      <c r="M847">
        <v>4133457</v>
      </c>
      <c r="N847">
        <v>88</v>
      </c>
      <c r="O847" t="s">
        <v>31</v>
      </c>
      <c r="P847" t="s">
        <v>50</v>
      </c>
    </row>
    <row r="848" spans="1:16" x14ac:dyDescent="0.35">
      <c r="A848" t="s">
        <v>3826</v>
      </c>
      <c r="B848" t="s">
        <v>3827</v>
      </c>
      <c r="C848" t="s">
        <v>4178</v>
      </c>
      <c r="D848" t="s">
        <v>4178</v>
      </c>
      <c r="E848" t="s">
        <v>55</v>
      </c>
      <c r="F848" s="1">
        <v>43831</v>
      </c>
      <c r="G848">
        <v>2026</v>
      </c>
      <c r="H848" t="s">
        <v>121</v>
      </c>
      <c r="I848" t="s">
        <v>71</v>
      </c>
      <c r="J848" t="s">
        <v>153</v>
      </c>
      <c r="K848">
        <v>8.6</v>
      </c>
      <c r="L848">
        <v>16678530</v>
      </c>
      <c r="M848">
        <v>616028</v>
      </c>
      <c r="N848">
        <v>64</v>
      </c>
      <c r="O848" t="s">
        <v>31</v>
      </c>
      <c r="P848" t="s">
        <v>50</v>
      </c>
    </row>
    <row r="849" spans="1:16" x14ac:dyDescent="0.35">
      <c r="A849" t="s">
        <v>2174</v>
      </c>
      <c r="B849" t="s">
        <v>2175</v>
      </c>
      <c r="C849" t="s">
        <v>84</v>
      </c>
      <c r="D849" t="s">
        <v>61</v>
      </c>
      <c r="E849" t="s">
        <v>20</v>
      </c>
      <c r="F849" s="1">
        <v>43833</v>
      </c>
      <c r="G849">
        <v>2010</v>
      </c>
      <c r="H849" t="s">
        <v>107</v>
      </c>
      <c r="I849" t="s">
        <v>4227</v>
      </c>
      <c r="J849" t="s">
        <v>57</v>
      </c>
      <c r="K849">
        <v>6.8</v>
      </c>
      <c r="L849">
        <v>14065570</v>
      </c>
      <c r="M849">
        <v>3744985</v>
      </c>
      <c r="N849">
        <v>79</v>
      </c>
      <c r="O849" t="s">
        <v>24</v>
      </c>
      <c r="P849" t="s">
        <v>4178</v>
      </c>
    </row>
    <row r="850" spans="1:16" x14ac:dyDescent="0.35">
      <c r="A850" t="s">
        <v>3600</v>
      </c>
      <c r="B850" t="s">
        <v>3601</v>
      </c>
      <c r="C850" t="s">
        <v>53</v>
      </c>
      <c r="D850" t="s">
        <v>94</v>
      </c>
      <c r="E850" t="s">
        <v>20</v>
      </c>
      <c r="F850" s="1">
        <v>43834</v>
      </c>
      <c r="G850">
        <v>2016</v>
      </c>
      <c r="H850" t="s">
        <v>63</v>
      </c>
      <c r="I850" t="s">
        <v>71</v>
      </c>
      <c r="J850" t="s">
        <v>153</v>
      </c>
      <c r="K850">
        <v>7.3</v>
      </c>
      <c r="L850">
        <v>11544212</v>
      </c>
      <c r="M850">
        <v>67951</v>
      </c>
      <c r="N850">
        <v>63</v>
      </c>
      <c r="O850" t="s">
        <v>104</v>
      </c>
      <c r="P850" t="s">
        <v>87</v>
      </c>
    </row>
    <row r="851" spans="1:16" x14ac:dyDescent="0.35">
      <c r="A851" t="s">
        <v>1696</v>
      </c>
      <c r="B851" t="s">
        <v>1697</v>
      </c>
      <c r="C851" t="s">
        <v>84</v>
      </c>
      <c r="D851" t="s">
        <v>27</v>
      </c>
      <c r="E851" t="s">
        <v>131</v>
      </c>
      <c r="F851" s="1">
        <v>43839</v>
      </c>
      <c r="G851">
        <v>2019</v>
      </c>
      <c r="H851" t="s">
        <v>63</v>
      </c>
      <c r="I851" t="s">
        <v>4183</v>
      </c>
      <c r="J851" t="s">
        <v>153</v>
      </c>
      <c r="K851">
        <v>7.9</v>
      </c>
      <c r="L851">
        <v>9127468</v>
      </c>
      <c r="M851">
        <v>1520423</v>
      </c>
      <c r="N851">
        <v>88</v>
      </c>
      <c r="O851" t="s">
        <v>49</v>
      </c>
      <c r="P851" t="s">
        <v>87</v>
      </c>
    </row>
    <row r="852" spans="1:16" x14ac:dyDescent="0.35">
      <c r="A852" t="s">
        <v>3228</v>
      </c>
      <c r="B852" t="s">
        <v>3229</v>
      </c>
      <c r="C852" t="s">
        <v>53</v>
      </c>
      <c r="D852" t="s">
        <v>36</v>
      </c>
      <c r="E852" t="s">
        <v>4196</v>
      </c>
      <c r="F852" s="1">
        <v>43839</v>
      </c>
      <c r="G852">
        <v>2005</v>
      </c>
      <c r="H852" t="s">
        <v>107</v>
      </c>
      <c r="I852" t="s">
        <v>95</v>
      </c>
      <c r="J852" t="s">
        <v>133</v>
      </c>
      <c r="K852">
        <v>9.1999999999999993</v>
      </c>
      <c r="L852">
        <v>10001083</v>
      </c>
      <c r="M852">
        <v>1138952</v>
      </c>
      <c r="N852">
        <v>95</v>
      </c>
      <c r="O852" t="s">
        <v>91</v>
      </c>
      <c r="P852" t="s">
        <v>32</v>
      </c>
    </row>
    <row r="853" spans="1:16" x14ac:dyDescent="0.35">
      <c r="A853" t="s">
        <v>707</v>
      </c>
      <c r="B853" t="s">
        <v>708</v>
      </c>
      <c r="C853" t="s">
        <v>53</v>
      </c>
      <c r="D853" t="s">
        <v>4178</v>
      </c>
      <c r="E853" t="s">
        <v>28</v>
      </c>
      <c r="F853" s="1">
        <v>43840</v>
      </c>
      <c r="G853">
        <v>2014</v>
      </c>
      <c r="H853" t="s">
        <v>85</v>
      </c>
      <c r="I853" t="s">
        <v>95</v>
      </c>
      <c r="J853" t="s">
        <v>40</v>
      </c>
      <c r="K853">
        <v>4.5999999999999996</v>
      </c>
      <c r="L853">
        <v>23763067</v>
      </c>
      <c r="M853">
        <v>2995237</v>
      </c>
      <c r="N853">
        <v>50</v>
      </c>
      <c r="O853" t="s">
        <v>41</v>
      </c>
      <c r="P853" t="s">
        <v>32</v>
      </c>
    </row>
    <row r="854" spans="1:16" x14ac:dyDescent="0.35">
      <c r="A854" t="s">
        <v>1219</v>
      </c>
      <c r="B854" t="s">
        <v>1220</v>
      </c>
      <c r="C854" t="s">
        <v>84</v>
      </c>
      <c r="D854" t="s">
        <v>19</v>
      </c>
      <c r="E854" t="s">
        <v>69</v>
      </c>
      <c r="F854" s="1">
        <v>43840</v>
      </c>
      <c r="G854">
        <v>2024</v>
      </c>
      <c r="H854" t="s">
        <v>114</v>
      </c>
      <c r="I854" t="s">
        <v>4248</v>
      </c>
      <c r="J854" t="s">
        <v>48</v>
      </c>
      <c r="K854">
        <v>4.5999999999999996</v>
      </c>
      <c r="L854">
        <v>17847598</v>
      </c>
      <c r="M854">
        <v>1921577</v>
      </c>
      <c r="N854">
        <v>58</v>
      </c>
      <c r="O854" t="s">
        <v>58</v>
      </c>
      <c r="P854" t="s">
        <v>32</v>
      </c>
    </row>
    <row r="855" spans="1:16" x14ac:dyDescent="0.35">
      <c r="A855" t="s">
        <v>1448</v>
      </c>
      <c r="B855" t="s">
        <v>1449</v>
      </c>
      <c r="C855" t="s">
        <v>53</v>
      </c>
      <c r="D855" t="s">
        <v>61</v>
      </c>
      <c r="E855" t="s">
        <v>62</v>
      </c>
      <c r="F855" s="1">
        <v>43842</v>
      </c>
      <c r="G855">
        <v>2020</v>
      </c>
      <c r="H855" t="s">
        <v>114</v>
      </c>
      <c r="I855" t="s">
        <v>136</v>
      </c>
      <c r="J855" t="s">
        <v>23</v>
      </c>
      <c r="K855">
        <v>8.1</v>
      </c>
      <c r="L855">
        <v>21900519</v>
      </c>
      <c r="M855">
        <v>3523133</v>
      </c>
      <c r="N855">
        <v>50</v>
      </c>
      <c r="O855" t="s">
        <v>24</v>
      </c>
      <c r="P855" t="s">
        <v>32</v>
      </c>
    </row>
    <row r="856" spans="1:16" x14ac:dyDescent="0.35">
      <c r="A856" t="s">
        <v>1850</v>
      </c>
      <c r="B856" t="s">
        <v>1851</v>
      </c>
      <c r="C856" t="s">
        <v>84</v>
      </c>
      <c r="D856" t="s">
        <v>27</v>
      </c>
      <c r="E856" t="s">
        <v>131</v>
      </c>
      <c r="F856" s="1">
        <v>43843</v>
      </c>
      <c r="G856">
        <v>2015</v>
      </c>
      <c r="H856" t="s">
        <v>85</v>
      </c>
      <c r="I856" t="s">
        <v>4264</v>
      </c>
      <c r="J856" t="s">
        <v>23</v>
      </c>
      <c r="K856">
        <v>5.7</v>
      </c>
      <c r="L856">
        <v>24080301</v>
      </c>
      <c r="M856">
        <v>2123794</v>
      </c>
      <c r="N856">
        <v>54</v>
      </c>
      <c r="O856" t="s">
        <v>65</v>
      </c>
      <c r="P856" t="s">
        <v>32</v>
      </c>
    </row>
    <row r="857" spans="1:16" x14ac:dyDescent="0.35">
      <c r="A857" t="s">
        <v>3017</v>
      </c>
      <c r="B857" t="s">
        <v>3018</v>
      </c>
      <c r="C857" t="s">
        <v>84</v>
      </c>
      <c r="D857" t="s">
        <v>36</v>
      </c>
      <c r="E857" t="s">
        <v>55</v>
      </c>
      <c r="F857" s="1">
        <v>43843</v>
      </c>
      <c r="G857">
        <v>2017</v>
      </c>
      <c r="H857" t="s">
        <v>107</v>
      </c>
      <c r="I857" t="s">
        <v>4265</v>
      </c>
      <c r="J857" t="s">
        <v>57</v>
      </c>
      <c r="K857">
        <v>4.8</v>
      </c>
      <c r="L857">
        <v>19263746</v>
      </c>
      <c r="M857">
        <v>4417634</v>
      </c>
      <c r="N857">
        <v>120</v>
      </c>
      <c r="O857" t="s">
        <v>49</v>
      </c>
      <c r="P857" t="s">
        <v>32</v>
      </c>
    </row>
    <row r="858" spans="1:16" x14ac:dyDescent="0.35">
      <c r="A858" t="s">
        <v>2548</v>
      </c>
      <c r="B858" t="s">
        <v>2549</v>
      </c>
      <c r="C858" t="s">
        <v>84</v>
      </c>
      <c r="D858" t="s">
        <v>36</v>
      </c>
      <c r="E858" t="s">
        <v>45</v>
      </c>
      <c r="F858" s="1">
        <v>43844</v>
      </c>
      <c r="G858">
        <v>2011</v>
      </c>
      <c r="H858" t="s">
        <v>21</v>
      </c>
      <c r="I858" t="s">
        <v>4315</v>
      </c>
      <c r="J858" t="s">
        <v>72</v>
      </c>
      <c r="K858">
        <v>5</v>
      </c>
      <c r="L858">
        <v>21410804</v>
      </c>
      <c r="M858">
        <v>1193215</v>
      </c>
      <c r="N858">
        <v>48</v>
      </c>
      <c r="O858" t="s">
        <v>91</v>
      </c>
      <c r="P858" t="s">
        <v>50</v>
      </c>
    </row>
    <row r="859" spans="1:16" x14ac:dyDescent="0.35">
      <c r="A859" t="s">
        <v>2537</v>
      </c>
      <c r="B859" t="s">
        <v>2538</v>
      </c>
      <c r="C859" t="s">
        <v>4178</v>
      </c>
      <c r="D859" t="s">
        <v>4178</v>
      </c>
      <c r="E859" t="s">
        <v>80</v>
      </c>
      <c r="F859" s="1">
        <v>43845</v>
      </c>
      <c r="G859">
        <v>2017</v>
      </c>
      <c r="H859" t="s">
        <v>107</v>
      </c>
      <c r="I859" t="s">
        <v>71</v>
      </c>
      <c r="J859" t="s">
        <v>133</v>
      </c>
      <c r="K859">
        <v>5</v>
      </c>
      <c r="L859">
        <v>18104266</v>
      </c>
      <c r="M859">
        <v>905233</v>
      </c>
      <c r="N859">
        <v>64</v>
      </c>
      <c r="O859" t="s">
        <v>104</v>
      </c>
      <c r="P859" t="s">
        <v>32</v>
      </c>
    </row>
    <row r="860" spans="1:16" x14ac:dyDescent="0.35">
      <c r="A860" t="s">
        <v>3443</v>
      </c>
      <c r="B860" t="s">
        <v>3444</v>
      </c>
      <c r="C860" t="s">
        <v>84</v>
      </c>
      <c r="D860" t="s">
        <v>156</v>
      </c>
      <c r="E860" t="s">
        <v>80</v>
      </c>
      <c r="F860" s="1">
        <v>43845</v>
      </c>
      <c r="G860">
        <v>2018</v>
      </c>
      <c r="H860" t="s">
        <v>121</v>
      </c>
      <c r="I860" t="s">
        <v>4234</v>
      </c>
      <c r="J860" t="s">
        <v>133</v>
      </c>
      <c r="K860">
        <v>5.4</v>
      </c>
      <c r="L860">
        <v>21491994</v>
      </c>
      <c r="M860">
        <v>2657959</v>
      </c>
      <c r="N860">
        <v>98</v>
      </c>
      <c r="O860" t="s">
        <v>91</v>
      </c>
      <c r="P860" t="s">
        <v>50</v>
      </c>
    </row>
    <row r="861" spans="1:16" x14ac:dyDescent="0.35">
      <c r="A861" t="s">
        <v>1594</v>
      </c>
      <c r="B861" t="s">
        <v>1595</v>
      </c>
      <c r="C861" t="s">
        <v>84</v>
      </c>
      <c r="D861" t="s">
        <v>94</v>
      </c>
      <c r="E861" t="s">
        <v>28</v>
      </c>
      <c r="F861" s="1">
        <v>43847</v>
      </c>
      <c r="G861">
        <v>2024</v>
      </c>
      <c r="H861" t="s">
        <v>81</v>
      </c>
      <c r="I861" t="s">
        <v>4258</v>
      </c>
      <c r="J861" t="s">
        <v>48</v>
      </c>
      <c r="K861">
        <v>6.3</v>
      </c>
      <c r="L861">
        <v>18884891</v>
      </c>
      <c r="M861">
        <v>4666514</v>
      </c>
      <c r="N861">
        <v>57</v>
      </c>
      <c r="O861" t="s">
        <v>41</v>
      </c>
      <c r="P861" t="s">
        <v>87</v>
      </c>
    </row>
    <row r="862" spans="1:16" x14ac:dyDescent="0.35">
      <c r="A862" t="s">
        <v>3391</v>
      </c>
      <c r="B862" t="s">
        <v>3392</v>
      </c>
      <c r="C862" t="s">
        <v>84</v>
      </c>
      <c r="D862" t="s">
        <v>90</v>
      </c>
      <c r="E862" t="s">
        <v>37</v>
      </c>
      <c r="F862" s="1">
        <v>43848</v>
      </c>
      <c r="G862">
        <v>2007</v>
      </c>
      <c r="H862" t="s">
        <v>107</v>
      </c>
      <c r="I862" t="s">
        <v>4199</v>
      </c>
      <c r="J862" t="s">
        <v>72</v>
      </c>
      <c r="K862">
        <v>6.7</v>
      </c>
      <c r="L862">
        <v>21942889</v>
      </c>
      <c r="M862">
        <v>1300224</v>
      </c>
      <c r="N862">
        <v>95</v>
      </c>
      <c r="O862" t="s">
        <v>41</v>
      </c>
      <c r="P862" t="s">
        <v>32</v>
      </c>
    </row>
    <row r="863" spans="1:16" x14ac:dyDescent="0.35">
      <c r="A863" t="s">
        <v>1745</v>
      </c>
      <c r="B863" t="s">
        <v>1746</v>
      </c>
      <c r="C863" t="s">
        <v>84</v>
      </c>
      <c r="D863" t="s">
        <v>90</v>
      </c>
      <c r="E863" t="s">
        <v>131</v>
      </c>
      <c r="F863" s="1">
        <v>43852</v>
      </c>
      <c r="G863">
        <v>2015</v>
      </c>
      <c r="H863" t="s">
        <v>114</v>
      </c>
      <c r="I863" t="s">
        <v>4227</v>
      </c>
      <c r="J863" t="s">
        <v>4178</v>
      </c>
      <c r="K863">
        <v>4.5999999999999996</v>
      </c>
      <c r="L863">
        <v>6676729</v>
      </c>
      <c r="M863">
        <v>3881275</v>
      </c>
      <c r="N863">
        <v>77</v>
      </c>
      <c r="O863" t="s">
        <v>31</v>
      </c>
      <c r="P863" t="s">
        <v>32</v>
      </c>
    </row>
    <row r="864" spans="1:16" x14ac:dyDescent="0.35">
      <c r="A864" t="s">
        <v>1954</v>
      </c>
      <c r="B864" t="s">
        <v>1955</v>
      </c>
      <c r="C864" t="s">
        <v>84</v>
      </c>
      <c r="D864" t="s">
        <v>94</v>
      </c>
      <c r="E864" t="s">
        <v>45</v>
      </c>
      <c r="F864" s="1">
        <v>43852</v>
      </c>
      <c r="G864">
        <v>2011</v>
      </c>
      <c r="H864" t="s">
        <v>121</v>
      </c>
      <c r="I864" t="s">
        <v>4223</v>
      </c>
      <c r="J864" t="s">
        <v>48</v>
      </c>
      <c r="K864">
        <v>7.6</v>
      </c>
      <c r="L864">
        <v>16085229</v>
      </c>
      <c r="M864">
        <v>3999030</v>
      </c>
      <c r="N864">
        <v>77</v>
      </c>
      <c r="O864" t="s">
        <v>4178</v>
      </c>
      <c r="P864" t="s">
        <v>87</v>
      </c>
    </row>
    <row r="865" spans="1:16" x14ac:dyDescent="0.35">
      <c r="A865" t="s">
        <v>4121</v>
      </c>
      <c r="B865" t="s">
        <v>4122</v>
      </c>
      <c r="C865" t="s">
        <v>84</v>
      </c>
      <c r="D865" t="s">
        <v>19</v>
      </c>
      <c r="E865" t="s">
        <v>80</v>
      </c>
      <c r="F865" s="1">
        <v>43852</v>
      </c>
      <c r="G865">
        <v>2014</v>
      </c>
      <c r="H865" t="s">
        <v>46</v>
      </c>
      <c r="I865" t="s">
        <v>4205</v>
      </c>
      <c r="J865" t="s">
        <v>103</v>
      </c>
      <c r="K865">
        <v>8</v>
      </c>
      <c r="L865">
        <v>24308044</v>
      </c>
      <c r="M865">
        <v>1033101</v>
      </c>
      <c r="N865">
        <v>79</v>
      </c>
      <c r="O865" t="s">
        <v>123</v>
      </c>
      <c r="P865" t="s">
        <v>4178</v>
      </c>
    </row>
    <row r="866" spans="1:16" x14ac:dyDescent="0.35">
      <c r="A866" t="s">
        <v>2139</v>
      </c>
      <c r="B866" t="s">
        <v>2140</v>
      </c>
      <c r="C866" t="s">
        <v>84</v>
      </c>
      <c r="D866" t="s">
        <v>36</v>
      </c>
      <c r="E866" t="s">
        <v>4178</v>
      </c>
      <c r="F866" s="1">
        <v>43854</v>
      </c>
      <c r="G866">
        <v>2004</v>
      </c>
      <c r="H866" t="s">
        <v>63</v>
      </c>
      <c r="I866" t="s">
        <v>4272</v>
      </c>
      <c r="J866" t="s">
        <v>57</v>
      </c>
      <c r="K866">
        <v>5.0999999999999996</v>
      </c>
      <c r="L866">
        <v>8968485</v>
      </c>
      <c r="M866">
        <v>354770</v>
      </c>
      <c r="N866">
        <v>81</v>
      </c>
      <c r="O866" t="s">
        <v>123</v>
      </c>
      <c r="P866" t="s">
        <v>4178</v>
      </c>
    </row>
    <row r="867" spans="1:16" x14ac:dyDescent="0.35">
      <c r="A867" t="s">
        <v>563</v>
      </c>
      <c r="B867" t="s">
        <v>564</v>
      </c>
      <c r="C867" t="s">
        <v>53</v>
      </c>
      <c r="D867" t="s">
        <v>36</v>
      </c>
      <c r="E867" t="s">
        <v>4178</v>
      </c>
      <c r="F867" s="1">
        <v>43858</v>
      </c>
      <c r="G867">
        <v>2024</v>
      </c>
      <c r="H867" t="s">
        <v>85</v>
      </c>
      <c r="I867" t="s">
        <v>64</v>
      </c>
      <c r="J867" t="s">
        <v>96</v>
      </c>
      <c r="K867">
        <v>8</v>
      </c>
      <c r="L867">
        <v>12557581</v>
      </c>
      <c r="M867">
        <v>1360600</v>
      </c>
      <c r="N867">
        <v>93</v>
      </c>
      <c r="O867" t="s">
        <v>24</v>
      </c>
      <c r="P867" t="s">
        <v>4181</v>
      </c>
    </row>
    <row r="868" spans="1:16" x14ac:dyDescent="0.35">
      <c r="A868" t="s">
        <v>1503</v>
      </c>
      <c r="B868" t="s">
        <v>1504</v>
      </c>
      <c r="C868" t="s">
        <v>53</v>
      </c>
      <c r="D868" t="s">
        <v>61</v>
      </c>
      <c r="E868" t="s">
        <v>20</v>
      </c>
      <c r="F868" s="1">
        <v>43862</v>
      </c>
      <c r="G868">
        <v>2016</v>
      </c>
      <c r="H868" t="s">
        <v>85</v>
      </c>
      <c r="I868" t="s">
        <v>56</v>
      </c>
      <c r="J868" t="s">
        <v>48</v>
      </c>
      <c r="K868">
        <v>4.7</v>
      </c>
      <c r="L868">
        <v>22358253</v>
      </c>
      <c r="M868">
        <v>1911495</v>
      </c>
      <c r="N868">
        <v>84</v>
      </c>
      <c r="O868" t="s">
        <v>104</v>
      </c>
      <c r="P868" t="s">
        <v>50</v>
      </c>
    </row>
    <row r="869" spans="1:16" x14ac:dyDescent="0.35">
      <c r="A869" t="s">
        <v>3239</v>
      </c>
      <c r="B869" t="s">
        <v>3240</v>
      </c>
      <c r="C869" t="s">
        <v>84</v>
      </c>
      <c r="D869" t="s">
        <v>19</v>
      </c>
      <c r="E869" t="s">
        <v>4178</v>
      </c>
      <c r="F869" s="1">
        <v>43864</v>
      </c>
      <c r="G869">
        <v>2026</v>
      </c>
      <c r="H869" t="s">
        <v>38</v>
      </c>
      <c r="I869" t="s">
        <v>4200</v>
      </c>
      <c r="J869" t="s">
        <v>72</v>
      </c>
      <c r="K869">
        <v>6</v>
      </c>
      <c r="L869">
        <v>5884526</v>
      </c>
      <c r="M869">
        <v>572380</v>
      </c>
      <c r="N869">
        <v>60</v>
      </c>
      <c r="O869" t="s">
        <v>104</v>
      </c>
      <c r="P869" t="s">
        <v>4181</v>
      </c>
    </row>
    <row r="870" spans="1:16" x14ac:dyDescent="0.35">
      <c r="A870" t="s">
        <v>3068</v>
      </c>
      <c r="B870" t="s">
        <v>3069</v>
      </c>
      <c r="C870" t="s">
        <v>4178</v>
      </c>
      <c r="D870" t="s">
        <v>19</v>
      </c>
      <c r="E870" t="s">
        <v>55</v>
      </c>
      <c r="F870" s="1">
        <v>43867</v>
      </c>
      <c r="G870">
        <v>2007</v>
      </c>
      <c r="H870" t="s">
        <v>85</v>
      </c>
      <c r="I870" t="s">
        <v>118</v>
      </c>
      <c r="J870" t="s">
        <v>40</v>
      </c>
      <c r="K870">
        <v>7.7</v>
      </c>
      <c r="L870">
        <v>18255662</v>
      </c>
      <c r="M870">
        <v>2291805</v>
      </c>
      <c r="N870">
        <v>69</v>
      </c>
      <c r="O870" t="s">
        <v>104</v>
      </c>
      <c r="P870" t="s">
        <v>50</v>
      </c>
    </row>
    <row r="871" spans="1:16" x14ac:dyDescent="0.35">
      <c r="A871" t="s">
        <v>1396</v>
      </c>
      <c r="B871" t="s">
        <v>1397</v>
      </c>
      <c r="C871" t="s">
        <v>84</v>
      </c>
      <c r="D871" t="s">
        <v>94</v>
      </c>
      <c r="E871" t="s">
        <v>45</v>
      </c>
      <c r="F871" s="1">
        <v>43868</v>
      </c>
      <c r="G871">
        <v>2015</v>
      </c>
      <c r="H871" t="s">
        <v>38</v>
      </c>
      <c r="I871" t="s">
        <v>4313</v>
      </c>
      <c r="J871" t="s">
        <v>57</v>
      </c>
      <c r="K871">
        <v>5.7</v>
      </c>
      <c r="L871">
        <v>4535966</v>
      </c>
      <c r="M871">
        <v>3643119</v>
      </c>
      <c r="N871">
        <v>87</v>
      </c>
      <c r="O871" t="s">
        <v>41</v>
      </c>
      <c r="P871" t="s">
        <v>4181</v>
      </c>
    </row>
    <row r="872" spans="1:16" x14ac:dyDescent="0.35">
      <c r="A872" t="s">
        <v>2340</v>
      </c>
      <c r="B872" t="s">
        <v>2341</v>
      </c>
      <c r="C872" t="s">
        <v>53</v>
      </c>
      <c r="D872" t="s">
        <v>4178</v>
      </c>
      <c r="E872" t="s">
        <v>55</v>
      </c>
      <c r="F872" s="1">
        <v>43870</v>
      </c>
      <c r="G872">
        <v>2026</v>
      </c>
      <c r="H872" t="s">
        <v>46</v>
      </c>
      <c r="I872" t="s">
        <v>56</v>
      </c>
      <c r="J872" t="s">
        <v>23</v>
      </c>
      <c r="K872">
        <v>5.5</v>
      </c>
      <c r="L872">
        <v>17155088</v>
      </c>
      <c r="M872">
        <v>101270</v>
      </c>
      <c r="N872">
        <v>57</v>
      </c>
      <c r="O872" t="s">
        <v>41</v>
      </c>
      <c r="P872" t="s">
        <v>4178</v>
      </c>
    </row>
    <row r="873" spans="1:16" x14ac:dyDescent="0.35">
      <c r="A873" t="s">
        <v>3854</v>
      </c>
      <c r="B873" t="s">
        <v>3855</v>
      </c>
      <c r="C873" t="s">
        <v>53</v>
      </c>
      <c r="D873" t="s">
        <v>156</v>
      </c>
      <c r="E873" t="s">
        <v>113</v>
      </c>
      <c r="F873" s="1">
        <v>43870</v>
      </c>
      <c r="G873">
        <v>2016</v>
      </c>
      <c r="H873" t="s">
        <v>121</v>
      </c>
      <c r="I873" t="s">
        <v>39</v>
      </c>
      <c r="J873" t="s">
        <v>23</v>
      </c>
      <c r="K873">
        <v>4.8</v>
      </c>
      <c r="L873">
        <v>23230025</v>
      </c>
      <c r="M873">
        <v>3711563</v>
      </c>
      <c r="N873">
        <v>78</v>
      </c>
      <c r="O873" t="s">
        <v>24</v>
      </c>
      <c r="P873" t="s">
        <v>87</v>
      </c>
    </row>
    <row r="874" spans="1:16" x14ac:dyDescent="0.35">
      <c r="A874" t="s">
        <v>3076</v>
      </c>
      <c r="B874" t="s">
        <v>3077</v>
      </c>
      <c r="C874" t="s">
        <v>53</v>
      </c>
      <c r="D874" t="s">
        <v>90</v>
      </c>
      <c r="E874" t="s">
        <v>80</v>
      </c>
      <c r="F874" s="1">
        <v>43871</v>
      </c>
      <c r="G874">
        <v>2022</v>
      </c>
      <c r="H874" t="s">
        <v>63</v>
      </c>
      <c r="I874" t="s">
        <v>118</v>
      </c>
      <c r="J874" t="s">
        <v>57</v>
      </c>
      <c r="K874">
        <v>5.0999999999999996</v>
      </c>
      <c r="L874">
        <v>13790665</v>
      </c>
      <c r="M874">
        <v>1999499</v>
      </c>
      <c r="N874">
        <v>80</v>
      </c>
      <c r="O874" t="s">
        <v>123</v>
      </c>
      <c r="P874" t="s">
        <v>4181</v>
      </c>
    </row>
    <row r="875" spans="1:16" x14ac:dyDescent="0.35">
      <c r="A875" t="s">
        <v>1135</v>
      </c>
      <c r="B875" t="s">
        <v>1136</v>
      </c>
      <c r="C875" t="s">
        <v>84</v>
      </c>
      <c r="D875" t="s">
        <v>75</v>
      </c>
      <c r="E875" t="s">
        <v>37</v>
      </c>
      <c r="F875" s="1">
        <v>43873</v>
      </c>
      <c r="G875">
        <v>2019</v>
      </c>
      <c r="H875" t="s">
        <v>114</v>
      </c>
      <c r="I875" t="s">
        <v>4189</v>
      </c>
      <c r="J875" t="s">
        <v>30</v>
      </c>
      <c r="K875">
        <v>9.1999999999999993</v>
      </c>
      <c r="L875">
        <v>8616792</v>
      </c>
      <c r="M875">
        <v>3921652</v>
      </c>
      <c r="N875">
        <v>66</v>
      </c>
      <c r="O875" t="s">
        <v>4178</v>
      </c>
      <c r="P875" t="s">
        <v>4181</v>
      </c>
    </row>
    <row r="876" spans="1:16" x14ac:dyDescent="0.35">
      <c r="A876" t="s">
        <v>3283</v>
      </c>
      <c r="B876" t="s">
        <v>3284</v>
      </c>
      <c r="C876" t="s">
        <v>53</v>
      </c>
      <c r="D876" t="s">
        <v>36</v>
      </c>
      <c r="E876" t="s">
        <v>113</v>
      </c>
      <c r="F876" s="1">
        <v>43875</v>
      </c>
      <c r="G876">
        <v>2009</v>
      </c>
      <c r="H876" t="s">
        <v>38</v>
      </c>
      <c r="I876" t="s">
        <v>162</v>
      </c>
      <c r="J876" t="s">
        <v>133</v>
      </c>
      <c r="K876">
        <v>7</v>
      </c>
      <c r="L876">
        <v>1631019</v>
      </c>
      <c r="M876">
        <v>3038759</v>
      </c>
      <c r="N876">
        <v>40</v>
      </c>
      <c r="O876" t="s">
        <v>65</v>
      </c>
      <c r="P876" t="s">
        <v>50</v>
      </c>
    </row>
    <row r="877" spans="1:16" x14ac:dyDescent="0.35">
      <c r="A877" t="s">
        <v>532</v>
      </c>
      <c r="B877" t="s">
        <v>533</v>
      </c>
      <c r="C877" t="s">
        <v>53</v>
      </c>
      <c r="D877" t="s">
        <v>75</v>
      </c>
      <c r="E877" t="s">
        <v>80</v>
      </c>
      <c r="F877" s="1">
        <v>43878</v>
      </c>
      <c r="G877">
        <v>2032</v>
      </c>
      <c r="H877" t="s">
        <v>107</v>
      </c>
      <c r="I877" t="s">
        <v>136</v>
      </c>
      <c r="J877" t="s">
        <v>23</v>
      </c>
      <c r="K877">
        <v>8.4</v>
      </c>
      <c r="L877">
        <v>3157313</v>
      </c>
      <c r="M877">
        <v>1679835</v>
      </c>
      <c r="N877">
        <v>42</v>
      </c>
      <c r="O877" t="s">
        <v>49</v>
      </c>
      <c r="P877" t="s">
        <v>87</v>
      </c>
    </row>
    <row r="878" spans="1:16" x14ac:dyDescent="0.35">
      <c r="A878" t="s">
        <v>2920</v>
      </c>
      <c r="B878" t="s">
        <v>2921</v>
      </c>
      <c r="C878" t="s">
        <v>84</v>
      </c>
      <c r="D878" t="s">
        <v>27</v>
      </c>
      <c r="E878" t="s">
        <v>45</v>
      </c>
      <c r="F878" s="1">
        <v>43880</v>
      </c>
      <c r="G878">
        <v>2008</v>
      </c>
      <c r="H878" t="s">
        <v>114</v>
      </c>
      <c r="I878" t="s">
        <v>4264</v>
      </c>
      <c r="J878" t="s">
        <v>72</v>
      </c>
      <c r="K878">
        <v>6</v>
      </c>
      <c r="L878">
        <v>9809353</v>
      </c>
      <c r="M878">
        <v>4328040</v>
      </c>
      <c r="N878">
        <v>61</v>
      </c>
      <c r="O878" t="s">
        <v>91</v>
      </c>
      <c r="P878" t="s">
        <v>50</v>
      </c>
    </row>
    <row r="879" spans="1:16" x14ac:dyDescent="0.35">
      <c r="A879" t="s">
        <v>3441</v>
      </c>
      <c r="B879" t="s">
        <v>3442</v>
      </c>
      <c r="C879" t="s">
        <v>4178</v>
      </c>
      <c r="D879" t="s">
        <v>94</v>
      </c>
      <c r="E879" t="s">
        <v>131</v>
      </c>
      <c r="F879" s="1">
        <v>43880</v>
      </c>
      <c r="G879">
        <v>2020</v>
      </c>
      <c r="H879" t="s">
        <v>121</v>
      </c>
      <c r="I879" t="s">
        <v>56</v>
      </c>
      <c r="J879" t="s">
        <v>40</v>
      </c>
      <c r="K879">
        <v>6.6</v>
      </c>
      <c r="L879">
        <v>1689194</v>
      </c>
      <c r="M879">
        <v>3843255</v>
      </c>
      <c r="N879">
        <v>83</v>
      </c>
      <c r="O879" t="s">
        <v>123</v>
      </c>
      <c r="P879" t="s">
        <v>4178</v>
      </c>
    </row>
    <row r="880" spans="1:16" x14ac:dyDescent="0.35">
      <c r="A880" t="s">
        <v>582</v>
      </c>
      <c r="B880" t="s">
        <v>583</v>
      </c>
      <c r="C880" t="s">
        <v>4178</v>
      </c>
      <c r="D880" t="s">
        <v>90</v>
      </c>
      <c r="E880" t="s">
        <v>28</v>
      </c>
      <c r="F880" s="1">
        <v>43884</v>
      </c>
      <c r="G880">
        <v>2002</v>
      </c>
      <c r="H880" t="s">
        <v>107</v>
      </c>
      <c r="I880" t="s">
        <v>136</v>
      </c>
      <c r="J880" t="s">
        <v>30</v>
      </c>
      <c r="K880">
        <v>8.6999999999999993</v>
      </c>
      <c r="L880">
        <v>15728103</v>
      </c>
      <c r="M880">
        <v>1940809</v>
      </c>
      <c r="N880">
        <v>92</v>
      </c>
      <c r="O880" t="s">
        <v>49</v>
      </c>
      <c r="P880" t="s">
        <v>4178</v>
      </c>
    </row>
    <row r="881" spans="1:16" x14ac:dyDescent="0.35">
      <c r="A881" t="s">
        <v>1108</v>
      </c>
      <c r="B881" t="s">
        <v>1109</v>
      </c>
      <c r="C881" t="s">
        <v>84</v>
      </c>
      <c r="D881" t="s">
        <v>27</v>
      </c>
      <c r="E881" t="s">
        <v>28</v>
      </c>
      <c r="F881" s="1">
        <v>43885</v>
      </c>
      <c r="G881">
        <v>2013</v>
      </c>
      <c r="H881" t="s">
        <v>38</v>
      </c>
      <c r="I881" t="s">
        <v>4262</v>
      </c>
      <c r="J881" t="s">
        <v>40</v>
      </c>
      <c r="K881">
        <v>8.5</v>
      </c>
      <c r="L881">
        <v>16901053</v>
      </c>
      <c r="M881">
        <v>2266809</v>
      </c>
      <c r="N881">
        <v>80</v>
      </c>
      <c r="O881" t="s">
        <v>123</v>
      </c>
      <c r="P881" t="s">
        <v>87</v>
      </c>
    </row>
    <row r="882" spans="1:16" x14ac:dyDescent="0.35">
      <c r="A882" t="s">
        <v>1513</v>
      </c>
      <c r="B882" t="s">
        <v>1514</v>
      </c>
      <c r="C882" t="s">
        <v>53</v>
      </c>
      <c r="D882" t="s">
        <v>19</v>
      </c>
      <c r="E882" t="s">
        <v>131</v>
      </c>
      <c r="F882" s="1">
        <v>43886</v>
      </c>
      <c r="G882">
        <v>2002</v>
      </c>
      <c r="H882" t="s">
        <v>46</v>
      </c>
      <c r="I882" t="s">
        <v>71</v>
      </c>
      <c r="J882" t="s">
        <v>133</v>
      </c>
      <c r="K882">
        <v>6.1</v>
      </c>
      <c r="L882">
        <v>14578275</v>
      </c>
      <c r="M882">
        <v>4975923</v>
      </c>
      <c r="N882">
        <v>87</v>
      </c>
      <c r="O882" t="s">
        <v>41</v>
      </c>
      <c r="P882" t="s">
        <v>32</v>
      </c>
    </row>
    <row r="883" spans="1:16" x14ac:dyDescent="0.35">
      <c r="A883" t="s">
        <v>868</v>
      </c>
      <c r="B883" t="s">
        <v>869</v>
      </c>
      <c r="C883" t="s">
        <v>53</v>
      </c>
      <c r="D883" t="s">
        <v>4178</v>
      </c>
      <c r="E883" t="s">
        <v>80</v>
      </c>
      <c r="F883" s="1">
        <v>43890</v>
      </c>
      <c r="G883">
        <v>2014</v>
      </c>
      <c r="H883" t="s">
        <v>107</v>
      </c>
      <c r="I883" t="s">
        <v>56</v>
      </c>
      <c r="J883" t="s">
        <v>40</v>
      </c>
      <c r="K883">
        <v>9.8000000000000007</v>
      </c>
      <c r="L883">
        <v>13508845</v>
      </c>
      <c r="M883">
        <v>3951925</v>
      </c>
      <c r="N883">
        <v>60</v>
      </c>
      <c r="O883" t="s">
        <v>58</v>
      </c>
      <c r="P883" t="s">
        <v>32</v>
      </c>
    </row>
    <row r="884" spans="1:16" x14ac:dyDescent="0.35">
      <c r="A884" t="s">
        <v>1234</v>
      </c>
      <c r="B884" t="s">
        <v>1235</v>
      </c>
      <c r="C884" t="s">
        <v>4178</v>
      </c>
      <c r="D884" t="s">
        <v>90</v>
      </c>
      <c r="E884" t="s">
        <v>4178</v>
      </c>
      <c r="F884" s="1">
        <v>43890</v>
      </c>
      <c r="G884">
        <v>2023</v>
      </c>
      <c r="H884" t="s">
        <v>121</v>
      </c>
      <c r="I884" t="s">
        <v>136</v>
      </c>
      <c r="J884" t="s">
        <v>48</v>
      </c>
      <c r="K884">
        <v>9.3000000000000007</v>
      </c>
      <c r="L884">
        <v>797706</v>
      </c>
      <c r="M884">
        <v>3308782</v>
      </c>
      <c r="N884">
        <v>73</v>
      </c>
      <c r="O884" t="s">
        <v>49</v>
      </c>
      <c r="P884" t="s">
        <v>87</v>
      </c>
    </row>
    <row r="885" spans="1:16" x14ac:dyDescent="0.35">
      <c r="A885" t="s">
        <v>2846</v>
      </c>
      <c r="B885" t="s">
        <v>2847</v>
      </c>
      <c r="C885" t="s">
        <v>4178</v>
      </c>
      <c r="D885" t="s">
        <v>156</v>
      </c>
      <c r="E885" t="s">
        <v>37</v>
      </c>
      <c r="F885" s="1">
        <v>43890</v>
      </c>
      <c r="G885">
        <v>2002</v>
      </c>
      <c r="H885" t="s">
        <v>63</v>
      </c>
      <c r="I885" t="s">
        <v>39</v>
      </c>
      <c r="J885" t="s">
        <v>57</v>
      </c>
      <c r="K885">
        <v>9.6</v>
      </c>
      <c r="L885">
        <v>4169663</v>
      </c>
      <c r="M885">
        <v>1868022</v>
      </c>
      <c r="N885">
        <v>51</v>
      </c>
      <c r="O885" t="s">
        <v>91</v>
      </c>
      <c r="P885" t="s">
        <v>50</v>
      </c>
    </row>
    <row r="886" spans="1:16" x14ac:dyDescent="0.35">
      <c r="A886" t="s">
        <v>2151</v>
      </c>
      <c r="B886" t="s">
        <v>2150</v>
      </c>
      <c r="C886" t="s">
        <v>4178</v>
      </c>
      <c r="D886" t="s">
        <v>68</v>
      </c>
      <c r="E886" t="s">
        <v>131</v>
      </c>
      <c r="F886" s="1">
        <v>43893</v>
      </c>
      <c r="G886">
        <v>2012</v>
      </c>
      <c r="H886" t="s">
        <v>107</v>
      </c>
      <c r="I886" t="s">
        <v>71</v>
      </c>
      <c r="J886" t="s">
        <v>103</v>
      </c>
      <c r="K886">
        <v>5.2</v>
      </c>
      <c r="L886">
        <v>17051372</v>
      </c>
      <c r="M886">
        <v>4631360</v>
      </c>
      <c r="N886">
        <v>45</v>
      </c>
      <c r="O886" t="s">
        <v>31</v>
      </c>
      <c r="P886" t="s">
        <v>4181</v>
      </c>
    </row>
    <row r="887" spans="1:16" x14ac:dyDescent="0.35">
      <c r="A887" t="s">
        <v>2087</v>
      </c>
      <c r="B887" t="s">
        <v>2088</v>
      </c>
      <c r="C887" t="s">
        <v>84</v>
      </c>
      <c r="D887" t="s">
        <v>36</v>
      </c>
      <c r="E887" t="s">
        <v>45</v>
      </c>
      <c r="F887" s="1">
        <v>43895</v>
      </c>
      <c r="G887">
        <v>2024</v>
      </c>
      <c r="H887" t="s">
        <v>107</v>
      </c>
      <c r="I887" t="s">
        <v>4178</v>
      </c>
      <c r="J887" t="s">
        <v>40</v>
      </c>
      <c r="K887">
        <v>5.5</v>
      </c>
      <c r="L887">
        <v>5801411</v>
      </c>
      <c r="M887">
        <v>2570360</v>
      </c>
      <c r="N887">
        <v>90</v>
      </c>
      <c r="O887" t="s">
        <v>4178</v>
      </c>
      <c r="P887" t="s">
        <v>50</v>
      </c>
    </row>
    <row r="888" spans="1:16" x14ac:dyDescent="0.35">
      <c r="A888" t="s">
        <v>2689</v>
      </c>
      <c r="B888" t="s">
        <v>2690</v>
      </c>
      <c r="C888" t="s">
        <v>53</v>
      </c>
      <c r="D888" t="s">
        <v>19</v>
      </c>
      <c r="E888" t="s">
        <v>131</v>
      </c>
      <c r="F888" s="1">
        <v>43897</v>
      </c>
      <c r="G888">
        <v>2022</v>
      </c>
      <c r="H888" t="s">
        <v>114</v>
      </c>
      <c r="I888" t="s">
        <v>136</v>
      </c>
      <c r="J888" t="s">
        <v>133</v>
      </c>
      <c r="K888">
        <v>11.2</v>
      </c>
      <c r="L888">
        <v>19916335</v>
      </c>
      <c r="M888">
        <v>3255753</v>
      </c>
      <c r="N888">
        <v>71</v>
      </c>
      <c r="O888" t="s">
        <v>65</v>
      </c>
      <c r="P888" t="s">
        <v>32</v>
      </c>
    </row>
    <row r="889" spans="1:16" x14ac:dyDescent="0.35">
      <c r="A889" t="s">
        <v>1238</v>
      </c>
      <c r="B889" t="s">
        <v>1239</v>
      </c>
      <c r="C889" t="s">
        <v>53</v>
      </c>
      <c r="D889" t="s">
        <v>36</v>
      </c>
      <c r="E889" t="s">
        <v>80</v>
      </c>
      <c r="F889" s="1">
        <v>43900</v>
      </c>
      <c r="G889">
        <v>2012</v>
      </c>
      <c r="H889" t="s">
        <v>4178</v>
      </c>
      <c r="I889" t="s">
        <v>64</v>
      </c>
      <c r="J889" t="s">
        <v>153</v>
      </c>
      <c r="K889">
        <v>6.6</v>
      </c>
      <c r="L889">
        <v>24205427</v>
      </c>
      <c r="M889">
        <v>2847362</v>
      </c>
      <c r="N889">
        <v>65</v>
      </c>
      <c r="O889" t="s">
        <v>31</v>
      </c>
      <c r="P889" t="s">
        <v>4181</v>
      </c>
    </row>
    <row r="890" spans="1:16" x14ac:dyDescent="0.35">
      <c r="A890" t="s">
        <v>1074</v>
      </c>
      <c r="B890" t="s">
        <v>1073</v>
      </c>
      <c r="C890" t="s">
        <v>53</v>
      </c>
      <c r="D890" t="s">
        <v>54</v>
      </c>
      <c r="E890" t="s">
        <v>131</v>
      </c>
      <c r="F890" s="1">
        <v>43901</v>
      </c>
      <c r="G890">
        <v>2023</v>
      </c>
      <c r="H890" t="s">
        <v>4178</v>
      </c>
      <c r="I890" t="s">
        <v>118</v>
      </c>
      <c r="J890" t="s">
        <v>153</v>
      </c>
      <c r="K890">
        <v>9.5</v>
      </c>
      <c r="L890">
        <v>5094279</v>
      </c>
      <c r="M890">
        <v>176519</v>
      </c>
      <c r="N890">
        <v>48</v>
      </c>
      <c r="O890" t="s">
        <v>91</v>
      </c>
      <c r="P890" t="s">
        <v>4181</v>
      </c>
    </row>
    <row r="891" spans="1:16" x14ac:dyDescent="0.35">
      <c r="A891" t="s">
        <v>1778</v>
      </c>
      <c r="B891" t="s">
        <v>1779</v>
      </c>
      <c r="C891" t="s">
        <v>84</v>
      </c>
      <c r="D891" t="s">
        <v>75</v>
      </c>
      <c r="E891" t="s">
        <v>28</v>
      </c>
      <c r="F891" s="1">
        <v>43902</v>
      </c>
      <c r="G891">
        <v>2017</v>
      </c>
      <c r="H891" t="s">
        <v>46</v>
      </c>
      <c r="I891" t="s">
        <v>4236</v>
      </c>
      <c r="J891" t="s">
        <v>48</v>
      </c>
      <c r="K891">
        <v>9.3000000000000007</v>
      </c>
      <c r="L891">
        <v>8276826</v>
      </c>
      <c r="M891">
        <v>3782710</v>
      </c>
      <c r="N891">
        <v>73</v>
      </c>
      <c r="O891" t="s">
        <v>58</v>
      </c>
      <c r="P891" t="s">
        <v>4181</v>
      </c>
    </row>
    <row r="892" spans="1:16" x14ac:dyDescent="0.35">
      <c r="A892" t="s">
        <v>2729</v>
      </c>
      <c r="B892" t="s">
        <v>2728</v>
      </c>
      <c r="C892" t="s">
        <v>84</v>
      </c>
      <c r="D892" t="s">
        <v>156</v>
      </c>
      <c r="E892" t="s">
        <v>4178</v>
      </c>
      <c r="F892" s="1">
        <v>43904</v>
      </c>
      <c r="G892">
        <v>2002</v>
      </c>
      <c r="H892" t="s">
        <v>107</v>
      </c>
      <c r="I892" t="s">
        <v>4192</v>
      </c>
      <c r="J892" t="s">
        <v>133</v>
      </c>
      <c r="K892">
        <v>6.3</v>
      </c>
      <c r="L892">
        <v>1783852</v>
      </c>
      <c r="M892">
        <v>2287651</v>
      </c>
      <c r="N892">
        <v>100</v>
      </c>
      <c r="O892" t="s">
        <v>91</v>
      </c>
      <c r="P892" t="s">
        <v>32</v>
      </c>
    </row>
    <row r="893" spans="1:16" x14ac:dyDescent="0.35">
      <c r="A893" t="s">
        <v>337</v>
      </c>
      <c r="B893" t="s">
        <v>338</v>
      </c>
      <c r="C893" t="s">
        <v>84</v>
      </c>
      <c r="D893" t="s">
        <v>27</v>
      </c>
      <c r="E893" t="s">
        <v>113</v>
      </c>
      <c r="F893" s="1">
        <v>43905</v>
      </c>
      <c r="G893">
        <v>2010</v>
      </c>
      <c r="H893" t="s">
        <v>85</v>
      </c>
      <c r="I893" t="s">
        <v>4229</v>
      </c>
      <c r="J893" t="s">
        <v>30</v>
      </c>
      <c r="K893">
        <v>9.6</v>
      </c>
      <c r="L893">
        <v>14319195</v>
      </c>
      <c r="M893">
        <v>90693</v>
      </c>
      <c r="N893">
        <v>120</v>
      </c>
      <c r="O893" t="s">
        <v>123</v>
      </c>
      <c r="P893" t="s">
        <v>4178</v>
      </c>
    </row>
    <row r="894" spans="1:16" x14ac:dyDescent="0.35">
      <c r="A894" t="s">
        <v>2633</v>
      </c>
      <c r="B894" t="s">
        <v>2634</v>
      </c>
      <c r="C894" t="s">
        <v>53</v>
      </c>
      <c r="D894" t="s">
        <v>75</v>
      </c>
      <c r="E894" t="s">
        <v>80</v>
      </c>
      <c r="F894" s="1">
        <v>43905</v>
      </c>
      <c r="G894">
        <v>2021</v>
      </c>
      <c r="H894" t="s">
        <v>63</v>
      </c>
      <c r="I894" t="s">
        <v>39</v>
      </c>
      <c r="J894" t="s">
        <v>133</v>
      </c>
      <c r="K894">
        <v>6.9</v>
      </c>
      <c r="L894">
        <v>1134494</v>
      </c>
      <c r="M894">
        <v>2635919</v>
      </c>
      <c r="N894">
        <v>50</v>
      </c>
      <c r="O894" t="s">
        <v>41</v>
      </c>
      <c r="P894" t="s">
        <v>4181</v>
      </c>
    </row>
    <row r="895" spans="1:16" x14ac:dyDescent="0.35">
      <c r="A895" t="s">
        <v>488</v>
      </c>
      <c r="B895" t="s">
        <v>489</v>
      </c>
      <c r="C895" t="s">
        <v>84</v>
      </c>
      <c r="D895" t="s">
        <v>36</v>
      </c>
      <c r="E895" t="s">
        <v>4178</v>
      </c>
      <c r="F895" s="1">
        <v>43906</v>
      </c>
      <c r="G895">
        <v>2018</v>
      </c>
      <c r="H895" t="s">
        <v>107</v>
      </c>
      <c r="I895" t="s">
        <v>4211</v>
      </c>
      <c r="J895" t="s">
        <v>57</v>
      </c>
      <c r="K895">
        <v>9.4</v>
      </c>
      <c r="L895">
        <v>1694524</v>
      </c>
      <c r="M895">
        <v>3289444</v>
      </c>
      <c r="N895">
        <v>65</v>
      </c>
      <c r="O895" t="s">
        <v>41</v>
      </c>
      <c r="P895" t="s">
        <v>32</v>
      </c>
    </row>
    <row r="896" spans="1:16" x14ac:dyDescent="0.35">
      <c r="A896" t="s">
        <v>3121</v>
      </c>
      <c r="B896" t="s">
        <v>3122</v>
      </c>
      <c r="C896" t="s">
        <v>53</v>
      </c>
      <c r="D896" t="s">
        <v>75</v>
      </c>
      <c r="E896" t="s">
        <v>55</v>
      </c>
      <c r="F896" s="1">
        <v>43906</v>
      </c>
      <c r="G896">
        <v>2005</v>
      </c>
      <c r="H896" t="s">
        <v>85</v>
      </c>
      <c r="I896" t="s">
        <v>71</v>
      </c>
      <c r="J896" t="s">
        <v>153</v>
      </c>
      <c r="K896">
        <v>6.1</v>
      </c>
      <c r="L896">
        <v>14725898</v>
      </c>
      <c r="M896">
        <v>3472491</v>
      </c>
      <c r="N896">
        <v>82</v>
      </c>
      <c r="O896" t="s">
        <v>31</v>
      </c>
      <c r="P896" t="s">
        <v>4181</v>
      </c>
    </row>
    <row r="897" spans="1:16" x14ac:dyDescent="0.35">
      <c r="A897" t="s">
        <v>3526</v>
      </c>
      <c r="B897" t="s">
        <v>3527</v>
      </c>
      <c r="C897" t="s">
        <v>84</v>
      </c>
      <c r="D897" t="s">
        <v>90</v>
      </c>
      <c r="E897" t="s">
        <v>131</v>
      </c>
      <c r="F897" s="1">
        <v>43909</v>
      </c>
      <c r="G897">
        <v>2004</v>
      </c>
      <c r="H897" t="s">
        <v>107</v>
      </c>
      <c r="I897" t="s">
        <v>4231</v>
      </c>
      <c r="J897" t="s">
        <v>48</v>
      </c>
      <c r="K897">
        <v>6.3</v>
      </c>
      <c r="L897">
        <v>18089984</v>
      </c>
      <c r="M897">
        <v>4968515</v>
      </c>
      <c r="N897">
        <v>68</v>
      </c>
      <c r="O897" t="s">
        <v>65</v>
      </c>
      <c r="P897" t="s">
        <v>4178</v>
      </c>
    </row>
    <row r="898" spans="1:16" x14ac:dyDescent="0.35">
      <c r="A898" t="s">
        <v>188</v>
      </c>
      <c r="B898" t="s">
        <v>4201</v>
      </c>
      <c r="C898" t="s">
        <v>53</v>
      </c>
      <c r="D898" t="s">
        <v>19</v>
      </c>
      <c r="E898" t="s">
        <v>55</v>
      </c>
      <c r="F898" s="1">
        <v>43912</v>
      </c>
      <c r="G898">
        <v>2006</v>
      </c>
      <c r="H898" t="s">
        <v>107</v>
      </c>
      <c r="I898" t="s">
        <v>162</v>
      </c>
      <c r="J898" t="s">
        <v>30</v>
      </c>
      <c r="K898">
        <v>4.9000000000000004</v>
      </c>
      <c r="L898">
        <v>5974602</v>
      </c>
      <c r="M898">
        <v>3768440</v>
      </c>
      <c r="N898">
        <v>89</v>
      </c>
      <c r="O898" t="s">
        <v>24</v>
      </c>
      <c r="P898" t="s">
        <v>87</v>
      </c>
    </row>
    <row r="899" spans="1:16" x14ac:dyDescent="0.35">
      <c r="A899" t="s">
        <v>2896</v>
      </c>
      <c r="B899" t="s">
        <v>2897</v>
      </c>
      <c r="C899" t="s">
        <v>53</v>
      </c>
      <c r="D899" t="s">
        <v>61</v>
      </c>
      <c r="E899" t="s">
        <v>55</v>
      </c>
      <c r="F899" s="1">
        <v>43914</v>
      </c>
      <c r="G899">
        <v>2023</v>
      </c>
      <c r="H899" t="s">
        <v>63</v>
      </c>
      <c r="I899" t="s">
        <v>118</v>
      </c>
      <c r="J899" t="s">
        <v>48</v>
      </c>
      <c r="K899">
        <v>7.2</v>
      </c>
      <c r="L899">
        <v>5131306</v>
      </c>
      <c r="M899">
        <v>2015267</v>
      </c>
      <c r="N899">
        <v>45</v>
      </c>
      <c r="O899" t="s">
        <v>24</v>
      </c>
      <c r="P899" t="s">
        <v>32</v>
      </c>
    </row>
    <row r="900" spans="1:16" x14ac:dyDescent="0.35">
      <c r="A900" t="s">
        <v>260</v>
      </c>
      <c r="B900" t="s">
        <v>261</v>
      </c>
      <c r="C900" t="s">
        <v>84</v>
      </c>
      <c r="D900" t="s">
        <v>75</v>
      </c>
      <c r="E900" t="s">
        <v>20</v>
      </c>
      <c r="F900" s="1">
        <v>43918</v>
      </c>
      <c r="G900">
        <v>2014</v>
      </c>
      <c r="H900" t="s">
        <v>85</v>
      </c>
      <c r="I900" t="s">
        <v>4215</v>
      </c>
      <c r="J900" t="s">
        <v>23</v>
      </c>
      <c r="K900">
        <v>8.6999999999999993</v>
      </c>
      <c r="L900">
        <v>23096324</v>
      </c>
      <c r="M900">
        <v>759378</v>
      </c>
      <c r="N900">
        <v>97</v>
      </c>
      <c r="O900" t="s">
        <v>65</v>
      </c>
      <c r="P900" t="s">
        <v>50</v>
      </c>
    </row>
    <row r="901" spans="1:16" x14ac:dyDescent="0.35">
      <c r="A901" t="s">
        <v>2770</v>
      </c>
      <c r="B901" t="s">
        <v>2771</v>
      </c>
      <c r="C901" t="s">
        <v>4178</v>
      </c>
      <c r="D901" t="s">
        <v>75</v>
      </c>
      <c r="E901" t="s">
        <v>4178</v>
      </c>
      <c r="F901" s="1">
        <v>43922</v>
      </c>
      <c r="G901">
        <v>2010</v>
      </c>
      <c r="H901" t="s">
        <v>85</v>
      </c>
      <c r="I901" t="s">
        <v>64</v>
      </c>
      <c r="J901" t="s">
        <v>57</v>
      </c>
      <c r="K901">
        <v>8.1</v>
      </c>
      <c r="L901">
        <v>2938448</v>
      </c>
      <c r="M901">
        <v>2751289</v>
      </c>
      <c r="N901">
        <v>54</v>
      </c>
      <c r="O901" t="s">
        <v>65</v>
      </c>
      <c r="P901" t="s">
        <v>87</v>
      </c>
    </row>
    <row r="902" spans="1:16" x14ac:dyDescent="0.35">
      <c r="A902" t="s">
        <v>1215</v>
      </c>
      <c r="B902" t="s">
        <v>1216</v>
      </c>
      <c r="C902" t="s">
        <v>4178</v>
      </c>
      <c r="D902" t="s">
        <v>54</v>
      </c>
      <c r="E902" t="s">
        <v>62</v>
      </c>
      <c r="F902" s="1">
        <v>43926</v>
      </c>
      <c r="G902">
        <v>2009</v>
      </c>
      <c r="H902" t="s">
        <v>85</v>
      </c>
      <c r="I902" t="s">
        <v>39</v>
      </c>
      <c r="J902" t="s">
        <v>23</v>
      </c>
      <c r="K902">
        <v>6.1</v>
      </c>
      <c r="L902">
        <v>13965993</v>
      </c>
      <c r="M902">
        <v>3577819</v>
      </c>
      <c r="N902">
        <v>48</v>
      </c>
      <c r="O902" t="s">
        <v>123</v>
      </c>
      <c r="P902" t="s">
        <v>32</v>
      </c>
    </row>
    <row r="903" spans="1:16" x14ac:dyDescent="0.35">
      <c r="A903" t="s">
        <v>3297</v>
      </c>
      <c r="B903" t="s">
        <v>3298</v>
      </c>
      <c r="C903" t="s">
        <v>53</v>
      </c>
      <c r="D903" t="s">
        <v>68</v>
      </c>
      <c r="E903" t="s">
        <v>55</v>
      </c>
      <c r="F903" s="1">
        <v>43927</v>
      </c>
      <c r="G903">
        <v>2016</v>
      </c>
      <c r="H903" t="s">
        <v>38</v>
      </c>
      <c r="I903" t="s">
        <v>162</v>
      </c>
      <c r="J903" t="s">
        <v>133</v>
      </c>
      <c r="K903">
        <v>8.1</v>
      </c>
      <c r="L903">
        <v>23441288</v>
      </c>
      <c r="M903">
        <v>1536135</v>
      </c>
      <c r="N903">
        <v>75</v>
      </c>
      <c r="O903" t="s">
        <v>4178</v>
      </c>
      <c r="P903" t="s">
        <v>32</v>
      </c>
    </row>
    <row r="904" spans="1:16" x14ac:dyDescent="0.35">
      <c r="A904" t="s">
        <v>2010</v>
      </c>
      <c r="B904" t="s">
        <v>2011</v>
      </c>
      <c r="C904" t="s">
        <v>84</v>
      </c>
      <c r="D904" t="s">
        <v>75</v>
      </c>
      <c r="E904" t="s">
        <v>4178</v>
      </c>
      <c r="F904" s="1">
        <v>43929</v>
      </c>
      <c r="G904">
        <v>2001</v>
      </c>
      <c r="H904" t="s">
        <v>107</v>
      </c>
      <c r="I904" t="s">
        <v>4191</v>
      </c>
      <c r="J904" t="s">
        <v>153</v>
      </c>
      <c r="K904">
        <v>5.3</v>
      </c>
      <c r="L904">
        <v>19872969</v>
      </c>
      <c r="M904">
        <v>321537</v>
      </c>
      <c r="N904">
        <v>100</v>
      </c>
      <c r="O904" t="s">
        <v>49</v>
      </c>
      <c r="P904" t="s">
        <v>4181</v>
      </c>
    </row>
    <row r="905" spans="1:16" x14ac:dyDescent="0.35">
      <c r="A905" t="s">
        <v>3291</v>
      </c>
      <c r="B905" t="s">
        <v>3292</v>
      </c>
      <c r="C905" t="s">
        <v>84</v>
      </c>
      <c r="D905" t="s">
        <v>4178</v>
      </c>
      <c r="E905" t="s">
        <v>99</v>
      </c>
      <c r="F905" s="1">
        <v>43930</v>
      </c>
      <c r="G905">
        <v>2013</v>
      </c>
      <c r="H905" t="s">
        <v>107</v>
      </c>
      <c r="I905" t="s">
        <v>4240</v>
      </c>
      <c r="J905" t="s">
        <v>57</v>
      </c>
      <c r="K905">
        <v>7.3</v>
      </c>
      <c r="L905">
        <v>12824046</v>
      </c>
      <c r="M905">
        <v>4594036</v>
      </c>
      <c r="N905">
        <v>48</v>
      </c>
      <c r="O905" t="s">
        <v>123</v>
      </c>
      <c r="P905" t="s">
        <v>87</v>
      </c>
    </row>
    <row r="906" spans="1:16" x14ac:dyDescent="0.35">
      <c r="A906" t="s">
        <v>3824</v>
      </c>
      <c r="B906" t="s">
        <v>3825</v>
      </c>
      <c r="C906" t="s">
        <v>53</v>
      </c>
      <c r="D906" t="s">
        <v>4178</v>
      </c>
      <c r="E906" t="s">
        <v>55</v>
      </c>
      <c r="F906" s="1">
        <v>43930</v>
      </c>
      <c r="G906">
        <v>2008</v>
      </c>
      <c r="H906" t="s">
        <v>4178</v>
      </c>
      <c r="I906" t="s">
        <v>71</v>
      </c>
      <c r="J906" t="s">
        <v>40</v>
      </c>
      <c r="K906">
        <v>9.6999999999999993</v>
      </c>
      <c r="L906">
        <v>1247362</v>
      </c>
      <c r="M906">
        <v>439965</v>
      </c>
      <c r="N906">
        <v>71</v>
      </c>
      <c r="O906" t="s">
        <v>58</v>
      </c>
      <c r="P906" t="s">
        <v>50</v>
      </c>
    </row>
    <row r="907" spans="1:16" x14ac:dyDescent="0.35">
      <c r="A907" t="s">
        <v>915</v>
      </c>
      <c r="B907" t="s">
        <v>916</v>
      </c>
      <c r="C907" t="s">
        <v>84</v>
      </c>
      <c r="D907" t="s">
        <v>90</v>
      </c>
      <c r="E907" t="s">
        <v>69</v>
      </c>
      <c r="F907" s="1">
        <v>43933</v>
      </c>
      <c r="G907">
        <v>2020</v>
      </c>
      <c r="H907" t="s">
        <v>38</v>
      </c>
      <c r="I907" t="s">
        <v>4284</v>
      </c>
      <c r="J907" t="s">
        <v>40</v>
      </c>
      <c r="K907">
        <v>5.2</v>
      </c>
      <c r="L907">
        <v>15871214</v>
      </c>
      <c r="M907">
        <v>2042253</v>
      </c>
      <c r="N907">
        <v>47</v>
      </c>
      <c r="O907" t="s">
        <v>31</v>
      </c>
      <c r="P907" t="s">
        <v>4181</v>
      </c>
    </row>
    <row r="908" spans="1:16" x14ac:dyDescent="0.35">
      <c r="A908" t="s">
        <v>3052</v>
      </c>
      <c r="B908" t="s">
        <v>3053</v>
      </c>
      <c r="C908" t="s">
        <v>84</v>
      </c>
      <c r="D908" t="s">
        <v>68</v>
      </c>
      <c r="E908" t="s">
        <v>62</v>
      </c>
      <c r="F908" s="1">
        <v>43934</v>
      </c>
      <c r="G908">
        <v>2019</v>
      </c>
      <c r="H908" t="s">
        <v>81</v>
      </c>
      <c r="I908" t="s">
        <v>4284</v>
      </c>
      <c r="J908" t="s">
        <v>133</v>
      </c>
      <c r="K908">
        <v>5.6</v>
      </c>
      <c r="L908">
        <v>20330824</v>
      </c>
      <c r="M908">
        <v>254650</v>
      </c>
      <c r="N908">
        <v>42</v>
      </c>
      <c r="O908" t="s">
        <v>24</v>
      </c>
      <c r="P908" t="s">
        <v>4178</v>
      </c>
    </row>
    <row r="909" spans="1:16" x14ac:dyDescent="0.35">
      <c r="A909" t="s">
        <v>903</v>
      </c>
      <c r="B909" t="s">
        <v>904</v>
      </c>
      <c r="C909" t="s">
        <v>53</v>
      </c>
      <c r="D909" t="s">
        <v>4178</v>
      </c>
      <c r="E909" t="s">
        <v>20</v>
      </c>
      <c r="F909" s="1">
        <v>43936</v>
      </c>
      <c r="G909">
        <v>2001</v>
      </c>
      <c r="H909" t="s">
        <v>63</v>
      </c>
      <c r="I909" t="s">
        <v>71</v>
      </c>
      <c r="J909" t="s">
        <v>30</v>
      </c>
      <c r="K909">
        <v>9.3000000000000007</v>
      </c>
      <c r="L909">
        <v>13985256</v>
      </c>
      <c r="M909">
        <v>4111342</v>
      </c>
      <c r="N909">
        <v>98</v>
      </c>
      <c r="O909" t="s">
        <v>65</v>
      </c>
      <c r="P909" t="s">
        <v>50</v>
      </c>
    </row>
    <row r="910" spans="1:16" x14ac:dyDescent="0.35">
      <c r="A910" t="s">
        <v>2465</v>
      </c>
      <c r="B910" t="s">
        <v>2466</v>
      </c>
      <c r="C910" t="s">
        <v>84</v>
      </c>
      <c r="D910" t="s">
        <v>4178</v>
      </c>
      <c r="E910" t="s">
        <v>4196</v>
      </c>
      <c r="F910" s="1">
        <v>43936</v>
      </c>
      <c r="G910">
        <v>2023</v>
      </c>
      <c r="H910" t="s">
        <v>85</v>
      </c>
      <c r="I910" t="s">
        <v>4285</v>
      </c>
      <c r="J910" t="s">
        <v>4178</v>
      </c>
      <c r="K910">
        <v>7.2</v>
      </c>
      <c r="L910">
        <v>4036494</v>
      </c>
      <c r="M910">
        <v>3878220</v>
      </c>
      <c r="N910">
        <v>72</v>
      </c>
      <c r="O910" t="s">
        <v>58</v>
      </c>
      <c r="P910" t="s">
        <v>87</v>
      </c>
    </row>
    <row r="911" spans="1:16" x14ac:dyDescent="0.35">
      <c r="A911" t="s">
        <v>2310</v>
      </c>
      <c r="B911" t="s">
        <v>2311</v>
      </c>
      <c r="C911" t="s">
        <v>53</v>
      </c>
      <c r="D911" t="s">
        <v>4178</v>
      </c>
      <c r="E911" t="s">
        <v>45</v>
      </c>
      <c r="F911" s="1">
        <v>43939</v>
      </c>
      <c r="G911">
        <v>2021</v>
      </c>
      <c r="H911" t="s">
        <v>121</v>
      </c>
      <c r="I911" t="s">
        <v>71</v>
      </c>
      <c r="J911" t="s">
        <v>96</v>
      </c>
      <c r="K911">
        <v>8</v>
      </c>
      <c r="L911">
        <v>8073584</v>
      </c>
      <c r="M911">
        <v>2395069</v>
      </c>
      <c r="N911">
        <v>44</v>
      </c>
      <c r="O911" t="s">
        <v>41</v>
      </c>
      <c r="P911" t="s">
        <v>87</v>
      </c>
    </row>
    <row r="912" spans="1:16" x14ac:dyDescent="0.35">
      <c r="A912" t="s">
        <v>3333</v>
      </c>
      <c r="B912" t="s">
        <v>3334</v>
      </c>
      <c r="C912" t="s">
        <v>84</v>
      </c>
      <c r="D912" t="s">
        <v>4178</v>
      </c>
      <c r="E912" t="s">
        <v>80</v>
      </c>
      <c r="F912" s="1">
        <v>43939</v>
      </c>
      <c r="G912">
        <v>2009</v>
      </c>
      <c r="H912" t="s">
        <v>107</v>
      </c>
      <c r="I912" t="s">
        <v>4191</v>
      </c>
      <c r="J912" t="s">
        <v>133</v>
      </c>
      <c r="K912">
        <v>8.3000000000000007</v>
      </c>
      <c r="L912">
        <v>10413696</v>
      </c>
      <c r="M912">
        <v>3661510</v>
      </c>
      <c r="N912">
        <v>63</v>
      </c>
      <c r="O912" t="s">
        <v>58</v>
      </c>
      <c r="P912" t="s">
        <v>4178</v>
      </c>
    </row>
    <row r="913" spans="1:16" x14ac:dyDescent="0.35">
      <c r="A913" t="s">
        <v>1647</v>
      </c>
      <c r="B913" t="s">
        <v>1648</v>
      </c>
      <c r="C913" t="s">
        <v>84</v>
      </c>
      <c r="D913" t="s">
        <v>75</v>
      </c>
      <c r="E913" t="s">
        <v>62</v>
      </c>
      <c r="F913" s="1">
        <v>43940</v>
      </c>
      <c r="G913">
        <v>2016</v>
      </c>
      <c r="H913" t="s">
        <v>46</v>
      </c>
      <c r="I913" t="s">
        <v>4236</v>
      </c>
      <c r="J913" t="s">
        <v>57</v>
      </c>
      <c r="K913">
        <v>6.5</v>
      </c>
      <c r="L913">
        <v>18000073</v>
      </c>
      <c r="M913">
        <v>2813846</v>
      </c>
      <c r="N913">
        <v>73</v>
      </c>
      <c r="O913" t="s">
        <v>58</v>
      </c>
      <c r="P913" t="s">
        <v>50</v>
      </c>
    </row>
    <row r="914" spans="1:16" x14ac:dyDescent="0.35">
      <c r="A914" t="s">
        <v>2973</v>
      </c>
      <c r="B914" t="s">
        <v>2974</v>
      </c>
      <c r="C914" t="s">
        <v>53</v>
      </c>
      <c r="D914" t="s">
        <v>4178</v>
      </c>
      <c r="E914" t="s">
        <v>4196</v>
      </c>
      <c r="F914" s="1">
        <v>43941</v>
      </c>
      <c r="G914">
        <v>2007</v>
      </c>
      <c r="H914" t="s">
        <v>107</v>
      </c>
      <c r="I914" t="s">
        <v>56</v>
      </c>
      <c r="J914" t="s">
        <v>30</v>
      </c>
      <c r="K914">
        <v>9.6999999999999993</v>
      </c>
      <c r="L914">
        <v>19158932</v>
      </c>
      <c r="M914">
        <v>215101</v>
      </c>
      <c r="N914">
        <v>86</v>
      </c>
      <c r="O914" t="s">
        <v>65</v>
      </c>
      <c r="P914" t="s">
        <v>4181</v>
      </c>
    </row>
    <row r="915" spans="1:16" x14ac:dyDescent="0.35">
      <c r="A915" t="s">
        <v>1673</v>
      </c>
      <c r="B915" t="s">
        <v>1674</v>
      </c>
      <c r="C915" t="s">
        <v>84</v>
      </c>
      <c r="D915" t="s">
        <v>156</v>
      </c>
      <c r="E915" t="s">
        <v>55</v>
      </c>
      <c r="F915" s="1">
        <v>43943</v>
      </c>
      <c r="G915">
        <v>2012</v>
      </c>
      <c r="H915" t="s">
        <v>107</v>
      </c>
      <c r="I915" t="s">
        <v>4306</v>
      </c>
      <c r="J915" t="s">
        <v>30</v>
      </c>
      <c r="K915">
        <v>5.2</v>
      </c>
      <c r="L915">
        <v>22661972</v>
      </c>
      <c r="M915">
        <v>2929385</v>
      </c>
      <c r="N915">
        <v>51</v>
      </c>
      <c r="O915" t="s">
        <v>49</v>
      </c>
      <c r="P915" t="s">
        <v>4181</v>
      </c>
    </row>
    <row r="916" spans="1:16" x14ac:dyDescent="0.35">
      <c r="A916" t="s">
        <v>872</v>
      </c>
      <c r="B916" t="s">
        <v>873</v>
      </c>
      <c r="C916" t="s">
        <v>84</v>
      </c>
      <c r="D916" t="s">
        <v>19</v>
      </c>
      <c r="E916" t="s">
        <v>45</v>
      </c>
      <c r="F916" s="1">
        <v>43944</v>
      </c>
      <c r="G916">
        <v>2022</v>
      </c>
      <c r="H916" t="s">
        <v>21</v>
      </c>
      <c r="I916" t="s">
        <v>4227</v>
      </c>
      <c r="J916" t="s">
        <v>57</v>
      </c>
      <c r="K916">
        <v>8</v>
      </c>
      <c r="L916">
        <v>6833451</v>
      </c>
      <c r="M916">
        <v>1911777</v>
      </c>
      <c r="N916">
        <v>61</v>
      </c>
      <c r="O916" t="s">
        <v>104</v>
      </c>
      <c r="P916" t="s">
        <v>87</v>
      </c>
    </row>
    <row r="917" spans="1:16" x14ac:dyDescent="0.35">
      <c r="A917" t="s">
        <v>3257</v>
      </c>
      <c r="B917" t="s">
        <v>3258</v>
      </c>
      <c r="C917" t="s">
        <v>4178</v>
      </c>
      <c r="D917" t="s">
        <v>36</v>
      </c>
      <c r="E917" t="s">
        <v>45</v>
      </c>
      <c r="F917" s="1">
        <v>43946</v>
      </c>
      <c r="G917">
        <v>2016</v>
      </c>
      <c r="H917" t="s">
        <v>46</v>
      </c>
      <c r="I917" t="s">
        <v>64</v>
      </c>
      <c r="J917" t="s">
        <v>30</v>
      </c>
      <c r="K917">
        <v>7.6</v>
      </c>
      <c r="L917">
        <v>10724949</v>
      </c>
      <c r="M917">
        <v>1452520</v>
      </c>
      <c r="N917">
        <v>73</v>
      </c>
      <c r="O917" t="s">
        <v>24</v>
      </c>
      <c r="P917" t="s">
        <v>87</v>
      </c>
    </row>
    <row r="918" spans="1:16" x14ac:dyDescent="0.35">
      <c r="A918" t="s">
        <v>2292</v>
      </c>
      <c r="B918" t="s">
        <v>2293</v>
      </c>
      <c r="C918" t="s">
        <v>53</v>
      </c>
      <c r="D918" t="s">
        <v>75</v>
      </c>
      <c r="E918" t="s">
        <v>55</v>
      </c>
      <c r="F918" s="1">
        <v>43947</v>
      </c>
      <c r="G918">
        <v>2008</v>
      </c>
      <c r="H918" t="s">
        <v>38</v>
      </c>
      <c r="I918" t="s">
        <v>64</v>
      </c>
      <c r="J918" t="s">
        <v>153</v>
      </c>
      <c r="K918">
        <v>7</v>
      </c>
      <c r="L918">
        <v>16966237</v>
      </c>
      <c r="M918">
        <v>3824780</v>
      </c>
      <c r="N918">
        <v>90</v>
      </c>
      <c r="O918" t="s">
        <v>31</v>
      </c>
      <c r="P918" t="s">
        <v>87</v>
      </c>
    </row>
    <row r="919" spans="1:16" x14ac:dyDescent="0.35">
      <c r="A919" t="s">
        <v>3176</v>
      </c>
      <c r="B919" t="s">
        <v>3177</v>
      </c>
      <c r="C919" t="s">
        <v>53</v>
      </c>
      <c r="D919" t="s">
        <v>61</v>
      </c>
      <c r="E919" t="s">
        <v>55</v>
      </c>
      <c r="F919" s="1">
        <v>43947</v>
      </c>
      <c r="G919">
        <v>2025</v>
      </c>
      <c r="H919" t="s">
        <v>121</v>
      </c>
      <c r="I919" t="s">
        <v>118</v>
      </c>
      <c r="J919" t="s">
        <v>57</v>
      </c>
      <c r="K919">
        <v>6.4</v>
      </c>
      <c r="L919">
        <v>22669574</v>
      </c>
      <c r="M919">
        <v>517299</v>
      </c>
      <c r="N919">
        <v>50</v>
      </c>
      <c r="O919" t="s">
        <v>123</v>
      </c>
      <c r="P919" t="s">
        <v>4181</v>
      </c>
    </row>
    <row r="920" spans="1:16" x14ac:dyDescent="0.35">
      <c r="A920" t="s">
        <v>4006</v>
      </c>
      <c r="B920" t="s">
        <v>4007</v>
      </c>
      <c r="C920" t="s">
        <v>53</v>
      </c>
      <c r="D920" t="s">
        <v>4178</v>
      </c>
      <c r="E920" t="s">
        <v>4178</v>
      </c>
      <c r="F920" s="1">
        <v>43950</v>
      </c>
      <c r="G920">
        <v>2025</v>
      </c>
      <c r="H920" t="s">
        <v>4178</v>
      </c>
      <c r="I920" t="s">
        <v>71</v>
      </c>
      <c r="J920" t="s">
        <v>72</v>
      </c>
      <c r="K920">
        <v>7.5</v>
      </c>
      <c r="L920">
        <v>768127</v>
      </c>
      <c r="M920">
        <v>1578084</v>
      </c>
      <c r="N920">
        <v>98</v>
      </c>
      <c r="O920" t="s">
        <v>31</v>
      </c>
      <c r="P920" t="s">
        <v>4178</v>
      </c>
    </row>
    <row r="921" spans="1:16" x14ac:dyDescent="0.35">
      <c r="A921" t="s">
        <v>1565</v>
      </c>
      <c r="B921" t="s">
        <v>1566</v>
      </c>
      <c r="C921" t="s">
        <v>84</v>
      </c>
      <c r="D921" t="s">
        <v>68</v>
      </c>
      <c r="E921" t="s">
        <v>28</v>
      </c>
      <c r="F921" s="1">
        <v>43952</v>
      </c>
      <c r="G921">
        <v>2001</v>
      </c>
      <c r="H921" t="s">
        <v>63</v>
      </c>
      <c r="I921" t="s">
        <v>4281</v>
      </c>
      <c r="J921" t="s">
        <v>40</v>
      </c>
      <c r="K921">
        <v>7.7</v>
      </c>
      <c r="L921">
        <v>22905024</v>
      </c>
      <c r="M921">
        <v>1227815</v>
      </c>
      <c r="N921">
        <v>70</v>
      </c>
      <c r="O921" t="s">
        <v>123</v>
      </c>
      <c r="P921" t="s">
        <v>4181</v>
      </c>
    </row>
    <row r="922" spans="1:16" x14ac:dyDescent="0.35">
      <c r="A922" t="s">
        <v>2872</v>
      </c>
      <c r="B922" t="s">
        <v>2873</v>
      </c>
      <c r="C922" t="s">
        <v>53</v>
      </c>
      <c r="D922" t="s">
        <v>61</v>
      </c>
      <c r="E922" t="s">
        <v>69</v>
      </c>
      <c r="F922" s="1">
        <v>43959</v>
      </c>
      <c r="G922">
        <v>2022</v>
      </c>
      <c r="H922" t="s">
        <v>21</v>
      </c>
      <c r="I922" t="s">
        <v>56</v>
      </c>
      <c r="J922" t="s">
        <v>30</v>
      </c>
      <c r="K922">
        <v>7.9</v>
      </c>
      <c r="L922">
        <v>5774985</v>
      </c>
      <c r="M922">
        <v>4792482</v>
      </c>
      <c r="N922">
        <v>70</v>
      </c>
      <c r="O922" t="s">
        <v>31</v>
      </c>
      <c r="P922" t="s">
        <v>50</v>
      </c>
    </row>
    <row r="923" spans="1:16" x14ac:dyDescent="0.35">
      <c r="A923" t="s">
        <v>544</v>
      </c>
      <c r="B923" t="s">
        <v>543</v>
      </c>
      <c r="C923" t="s">
        <v>53</v>
      </c>
      <c r="D923" t="s">
        <v>19</v>
      </c>
      <c r="E923" t="s">
        <v>55</v>
      </c>
      <c r="F923" s="1">
        <v>43961</v>
      </c>
      <c r="G923">
        <v>2025</v>
      </c>
      <c r="H923" t="s">
        <v>46</v>
      </c>
      <c r="I923" t="s">
        <v>39</v>
      </c>
      <c r="J923" t="s">
        <v>133</v>
      </c>
      <c r="K923">
        <v>9</v>
      </c>
      <c r="L923">
        <v>11316281</v>
      </c>
      <c r="M923">
        <v>3080672</v>
      </c>
      <c r="N923">
        <v>47</v>
      </c>
      <c r="O923" t="s">
        <v>49</v>
      </c>
      <c r="P923" t="s">
        <v>4181</v>
      </c>
    </row>
    <row r="924" spans="1:16" x14ac:dyDescent="0.35">
      <c r="A924" t="s">
        <v>2160</v>
      </c>
      <c r="B924" t="s">
        <v>4344</v>
      </c>
      <c r="C924" t="s">
        <v>84</v>
      </c>
      <c r="D924" t="s">
        <v>61</v>
      </c>
      <c r="E924" t="s">
        <v>4178</v>
      </c>
      <c r="F924" s="1">
        <v>43964</v>
      </c>
      <c r="G924">
        <v>2000</v>
      </c>
      <c r="H924" t="s">
        <v>121</v>
      </c>
      <c r="I924" t="s">
        <v>4210</v>
      </c>
      <c r="J924" t="s">
        <v>40</v>
      </c>
      <c r="K924">
        <v>8.6999999999999993</v>
      </c>
      <c r="L924">
        <v>13836049</v>
      </c>
      <c r="M924">
        <v>4286491</v>
      </c>
      <c r="N924">
        <v>83</v>
      </c>
      <c r="O924" t="s">
        <v>58</v>
      </c>
      <c r="P924" t="s">
        <v>4178</v>
      </c>
    </row>
    <row r="925" spans="1:16" x14ac:dyDescent="0.35">
      <c r="A925" t="s">
        <v>1325</v>
      </c>
      <c r="B925" t="s">
        <v>1326</v>
      </c>
      <c r="C925" t="s">
        <v>53</v>
      </c>
      <c r="D925" t="s">
        <v>68</v>
      </c>
      <c r="E925" t="s">
        <v>62</v>
      </c>
      <c r="F925" s="1">
        <v>43969</v>
      </c>
      <c r="G925">
        <v>2013</v>
      </c>
      <c r="H925" t="s">
        <v>21</v>
      </c>
      <c r="I925" t="s">
        <v>71</v>
      </c>
      <c r="J925" t="s">
        <v>40</v>
      </c>
      <c r="K925">
        <v>5</v>
      </c>
      <c r="L925">
        <v>-691</v>
      </c>
      <c r="M925">
        <v>2159609</v>
      </c>
      <c r="N925">
        <v>70</v>
      </c>
      <c r="O925" t="s">
        <v>31</v>
      </c>
      <c r="P925" t="s">
        <v>4178</v>
      </c>
    </row>
    <row r="926" spans="1:16" x14ac:dyDescent="0.35">
      <c r="A926" t="s">
        <v>3429</v>
      </c>
      <c r="B926" t="s">
        <v>3430</v>
      </c>
      <c r="C926" t="s">
        <v>84</v>
      </c>
      <c r="D926" t="s">
        <v>4178</v>
      </c>
      <c r="E926" t="s">
        <v>4196</v>
      </c>
      <c r="F926" s="1">
        <v>43972</v>
      </c>
      <c r="G926">
        <v>2018</v>
      </c>
      <c r="H926" t="s">
        <v>107</v>
      </c>
      <c r="I926" t="s">
        <v>4336</v>
      </c>
      <c r="J926" t="s">
        <v>72</v>
      </c>
      <c r="K926">
        <v>8.4</v>
      </c>
      <c r="L926">
        <v>4644937</v>
      </c>
      <c r="M926">
        <v>3812819</v>
      </c>
      <c r="N926">
        <v>45</v>
      </c>
      <c r="O926" t="s">
        <v>91</v>
      </c>
      <c r="P926" t="s">
        <v>87</v>
      </c>
    </row>
    <row r="927" spans="1:16" x14ac:dyDescent="0.35">
      <c r="A927" t="s">
        <v>748</v>
      </c>
      <c r="B927" t="s">
        <v>4271</v>
      </c>
      <c r="C927" t="s">
        <v>53</v>
      </c>
      <c r="D927" t="s">
        <v>75</v>
      </c>
      <c r="E927" t="s">
        <v>37</v>
      </c>
      <c r="F927" s="1">
        <v>43975</v>
      </c>
      <c r="G927">
        <v>2003</v>
      </c>
      <c r="H927" t="s">
        <v>107</v>
      </c>
      <c r="I927" t="s">
        <v>71</v>
      </c>
      <c r="J927" t="s">
        <v>30</v>
      </c>
      <c r="K927">
        <v>5</v>
      </c>
      <c r="L927">
        <v>7154801</v>
      </c>
      <c r="M927">
        <v>491644</v>
      </c>
      <c r="N927">
        <v>42</v>
      </c>
      <c r="O927" t="s">
        <v>104</v>
      </c>
      <c r="P927" t="s">
        <v>4178</v>
      </c>
    </row>
    <row r="928" spans="1:16" x14ac:dyDescent="0.35">
      <c r="A928" t="s">
        <v>2215</v>
      </c>
      <c r="B928" t="s">
        <v>2216</v>
      </c>
      <c r="C928" t="s">
        <v>84</v>
      </c>
      <c r="D928" t="s">
        <v>61</v>
      </c>
      <c r="E928" t="s">
        <v>4196</v>
      </c>
      <c r="F928" s="1">
        <v>43975</v>
      </c>
      <c r="G928">
        <v>2018</v>
      </c>
      <c r="H928" t="s">
        <v>107</v>
      </c>
      <c r="I928" t="s">
        <v>4190</v>
      </c>
      <c r="J928" t="s">
        <v>133</v>
      </c>
      <c r="K928">
        <v>5.2</v>
      </c>
      <c r="L928">
        <v>21725792</v>
      </c>
      <c r="M928">
        <v>3925748</v>
      </c>
      <c r="N928">
        <v>49</v>
      </c>
      <c r="O928" t="s">
        <v>49</v>
      </c>
      <c r="P928" t="s">
        <v>32</v>
      </c>
    </row>
    <row r="929" spans="1:16" x14ac:dyDescent="0.35">
      <c r="A929" t="s">
        <v>3323</v>
      </c>
      <c r="B929" t="s">
        <v>3324</v>
      </c>
      <c r="C929" t="s">
        <v>84</v>
      </c>
      <c r="D929" t="s">
        <v>54</v>
      </c>
      <c r="E929" t="s">
        <v>69</v>
      </c>
      <c r="F929" s="1">
        <v>43982</v>
      </c>
      <c r="G929">
        <v>2013</v>
      </c>
      <c r="H929" t="s">
        <v>46</v>
      </c>
      <c r="I929" t="s">
        <v>4203</v>
      </c>
      <c r="J929" t="s">
        <v>96</v>
      </c>
      <c r="K929">
        <v>5.7</v>
      </c>
      <c r="L929">
        <v>3808635</v>
      </c>
      <c r="M929">
        <v>1051887</v>
      </c>
      <c r="N929">
        <v>120</v>
      </c>
      <c r="O929" t="s">
        <v>49</v>
      </c>
      <c r="P929" t="s">
        <v>4181</v>
      </c>
    </row>
    <row r="930" spans="1:16" x14ac:dyDescent="0.35">
      <c r="A930" t="s">
        <v>3015</v>
      </c>
      <c r="B930" t="s">
        <v>3016</v>
      </c>
      <c r="C930" t="s">
        <v>4178</v>
      </c>
      <c r="D930" t="s">
        <v>75</v>
      </c>
      <c r="E930" t="s">
        <v>99</v>
      </c>
      <c r="F930" s="1">
        <v>43983</v>
      </c>
      <c r="G930">
        <v>2032</v>
      </c>
      <c r="H930" t="s">
        <v>21</v>
      </c>
      <c r="I930" t="s">
        <v>71</v>
      </c>
      <c r="J930" t="s">
        <v>30</v>
      </c>
      <c r="K930">
        <v>6.4</v>
      </c>
      <c r="L930">
        <v>18984112</v>
      </c>
      <c r="M930">
        <v>1645153</v>
      </c>
      <c r="N930">
        <v>82</v>
      </c>
      <c r="O930" t="s">
        <v>41</v>
      </c>
      <c r="P930" t="s">
        <v>32</v>
      </c>
    </row>
    <row r="931" spans="1:16" x14ac:dyDescent="0.35">
      <c r="A931" t="s">
        <v>3773</v>
      </c>
      <c r="B931" t="s">
        <v>3774</v>
      </c>
      <c r="C931" t="s">
        <v>84</v>
      </c>
      <c r="D931" t="s">
        <v>19</v>
      </c>
      <c r="E931" t="s">
        <v>69</v>
      </c>
      <c r="F931" s="1">
        <v>43984</v>
      </c>
      <c r="G931">
        <v>2019</v>
      </c>
      <c r="H931" t="s">
        <v>121</v>
      </c>
      <c r="I931" t="s">
        <v>4258</v>
      </c>
      <c r="J931" t="s">
        <v>96</v>
      </c>
      <c r="K931">
        <v>9.3000000000000007</v>
      </c>
      <c r="L931">
        <v>11847558</v>
      </c>
      <c r="M931">
        <v>687276</v>
      </c>
      <c r="N931">
        <v>95</v>
      </c>
      <c r="O931" t="s">
        <v>24</v>
      </c>
      <c r="P931" t="s">
        <v>50</v>
      </c>
    </row>
    <row r="932" spans="1:16" x14ac:dyDescent="0.35">
      <c r="A932" t="s">
        <v>2416</v>
      </c>
      <c r="B932" t="s">
        <v>2417</v>
      </c>
      <c r="C932" t="s">
        <v>53</v>
      </c>
      <c r="D932" t="s">
        <v>68</v>
      </c>
      <c r="E932" t="s">
        <v>4178</v>
      </c>
      <c r="F932" s="1">
        <v>43988</v>
      </c>
      <c r="G932">
        <v>2016</v>
      </c>
      <c r="H932" t="s">
        <v>85</v>
      </c>
      <c r="I932" t="s">
        <v>95</v>
      </c>
      <c r="J932" t="s">
        <v>23</v>
      </c>
      <c r="K932">
        <v>5.2</v>
      </c>
      <c r="L932">
        <v>11817868</v>
      </c>
      <c r="M932">
        <v>4613834</v>
      </c>
      <c r="N932">
        <v>88</v>
      </c>
      <c r="O932" t="s">
        <v>104</v>
      </c>
      <c r="P932" t="s">
        <v>32</v>
      </c>
    </row>
    <row r="933" spans="1:16" x14ac:dyDescent="0.35">
      <c r="A933" t="s">
        <v>1354</v>
      </c>
      <c r="B933" t="s">
        <v>1355</v>
      </c>
      <c r="C933" t="s">
        <v>53</v>
      </c>
      <c r="D933" t="s">
        <v>90</v>
      </c>
      <c r="E933" t="s">
        <v>80</v>
      </c>
      <c r="F933" s="1">
        <v>43992</v>
      </c>
      <c r="G933">
        <v>2018</v>
      </c>
      <c r="H933" t="s">
        <v>4178</v>
      </c>
      <c r="I933" t="s">
        <v>71</v>
      </c>
      <c r="J933" t="s">
        <v>103</v>
      </c>
      <c r="K933">
        <v>6.7</v>
      </c>
      <c r="L933">
        <v>1390657</v>
      </c>
      <c r="M933">
        <v>3610902</v>
      </c>
      <c r="N933">
        <v>97</v>
      </c>
      <c r="O933" t="s">
        <v>58</v>
      </c>
      <c r="P933" t="s">
        <v>50</v>
      </c>
    </row>
    <row r="934" spans="1:16" x14ac:dyDescent="0.35">
      <c r="A934" t="s">
        <v>2241</v>
      </c>
      <c r="B934" t="s">
        <v>2242</v>
      </c>
      <c r="C934" t="s">
        <v>53</v>
      </c>
      <c r="D934" t="s">
        <v>4178</v>
      </c>
      <c r="E934" t="s">
        <v>45</v>
      </c>
      <c r="F934" s="1">
        <v>43996</v>
      </c>
      <c r="G934">
        <v>2011</v>
      </c>
      <c r="H934" t="s">
        <v>4178</v>
      </c>
      <c r="I934" t="s">
        <v>39</v>
      </c>
      <c r="J934" t="s">
        <v>96</v>
      </c>
      <c r="K934">
        <v>8.8000000000000007</v>
      </c>
      <c r="L934">
        <v>24420290</v>
      </c>
      <c r="M934">
        <v>3092702</v>
      </c>
      <c r="N934">
        <v>46</v>
      </c>
      <c r="O934" t="s">
        <v>58</v>
      </c>
      <c r="P934" t="s">
        <v>50</v>
      </c>
    </row>
    <row r="935" spans="1:16" x14ac:dyDescent="0.35">
      <c r="A935" t="s">
        <v>216</v>
      </c>
      <c r="B935" t="s">
        <v>217</v>
      </c>
      <c r="C935" t="s">
        <v>84</v>
      </c>
      <c r="D935" t="s">
        <v>54</v>
      </c>
      <c r="E935" t="s">
        <v>131</v>
      </c>
      <c r="F935" s="1">
        <v>44000</v>
      </c>
      <c r="G935">
        <v>2014</v>
      </c>
      <c r="H935" t="s">
        <v>46</v>
      </c>
      <c r="I935" t="s">
        <v>4207</v>
      </c>
      <c r="J935" t="s">
        <v>96</v>
      </c>
      <c r="K935">
        <v>8.6</v>
      </c>
      <c r="L935">
        <v>8876417</v>
      </c>
      <c r="M935">
        <v>97435</v>
      </c>
      <c r="N935">
        <v>92</v>
      </c>
      <c r="O935" t="s">
        <v>65</v>
      </c>
      <c r="P935" t="s">
        <v>50</v>
      </c>
    </row>
    <row r="936" spans="1:16" x14ac:dyDescent="0.35">
      <c r="A936" t="s">
        <v>1265</v>
      </c>
      <c r="B936" t="s">
        <v>1266</v>
      </c>
      <c r="C936" t="s">
        <v>4178</v>
      </c>
      <c r="D936" t="s">
        <v>68</v>
      </c>
      <c r="E936" t="s">
        <v>131</v>
      </c>
      <c r="F936" s="1">
        <v>44001</v>
      </c>
      <c r="G936">
        <v>2005</v>
      </c>
      <c r="H936" t="s">
        <v>4178</v>
      </c>
      <c r="I936" t="s">
        <v>136</v>
      </c>
      <c r="J936" t="s">
        <v>23</v>
      </c>
      <c r="K936">
        <v>7.3</v>
      </c>
      <c r="L936">
        <v>3197895</v>
      </c>
      <c r="M936">
        <v>4993437</v>
      </c>
      <c r="N936">
        <v>70</v>
      </c>
      <c r="O936" t="s">
        <v>91</v>
      </c>
      <c r="P936" t="s">
        <v>87</v>
      </c>
    </row>
    <row r="937" spans="1:16" x14ac:dyDescent="0.35">
      <c r="A937" t="s">
        <v>1598</v>
      </c>
      <c r="B937" t="s">
        <v>1599</v>
      </c>
      <c r="C937" t="s">
        <v>4178</v>
      </c>
      <c r="D937" t="s">
        <v>156</v>
      </c>
      <c r="E937" t="s">
        <v>113</v>
      </c>
      <c r="F937" s="1">
        <v>44001</v>
      </c>
      <c r="G937">
        <v>2001</v>
      </c>
      <c r="H937" t="s">
        <v>121</v>
      </c>
      <c r="I937" t="s">
        <v>71</v>
      </c>
      <c r="J937" t="s">
        <v>48</v>
      </c>
      <c r="K937">
        <v>8.8000000000000007</v>
      </c>
      <c r="L937">
        <v>8240050</v>
      </c>
      <c r="M937">
        <v>1562710</v>
      </c>
      <c r="N937">
        <v>99</v>
      </c>
      <c r="O937" t="s">
        <v>123</v>
      </c>
      <c r="P937" t="s">
        <v>50</v>
      </c>
    </row>
    <row r="938" spans="1:16" x14ac:dyDescent="0.35">
      <c r="A938" t="s">
        <v>33</v>
      </c>
      <c r="B938" t="s">
        <v>34</v>
      </c>
      <c r="C938" t="s">
        <v>53</v>
      </c>
      <c r="D938" t="s">
        <v>36</v>
      </c>
      <c r="E938" t="s">
        <v>37</v>
      </c>
      <c r="F938" s="1">
        <v>44004</v>
      </c>
      <c r="G938">
        <v>2009</v>
      </c>
      <c r="H938" t="s">
        <v>38</v>
      </c>
      <c r="I938" t="s">
        <v>39</v>
      </c>
      <c r="J938" t="s">
        <v>40</v>
      </c>
      <c r="K938">
        <v>6</v>
      </c>
      <c r="L938">
        <v>3971630</v>
      </c>
      <c r="M938">
        <v>4295403</v>
      </c>
      <c r="N938">
        <v>88</v>
      </c>
      <c r="O938" t="s">
        <v>41</v>
      </c>
      <c r="P938" t="s">
        <v>4181</v>
      </c>
    </row>
    <row r="939" spans="1:16" x14ac:dyDescent="0.35">
      <c r="A939" t="s">
        <v>2541</v>
      </c>
      <c r="B939" t="s">
        <v>2542</v>
      </c>
      <c r="C939" t="s">
        <v>84</v>
      </c>
      <c r="D939" t="s">
        <v>54</v>
      </c>
      <c r="E939" t="s">
        <v>20</v>
      </c>
      <c r="F939" s="1">
        <v>44005</v>
      </c>
      <c r="G939">
        <v>2007</v>
      </c>
      <c r="H939" t="s">
        <v>114</v>
      </c>
      <c r="I939" t="s">
        <v>4266</v>
      </c>
      <c r="J939" t="s">
        <v>96</v>
      </c>
      <c r="K939">
        <v>9.1999999999999993</v>
      </c>
      <c r="L939">
        <v>23057702</v>
      </c>
      <c r="M939">
        <v>986134</v>
      </c>
      <c r="N939">
        <v>55</v>
      </c>
      <c r="O939" t="s">
        <v>4178</v>
      </c>
      <c r="P939" t="s">
        <v>87</v>
      </c>
    </row>
    <row r="940" spans="1:16" x14ac:dyDescent="0.35">
      <c r="A940" t="s">
        <v>1363</v>
      </c>
      <c r="B940" t="s">
        <v>1364</v>
      </c>
      <c r="C940" t="s">
        <v>53</v>
      </c>
      <c r="D940" t="s">
        <v>94</v>
      </c>
      <c r="E940" t="s">
        <v>62</v>
      </c>
      <c r="F940" s="1">
        <v>44015</v>
      </c>
      <c r="G940">
        <v>2019</v>
      </c>
      <c r="H940" t="s">
        <v>107</v>
      </c>
      <c r="I940" t="s">
        <v>39</v>
      </c>
      <c r="J940" t="s">
        <v>40</v>
      </c>
      <c r="K940">
        <v>6.7</v>
      </c>
      <c r="L940">
        <v>16423820</v>
      </c>
      <c r="M940">
        <v>1325879</v>
      </c>
      <c r="N940">
        <v>81</v>
      </c>
      <c r="O940" t="s">
        <v>123</v>
      </c>
      <c r="P940" t="s">
        <v>32</v>
      </c>
    </row>
    <row r="941" spans="1:16" x14ac:dyDescent="0.35">
      <c r="A941" t="s">
        <v>1165</v>
      </c>
      <c r="B941" t="s">
        <v>1166</v>
      </c>
      <c r="C941" t="s">
        <v>84</v>
      </c>
      <c r="D941" t="s">
        <v>156</v>
      </c>
      <c r="E941" t="s">
        <v>4178</v>
      </c>
      <c r="F941" s="1">
        <v>44016</v>
      </c>
      <c r="G941">
        <v>2008</v>
      </c>
      <c r="H941" t="s">
        <v>38</v>
      </c>
      <c r="I941" t="s">
        <v>4259</v>
      </c>
      <c r="J941" t="s">
        <v>133</v>
      </c>
      <c r="K941">
        <v>6.7</v>
      </c>
      <c r="L941">
        <v>6220247</v>
      </c>
      <c r="M941">
        <v>4520357</v>
      </c>
      <c r="N941">
        <v>81</v>
      </c>
      <c r="O941" t="s">
        <v>104</v>
      </c>
      <c r="P941" t="s">
        <v>4178</v>
      </c>
    </row>
    <row r="942" spans="1:16" x14ac:dyDescent="0.35">
      <c r="A942" t="s">
        <v>3279</v>
      </c>
      <c r="B942" t="s">
        <v>3280</v>
      </c>
      <c r="C942" t="s">
        <v>84</v>
      </c>
      <c r="D942" t="s">
        <v>4178</v>
      </c>
      <c r="E942" t="s">
        <v>45</v>
      </c>
      <c r="F942" s="1">
        <v>44022</v>
      </c>
      <c r="G942">
        <v>2026</v>
      </c>
      <c r="H942" t="s">
        <v>38</v>
      </c>
      <c r="I942" t="s">
        <v>4226</v>
      </c>
      <c r="J942" t="s">
        <v>72</v>
      </c>
      <c r="K942">
        <v>4.7</v>
      </c>
      <c r="L942">
        <v>8380193</v>
      </c>
      <c r="M942">
        <v>1458303</v>
      </c>
      <c r="N942">
        <v>89</v>
      </c>
      <c r="O942" t="s">
        <v>123</v>
      </c>
      <c r="P942" t="s">
        <v>32</v>
      </c>
    </row>
    <row r="943" spans="1:16" x14ac:dyDescent="0.35">
      <c r="A943" t="s">
        <v>4091</v>
      </c>
      <c r="B943" t="s">
        <v>4092</v>
      </c>
      <c r="C943" t="s">
        <v>84</v>
      </c>
      <c r="D943" t="s">
        <v>19</v>
      </c>
      <c r="E943" t="s">
        <v>113</v>
      </c>
      <c r="F943" s="1">
        <v>44022</v>
      </c>
      <c r="G943">
        <v>2023</v>
      </c>
      <c r="H943" t="s">
        <v>38</v>
      </c>
      <c r="I943" t="s">
        <v>4215</v>
      </c>
      <c r="J943" t="s">
        <v>103</v>
      </c>
      <c r="K943">
        <v>6.3</v>
      </c>
      <c r="L943">
        <v>1781495</v>
      </c>
      <c r="M943">
        <v>3306604</v>
      </c>
      <c r="N943">
        <v>79</v>
      </c>
      <c r="O943" t="s">
        <v>123</v>
      </c>
      <c r="P943" t="s">
        <v>87</v>
      </c>
    </row>
    <row r="944" spans="1:16" x14ac:dyDescent="0.35">
      <c r="A944" t="s">
        <v>2651</v>
      </c>
      <c r="B944" t="s">
        <v>2652</v>
      </c>
      <c r="C944" t="s">
        <v>53</v>
      </c>
      <c r="D944" t="s">
        <v>75</v>
      </c>
      <c r="E944" t="s">
        <v>55</v>
      </c>
      <c r="F944" s="1">
        <v>44024</v>
      </c>
      <c r="G944">
        <v>2018</v>
      </c>
      <c r="H944" t="s">
        <v>121</v>
      </c>
      <c r="I944" t="s">
        <v>64</v>
      </c>
      <c r="J944" t="s">
        <v>133</v>
      </c>
      <c r="K944">
        <v>8.4</v>
      </c>
      <c r="L944">
        <v>21654865</v>
      </c>
      <c r="M944">
        <v>2314414</v>
      </c>
      <c r="N944">
        <v>41</v>
      </c>
      <c r="O944" t="s">
        <v>65</v>
      </c>
      <c r="P944" t="s">
        <v>4181</v>
      </c>
    </row>
    <row r="945" spans="1:16" x14ac:dyDescent="0.35">
      <c r="A945" t="s">
        <v>773</v>
      </c>
      <c r="B945" t="s">
        <v>774</v>
      </c>
      <c r="C945" t="s">
        <v>84</v>
      </c>
      <c r="D945" t="s">
        <v>4178</v>
      </c>
      <c r="E945" t="s">
        <v>113</v>
      </c>
      <c r="F945" s="1">
        <v>44027</v>
      </c>
      <c r="G945">
        <v>2001</v>
      </c>
      <c r="H945" t="s">
        <v>21</v>
      </c>
      <c r="I945" t="s">
        <v>4274</v>
      </c>
      <c r="J945" t="s">
        <v>133</v>
      </c>
      <c r="K945">
        <v>6.3</v>
      </c>
      <c r="L945">
        <v>14627210</v>
      </c>
      <c r="M945">
        <v>2910191</v>
      </c>
      <c r="N945">
        <v>74</v>
      </c>
      <c r="O945" t="s">
        <v>41</v>
      </c>
      <c r="P945" t="s">
        <v>4181</v>
      </c>
    </row>
    <row r="946" spans="1:16" x14ac:dyDescent="0.35">
      <c r="A946" t="s">
        <v>185</v>
      </c>
      <c r="B946" t="s">
        <v>186</v>
      </c>
      <c r="C946" t="s">
        <v>84</v>
      </c>
      <c r="D946" t="s">
        <v>4178</v>
      </c>
      <c r="E946" t="s">
        <v>28</v>
      </c>
      <c r="F946" s="1">
        <v>44031</v>
      </c>
      <c r="G946">
        <v>2007</v>
      </c>
      <c r="H946" t="s">
        <v>63</v>
      </c>
      <c r="I946" t="s">
        <v>4200</v>
      </c>
      <c r="J946" t="s">
        <v>30</v>
      </c>
      <c r="K946">
        <v>4.8</v>
      </c>
      <c r="L946">
        <v>8262686</v>
      </c>
      <c r="M946">
        <v>4256746</v>
      </c>
      <c r="N946">
        <v>81</v>
      </c>
      <c r="O946" t="s">
        <v>104</v>
      </c>
      <c r="P946" t="s">
        <v>32</v>
      </c>
    </row>
    <row r="947" spans="1:16" x14ac:dyDescent="0.35">
      <c r="A947" t="s">
        <v>1381</v>
      </c>
      <c r="B947" t="s">
        <v>1380</v>
      </c>
      <c r="C947" t="s">
        <v>53</v>
      </c>
      <c r="D947" t="s">
        <v>61</v>
      </c>
      <c r="E947" t="s">
        <v>62</v>
      </c>
      <c r="F947" s="1">
        <v>44031</v>
      </c>
      <c r="G947">
        <v>2019</v>
      </c>
      <c r="H947" t="s">
        <v>46</v>
      </c>
      <c r="I947" t="s">
        <v>71</v>
      </c>
      <c r="J947" t="s">
        <v>153</v>
      </c>
      <c r="K947">
        <v>8.1999999999999993</v>
      </c>
      <c r="L947">
        <v>12920132</v>
      </c>
      <c r="M947">
        <v>3105600</v>
      </c>
      <c r="N947">
        <v>57</v>
      </c>
      <c r="O947" t="s">
        <v>49</v>
      </c>
      <c r="P947" t="s">
        <v>4181</v>
      </c>
    </row>
    <row r="948" spans="1:16" x14ac:dyDescent="0.35">
      <c r="A948" t="s">
        <v>2631</v>
      </c>
      <c r="B948" t="s">
        <v>2632</v>
      </c>
      <c r="C948" t="s">
        <v>84</v>
      </c>
      <c r="D948" t="s">
        <v>54</v>
      </c>
      <c r="E948" t="s">
        <v>113</v>
      </c>
      <c r="F948" s="1">
        <v>44031</v>
      </c>
      <c r="G948">
        <v>2007</v>
      </c>
      <c r="H948" t="s">
        <v>85</v>
      </c>
      <c r="I948" t="s">
        <v>4177</v>
      </c>
      <c r="J948" t="s">
        <v>4178</v>
      </c>
      <c r="K948">
        <v>6</v>
      </c>
      <c r="L948">
        <v>537850</v>
      </c>
      <c r="M948">
        <v>2837389</v>
      </c>
      <c r="N948">
        <v>76</v>
      </c>
      <c r="O948" t="s">
        <v>123</v>
      </c>
      <c r="P948" t="s">
        <v>4181</v>
      </c>
    </row>
    <row r="949" spans="1:16" x14ac:dyDescent="0.35">
      <c r="A949" t="s">
        <v>761</v>
      </c>
      <c r="B949" t="s">
        <v>762</v>
      </c>
      <c r="C949" t="s">
        <v>84</v>
      </c>
      <c r="D949" t="s">
        <v>61</v>
      </c>
      <c r="E949" t="s">
        <v>4178</v>
      </c>
      <c r="F949" s="1">
        <v>44032</v>
      </c>
      <c r="G949">
        <v>2014</v>
      </c>
      <c r="H949" t="s">
        <v>21</v>
      </c>
      <c r="I949" t="s">
        <v>4273</v>
      </c>
      <c r="J949" t="s">
        <v>72</v>
      </c>
      <c r="K949">
        <v>7.8</v>
      </c>
      <c r="L949">
        <v>18230880</v>
      </c>
      <c r="M949">
        <v>1971091</v>
      </c>
      <c r="N949">
        <v>76</v>
      </c>
      <c r="O949" t="s">
        <v>58</v>
      </c>
      <c r="P949" t="s">
        <v>4178</v>
      </c>
    </row>
    <row r="950" spans="1:16" x14ac:dyDescent="0.35">
      <c r="A950" t="s">
        <v>1563</v>
      </c>
      <c r="B950" t="s">
        <v>1564</v>
      </c>
      <c r="C950" t="s">
        <v>53</v>
      </c>
      <c r="D950" t="s">
        <v>61</v>
      </c>
      <c r="E950" t="s">
        <v>62</v>
      </c>
      <c r="F950" s="1">
        <v>44034</v>
      </c>
      <c r="G950">
        <v>2014</v>
      </c>
      <c r="H950" t="s">
        <v>38</v>
      </c>
      <c r="I950" t="s">
        <v>118</v>
      </c>
      <c r="J950" t="s">
        <v>103</v>
      </c>
      <c r="K950">
        <v>6.9</v>
      </c>
      <c r="L950">
        <v>10039808</v>
      </c>
      <c r="M950">
        <v>1878951</v>
      </c>
      <c r="N950">
        <v>49</v>
      </c>
      <c r="O950" t="s">
        <v>41</v>
      </c>
      <c r="P950" t="s">
        <v>50</v>
      </c>
    </row>
    <row r="951" spans="1:16" x14ac:dyDescent="0.35">
      <c r="A951" t="s">
        <v>3628</v>
      </c>
      <c r="B951" t="s">
        <v>3629</v>
      </c>
      <c r="C951" t="s">
        <v>84</v>
      </c>
      <c r="D951" t="s">
        <v>90</v>
      </c>
      <c r="E951" t="s">
        <v>113</v>
      </c>
      <c r="F951" s="1">
        <v>44036</v>
      </c>
      <c r="G951">
        <v>2020</v>
      </c>
      <c r="H951" t="s">
        <v>63</v>
      </c>
      <c r="I951" t="s">
        <v>4191</v>
      </c>
      <c r="J951" t="s">
        <v>72</v>
      </c>
      <c r="K951">
        <v>4.7</v>
      </c>
      <c r="L951">
        <v>13112130</v>
      </c>
      <c r="M951">
        <v>2009830</v>
      </c>
      <c r="N951">
        <v>100</v>
      </c>
      <c r="O951" t="s">
        <v>58</v>
      </c>
      <c r="P951" t="s">
        <v>4181</v>
      </c>
    </row>
    <row r="952" spans="1:16" x14ac:dyDescent="0.35">
      <c r="A952" t="s">
        <v>2581</v>
      </c>
      <c r="B952" t="s">
        <v>2582</v>
      </c>
      <c r="C952" t="s">
        <v>53</v>
      </c>
      <c r="D952" t="s">
        <v>27</v>
      </c>
      <c r="E952" t="s">
        <v>62</v>
      </c>
      <c r="F952" s="1">
        <v>44039</v>
      </c>
      <c r="G952">
        <v>2012</v>
      </c>
      <c r="H952" t="s">
        <v>38</v>
      </c>
      <c r="I952" t="s">
        <v>4178</v>
      </c>
      <c r="J952" t="s">
        <v>57</v>
      </c>
      <c r="K952">
        <v>6.3</v>
      </c>
      <c r="L952">
        <v>17175828</v>
      </c>
      <c r="M952">
        <v>327896</v>
      </c>
      <c r="N952">
        <v>78</v>
      </c>
      <c r="O952" t="s">
        <v>49</v>
      </c>
      <c r="P952" t="s">
        <v>87</v>
      </c>
    </row>
    <row r="953" spans="1:16" x14ac:dyDescent="0.35">
      <c r="A953" t="s">
        <v>576</v>
      </c>
      <c r="B953" t="s">
        <v>577</v>
      </c>
      <c r="C953" t="s">
        <v>84</v>
      </c>
      <c r="D953" t="s">
        <v>156</v>
      </c>
      <c r="E953" t="s">
        <v>4196</v>
      </c>
      <c r="F953" s="1">
        <v>44041</v>
      </c>
      <c r="G953">
        <v>2024</v>
      </c>
      <c r="H953" t="s">
        <v>81</v>
      </c>
      <c r="I953" t="s">
        <v>4242</v>
      </c>
      <c r="J953" t="s">
        <v>48</v>
      </c>
      <c r="K953">
        <v>5.4</v>
      </c>
      <c r="L953">
        <v>15274677</v>
      </c>
      <c r="M953">
        <v>4940262</v>
      </c>
      <c r="N953">
        <v>97</v>
      </c>
      <c r="O953" t="s">
        <v>24</v>
      </c>
      <c r="P953" t="s">
        <v>4178</v>
      </c>
    </row>
    <row r="954" spans="1:16" x14ac:dyDescent="0.35">
      <c r="A954" t="s">
        <v>1581</v>
      </c>
      <c r="B954" t="s">
        <v>4319</v>
      </c>
      <c r="C954" t="s">
        <v>53</v>
      </c>
      <c r="D954" t="s">
        <v>4178</v>
      </c>
      <c r="E954" t="s">
        <v>37</v>
      </c>
      <c r="F954" s="1">
        <v>44041</v>
      </c>
      <c r="G954">
        <v>2012</v>
      </c>
      <c r="H954" t="s">
        <v>21</v>
      </c>
      <c r="I954" t="s">
        <v>162</v>
      </c>
      <c r="J954" t="s">
        <v>103</v>
      </c>
      <c r="K954">
        <v>5.9</v>
      </c>
      <c r="L954">
        <v>4508939</v>
      </c>
      <c r="M954">
        <v>2863939</v>
      </c>
      <c r="N954">
        <v>56</v>
      </c>
      <c r="O954" t="s">
        <v>58</v>
      </c>
      <c r="P954" t="s">
        <v>4181</v>
      </c>
    </row>
    <row r="955" spans="1:16" x14ac:dyDescent="0.35">
      <c r="A955" t="s">
        <v>578</v>
      </c>
      <c r="B955" t="s">
        <v>579</v>
      </c>
      <c r="C955" t="s">
        <v>84</v>
      </c>
      <c r="D955" t="s">
        <v>61</v>
      </c>
      <c r="E955" t="s">
        <v>4178</v>
      </c>
      <c r="F955" s="1">
        <v>44044</v>
      </c>
      <c r="G955">
        <v>2032</v>
      </c>
      <c r="H955" t="s">
        <v>81</v>
      </c>
      <c r="I955" t="s">
        <v>4243</v>
      </c>
      <c r="J955" t="s">
        <v>133</v>
      </c>
      <c r="K955">
        <v>5.8</v>
      </c>
      <c r="L955">
        <v>2777333</v>
      </c>
      <c r="M955">
        <v>743313</v>
      </c>
      <c r="N955">
        <v>49</v>
      </c>
      <c r="O955" t="s">
        <v>49</v>
      </c>
      <c r="P955" t="s">
        <v>50</v>
      </c>
    </row>
    <row r="956" spans="1:16" x14ac:dyDescent="0.35">
      <c r="A956" t="s">
        <v>1211</v>
      </c>
      <c r="B956" t="s">
        <v>1212</v>
      </c>
      <c r="C956" t="s">
        <v>53</v>
      </c>
      <c r="D956" t="s">
        <v>90</v>
      </c>
      <c r="E956" t="s">
        <v>28</v>
      </c>
      <c r="F956" s="1">
        <v>44049</v>
      </c>
      <c r="G956">
        <v>2010</v>
      </c>
      <c r="H956" t="s">
        <v>46</v>
      </c>
      <c r="I956" t="s">
        <v>71</v>
      </c>
      <c r="J956" t="s">
        <v>40</v>
      </c>
      <c r="K956">
        <v>11.2</v>
      </c>
      <c r="L956">
        <v>20823281</v>
      </c>
      <c r="M956">
        <v>1220596</v>
      </c>
      <c r="N956">
        <v>46</v>
      </c>
      <c r="O956" t="s">
        <v>31</v>
      </c>
      <c r="P956" t="s">
        <v>50</v>
      </c>
    </row>
    <row r="957" spans="1:16" x14ac:dyDescent="0.35">
      <c r="A957" t="s">
        <v>2717</v>
      </c>
      <c r="B957" t="s">
        <v>2718</v>
      </c>
      <c r="C957" t="s">
        <v>84</v>
      </c>
      <c r="D957" t="s">
        <v>75</v>
      </c>
      <c r="E957" t="s">
        <v>131</v>
      </c>
      <c r="F957" s="1">
        <v>44051</v>
      </c>
      <c r="G957">
        <v>2018</v>
      </c>
      <c r="H957" t="s">
        <v>121</v>
      </c>
      <c r="I957" t="s">
        <v>4229</v>
      </c>
      <c r="J957" t="s">
        <v>40</v>
      </c>
      <c r="K957">
        <v>7.5</v>
      </c>
      <c r="L957">
        <v>23288891</v>
      </c>
      <c r="M957">
        <v>4271387</v>
      </c>
      <c r="N957">
        <v>74</v>
      </c>
      <c r="O957" t="s">
        <v>91</v>
      </c>
      <c r="P957" t="s">
        <v>50</v>
      </c>
    </row>
    <row r="958" spans="1:16" x14ac:dyDescent="0.35">
      <c r="A958" t="s">
        <v>3425</v>
      </c>
      <c r="B958" t="s">
        <v>3426</v>
      </c>
      <c r="C958" t="s">
        <v>4178</v>
      </c>
      <c r="D958" t="s">
        <v>36</v>
      </c>
      <c r="E958" t="s">
        <v>4178</v>
      </c>
      <c r="F958" s="1">
        <v>44051</v>
      </c>
      <c r="G958">
        <v>2007</v>
      </c>
      <c r="H958" t="s">
        <v>4178</v>
      </c>
      <c r="I958" t="s">
        <v>56</v>
      </c>
      <c r="J958" t="s">
        <v>133</v>
      </c>
      <c r="K958">
        <v>9.3000000000000007</v>
      </c>
      <c r="L958">
        <v>11600127</v>
      </c>
      <c r="M958">
        <v>619642</v>
      </c>
      <c r="N958">
        <v>91</v>
      </c>
      <c r="O958" t="s">
        <v>24</v>
      </c>
      <c r="P958" t="s">
        <v>4181</v>
      </c>
    </row>
    <row r="959" spans="1:16" x14ac:dyDescent="0.35">
      <c r="A959" t="s">
        <v>3739</v>
      </c>
      <c r="B959" t="s">
        <v>3740</v>
      </c>
      <c r="C959" t="s">
        <v>84</v>
      </c>
      <c r="D959" t="s">
        <v>36</v>
      </c>
      <c r="E959" t="s">
        <v>69</v>
      </c>
      <c r="F959" s="1">
        <v>44053</v>
      </c>
      <c r="G959">
        <v>2011</v>
      </c>
      <c r="H959" t="s">
        <v>107</v>
      </c>
      <c r="I959" t="s">
        <v>4233</v>
      </c>
      <c r="J959" t="s">
        <v>72</v>
      </c>
      <c r="K959">
        <v>5.0999999999999996</v>
      </c>
      <c r="L959">
        <v>6384267</v>
      </c>
      <c r="M959">
        <v>4643160</v>
      </c>
      <c r="N959">
        <v>88</v>
      </c>
      <c r="O959" t="s">
        <v>31</v>
      </c>
      <c r="P959" t="s">
        <v>50</v>
      </c>
    </row>
    <row r="960" spans="1:16" x14ac:dyDescent="0.35">
      <c r="A960" t="s">
        <v>1342</v>
      </c>
      <c r="B960" t="s">
        <v>1343</v>
      </c>
      <c r="C960" t="s">
        <v>84</v>
      </c>
      <c r="D960" t="s">
        <v>4178</v>
      </c>
      <c r="E960" t="s">
        <v>4178</v>
      </c>
      <c r="F960" s="1">
        <v>44055</v>
      </c>
      <c r="G960">
        <v>2003</v>
      </c>
      <c r="H960" t="s">
        <v>81</v>
      </c>
      <c r="I960" t="s">
        <v>4297</v>
      </c>
      <c r="J960" t="s">
        <v>103</v>
      </c>
      <c r="K960">
        <v>9.5</v>
      </c>
      <c r="L960">
        <v>10372910</v>
      </c>
      <c r="M960">
        <v>1491785</v>
      </c>
      <c r="N960">
        <v>88</v>
      </c>
      <c r="O960" t="s">
        <v>4178</v>
      </c>
      <c r="P960" t="s">
        <v>50</v>
      </c>
    </row>
    <row r="961" spans="1:16" x14ac:dyDescent="0.35">
      <c r="A961" t="s">
        <v>1542</v>
      </c>
      <c r="B961" t="s">
        <v>1543</v>
      </c>
      <c r="C961" t="s">
        <v>84</v>
      </c>
      <c r="D961" t="s">
        <v>27</v>
      </c>
      <c r="E961" t="s">
        <v>62</v>
      </c>
      <c r="F961" s="1">
        <v>44056</v>
      </c>
      <c r="G961">
        <v>2025</v>
      </c>
      <c r="H961" t="s">
        <v>4178</v>
      </c>
      <c r="I961" t="s">
        <v>4229</v>
      </c>
      <c r="J961" t="s">
        <v>133</v>
      </c>
      <c r="K961">
        <v>9.1999999999999993</v>
      </c>
      <c r="L961">
        <v>7482780</v>
      </c>
      <c r="M961">
        <v>1059932</v>
      </c>
      <c r="N961">
        <v>43</v>
      </c>
      <c r="O961" t="s">
        <v>104</v>
      </c>
      <c r="P961" t="s">
        <v>50</v>
      </c>
    </row>
    <row r="962" spans="1:16" x14ac:dyDescent="0.35">
      <c r="A962" t="s">
        <v>3508</v>
      </c>
      <c r="B962" t="s">
        <v>3509</v>
      </c>
      <c r="C962" t="s">
        <v>4178</v>
      </c>
      <c r="D962" t="s">
        <v>90</v>
      </c>
      <c r="E962" t="s">
        <v>45</v>
      </c>
      <c r="F962" s="1">
        <v>44057</v>
      </c>
      <c r="G962">
        <v>2003</v>
      </c>
      <c r="H962" t="s">
        <v>4178</v>
      </c>
      <c r="I962" t="s">
        <v>136</v>
      </c>
      <c r="J962" t="s">
        <v>133</v>
      </c>
      <c r="K962">
        <v>9.4</v>
      </c>
      <c r="L962">
        <v>13371186</v>
      </c>
      <c r="M962">
        <v>4981041</v>
      </c>
      <c r="N962">
        <v>70</v>
      </c>
      <c r="O962" t="s">
        <v>31</v>
      </c>
      <c r="P962" t="s">
        <v>32</v>
      </c>
    </row>
    <row r="963" spans="1:16" x14ac:dyDescent="0.35">
      <c r="A963" t="s">
        <v>1329</v>
      </c>
      <c r="B963" t="s">
        <v>1330</v>
      </c>
      <c r="C963" t="s">
        <v>4178</v>
      </c>
      <c r="D963" t="s">
        <v>36</v>
      </c>
      <c r="E963" t="s">
        <v>69</v>
      </c>
      <c r="F963" s="1">
        <v>44058</v>
      </c>
      <c r="G963">
        <v>2001</v>
      </c>
      <c r="H963" t="s">
        <v>107</v>
      </c>
      <c r="I963" t="s">
        <v>118</v>
      </c>
      <c r="J963" t="s">
        <v>23</v>
      </c>
      <c r="K963">
        <v>8.6999999999999993</v>
      </c>
      <c r="L963">
        <v>15637843</v>
      </c>
      <c r="M963">
        <v>2283755</v>
      </c>
      <c r="N963">
        <v>66</v>
      </c>
      <c r="O963" t="s">
        <v>123</v>
      </c>
      <c r="P963" t="s">
        <v>4181</v>
      </c>
    </row>
    <row r="964" spans="1:16" x14ac:dyDescent="0.35">
      <c r="A964" t="s">
        <v>863</v>
      </c>
      <c r="B964" t="s">
        <v>864</v>
      </c>
      <c r="C964" t="s">
        <v>84</v>
      </c>
      <c r="D964" t="s">
        <v>19</v>
      </c>
      <c r="E964" t="s">
        <v>4178</v>
      </c>
      <c r="F964" s="1">
        <v>44060</v>
      </c>
      <c r="G964">
        <v>2017</v>
      </c>
      <c r="H964" t="s">
        <v>107</v>
      </c>
      <c r="I964" t="s">
        <v>4281</v>
      </c>
      <c r="J964" t="s">
        <v>23</v>
      </c>
      <c r="K964">
        <v>9.6999999999999993</v>
      </c>
      <c r="L964">
        <v>19299205</v>
      </c>
      <c r="M964">
        <v>482775</v>
      </c>
      <c r="N964">
        <v>99</v>
      </c>
      <c r="O964" t="s">
        <v>49</v>
      </c>
      <c r="P964" t="s">
        <v>50</v>
      </c>
    </row>
    <row r="965" spans="1:16" x14ac:dyDescent="0.35">
      <c r="A965" t="s">
        <v>920</v>
      </c>
      <c r="B965" t="s">
        <v>921</v>
      </c>
      <c r="C965" t="s">
        <v>4178</v>
      </c>
      <c r="D965" t="s">
        <v>75</v>
      </c>
      <c r="E965" t="s">
        <v>80</v>
      </c>
      <c r="F965" s="1">
        <v>44060</v>
      </c>
      <c r="G965">
        <v>2012</v>
      </c>
      <c r="H965" t="s">
        <v>38</v>
      </c>
      <c r="I965" t="s">
        <v>71</v>
      </c>
      <c r="J965" t="s">
        <v>57</v>
      </c>
      <c r="K965">
        <v>7.6</v>
      </c>
      <c r="L965">
        <v>18983827</v>
      </c>
      <c r="M965">
        <v>3786937</v>
      </c>
      <c r="N965">
        <v>63</v>
      </c>
      <c r="O965" t="s">
        <v>58</v>
      </c>
      <c r="P965" t="s">
        <v>32</v>
      </c>
    </row>
    <row r="966" spans="1:16" x14ac:dyDescent="0.35">
      <c r="A966" t="s">
        <v>1602</v>
      </c>
      <c r="B966" t="s">
        <v>1603</v>
      </c>
      <c r="C966" t="s">
        <v>4178</v>
      </c>
      <c r="D966" t="s">
        <v>68</v>
      </c>
      <c r="E966" t="s">
        <v>62</v>
      </c>
      <c r="F966" s="1">
        <v>44061</v>
      </c>
      <c r="G966">
        <v>2017</v>
      </c>
      <c r="H966" t="s">
        <v>107</v>
      </c>
      <c r="I966" t="s">
        <v>64</v>
      </c>
      <c r="J966" t="s">
        <v>30</v>
      </c>
      <c r="K966">
        <v>9.8000000000000007</v>
      </c>
      <c r="L966">
        <v>7561376</v>
      </c>
      <c r="M966">
        <v>3805571</v>
      </c>
      <c r="N966">
        <v>49</v>
      </c>
      <c r="O966" t="s">
        <v>49</v>
      </c>
      <c r="P966" t="s">
        <v>4178</v>
      </c>
    </row>
    <row r="967" spans="1:16" x14ac:dyDescent="0.35">
      <c r="A967" t="s">
        <v>2274</v>
      </c>
      <c r="B967" t="s">
        <v>2275</v>
      </c>
      <c r="C967" t="s">
        <v>84</v>
      </c>
      <c r="D967" t="s">
        <v>68</v>
      </c>
      <c r="E967" t="s">
        <v>20</v>
      </c>
      <c r="F967" s="1">
        <v>44062</v>
      </c>
      <c r="G967">
        <v>2023</v>
      </c>
      <c r="H967" t="s">
        <v>38</v>
      </c>
      <c r="I967" t="s">
        <v>4259</v>
      </c>
      <c r="J967" t="s">
        <v>103</v>
      </c>
      <c r="K967">
        <v>7</v>
      </c>
      <c r="L967">
        <v>22814306</v>
      </c>
      <c r="M967">
        <v>2354880</v>
      </c>
      <c r="N967">
        <v>89</v>
      </c>
      <c r="O967" t="s">
        <v>58</v>
      </c>
      <c r="P967" t="s">
        <v>50</v>
      </c>
    </row>
    <row r="968" spans="1:16" x14ac:dyDescent="0.35">
      <c r="A968" t="s">
        <v>2330</v>
      </c>
      <c r="B968" t="s">
        <v>2331</v>
      </c>
      <c r="C968" t="s">
        <v>84</v>
      </c>
      <c r="D968" t="s">
        <v>27</v>
      </c>
      <c r="E968" t="s">
        <v>62</v>
      </c>
      <c r="F968" s="1">
        <v>44063</v>
      </c>
      <c r="G968">
        <v>2004</v>
      </c>
      <c r="H968" t="s">
        <v>85</v>
      </c>
      <c r="I968" t="s">
        <v>4350</v>
      </c>
      <c r="J968" t="s">
        <v>30</v>
      </c>
      <c r="K968">
        <v>9.1999999999999993</v>
      </c>
      <c r="L968">
        <v>771637</v>
      </c>
      <c r="M968">
        <v>490806</v>
      </c>
      <c r="N968">
        <v>40</v>
      </c>
      <c r="O968" t="s">
        <v>24</v>
      </c>
      <c r="P968" t="s">
        <v>4181</v>
      </c>
    </row>
    <row r="969" spans="1:16" x14ac:dyDescent="0.35">
      <c r="A969" t="s">
        <v>1907</v>
      </c>
      <c r="B969" t="s">
        <v>1908</v>
      </c>
      <c r="C969" t="s">
        <v>84</v>
      </c>
      <c r="D969" t="s">
        <v>90</v>
      </c>
      <c r="E969" t="s">
        <v>131</v>
      </c>
      <c r="F969" s="1">
        <v>44066</v>
      </c>
      <c r="G969">
        <v>2018</v>
      </c>
      <c r="H969" t="s">
        <v>46</v>
      </c>
      <c r="I969" t="s">
        <v>4199</v>
      </c>
      <c r="J969" t="s">
        <v>57</v>
      </c>
      <c r="K969">
        <v>4.5</v>
      </c>
      <c r="L969">
        <v>13081369</v>
      </c>
      <c r="M969">
        <v>4439098</v>
      </c>
      <c r="N969">
        <v>52</v>
      </c>
      <c r="O969" t="s">
        <v>91</v>
      </c>
      <c r="P969" t="s">
        <v>4181</v>
      </c>
    </row>
    <row r="970" spans="1:16" x14ac:dyDescent="0.35">
      <c r="A970" t="s">
        <v>3673</v>
      </c>
      <c r="B970" t="s">
        <v>3674</v>
      </c>
      <c r="C970" t="s">
        <v>84</v>
      </c>
      <c r="D970" t="s">
        <v>36</v>
      </c>
      <c r="E970" t="s">
        <v>99</v>
      </c>
      <c r="F970" s="1">
        <v>44066</v>
      </c>
      <c r="G970">
        <v>2009</v>
      </c>
      <c r="H970" t="s">
        <v>114</v>
      </c>
      <c r="I970" t="s">
        <v>4222</v>
      </c>
      <c r="J970" t="s">
        <v>4178</v>
      </c>
      <c r="K970">
        <v>8.8000000000000007</v>
      </c>
      <c r="L970">
        <v>8809210</v>
      </c>
      <c r="M970">
        <v>1165407</v>
      </c>
      <c r="N970">
        <v>47</v>
      </c>
      <c r="O970" t="s">
        <v>104</v>
      </c>
      <c r="P970" t="s">
        <v>50</v>
      </c>
    </row>
    <row r="971" spans="1:16" x14ac:dyDescent="0.35">
      <c r="A971" t="s">
        <v>2418</v>
      </c>
      <c r="B971" t="s">
        <v>2419</v>
      </c>
      <c r="C971" t="s">
        <v>84</v>
      </c>
      <c r="D971" t="s">
        <v>36</v>
      </c>
      <c r="E971" t="s">
        <v>20</v>
      </c>
      <c r="F971" s="1">
        <v>44070</v>
      </c>
      <c r="G971">
        <v>2015</v>
      </c>
      <c r="H971" t="s">
        <v>4178</v>
      </c>
      <c r="I971" t="s">
        <v>4231</v>
      </c>
      <c r="J971" t="s">
        <v>103</v>
      </c>
      <c r="K971">
        <v>7.5</v>
      </c>
      <c r="L971">
        <v>2845220</v>
      </c>
      <c r="M971">
        <v>1333640</v>
      </c>
      <c r="N971">
        <v>68</v>
      </c>
      <c r="O971" t="s">
        <v>41</v>
      </c>
      <c r="P971" t="s">
        <v>4181</v>
      </c>
    </row>
    <row r="972" spans="1:16" x14ac:dyDescent="0.35">
      <c r="A972" t="s">
        <v>1515</v>
      </c>
      <c r="B972" t="s">
        <v>1516</v>
      </c>
      <c r="C972" t="s">
        <v>84</v>
      </c>
      <c r="D972" t="s">
        <v>36</v>
      </c>
      <c r="E972" t="s">
        <v>45</v>
      </c>
      <c r="F972" s="1">
        <v>44074</v>
      </c>
      <c r="G972">
        <v>2001</v>
      </c>
      <c r="H972" t="s">
        <v>21</v>
      </c>
      <c r="I972" t="s">
        <v>4273</v>
      </c>
      <c r="J972" t="s">
        <v>153</v>
      </c>
      <c r="K972">
        <v>9.3000000000000007</v>
      </c>
      <c r="L972">
        <v>24617326</v>
      </c>
      <c r="M972">
        <v>3602048</v>
      </c>
      <c r="N972">
        <v>59</v>
      </c>
      <c r="O972" t="s">
        <v>104</v>
      </c>
      <c r="P972" t="s">
        <v>87</v>
      </c>
    </row>
    <row r="973" spans="1:16" x14ac:dyDescent="0.35">
      <c r="A973" t="s">
        <v>2697</v>
      </c>
      <c r="B973" t="s">
        <v>2698</v>
      </c>
      <c r="C973" t="s">
        <v>53</v>
      </c>
      <c r="D973" t="s">
        <v>68</v>
      </c>
      <c r="E973" t="s">
        <v>99</v>
      </c>
      <c r="F973" s="1">
        <v>44074</v>
      </c>
      <c r="G973">
        <v>2004</v>
      </c>
      <c r="H973" t="s">
        <v>114</v>
      </c>
      <c r="I973" t="s">
        <v>162</v>
      </c>
      <c r="J973" t="s">
        <v>96</v>
      </c>
      <c r="K973">
        <v>8.4</v>
      </c>
      <c r="L973">
        <v>9161268</v>
      </c>
      <c r="M973">
        <v>3598602</v>
      </c>
      <c r="N973">
        <v>64</v>
      </c>
      <c r="O973" t="s">
        <v>104</v>
      </c>
      <c r="P973" t="s">
        <v>87</v>
      </c>
    </row>
    <row r="974" spans="1:16" x14ac:dyDescent="0.35">
      <c r="A974" t="s">
        <v>2736</v>
      </c>
      <c r="B974" t="s">
        <v>2737</v>
      </c>
      <c r="C974" t="s">
        <v>84</v>
      </c>
      <c r="D974" t="s">
        <v>4178</v>
      </c>
      <c r="E974" t="s">
        <v>55</v>
      </c>
      <c r="F974" s="1">
        <v>44075</v>
      </c>
      <c r="G974">
        <v>2024</v>
      </c>
      <c r="H974" t="s">
        <v>63</v>
      </c>
      <c r="I974" t="s">
        <v>4218</v>
      </c>
      <c r="J974" t="s">
        <v>153</v>
      </c>
      <c r="K974">
        <v>4.9000000000000004</v>
      </c>
      <c r="L974">
        <v>13927384</v>
      </c>
      <c r="M974">
        <v>3096166</v>
      </c>
      <c r="N974">
        <v>43</v>
      </c>
      <c r="O974" t="s">
        <v>49</v>
      </c>
      <c r="P974" t="s">
        <v>32</v>
      </c>
    </row>
    <row r="975" spans="1:16" x14ac:dyDescent="0.35">
      <c r="A975" t="s">
        <v>3216</v>
      </c>
      <c r="B975" t="s">
        <v>3217</v>
      </c>
      <c r="C975" t="s">
        <v>84</v>
      </c>
      <c r="D975" t="s">
        <v>90</v>
      </c>
      <c r="E975" t="s">
        <v>28</v>
      </c>
      <c r="F975" s="1">
        <v>44076</v>
      </c>
      <c r="G975">
        <v>2032</v>
      </c>
      <c r="H975" t="s">
        <v>121</v>
      </c>
      <c r="I975" t="s">
        <v>4233</v>
      </c>
      <c r="J975" t="s">
        <v>48</v>
      </c>
      <c r="K975">
        <v>7.4</v>
      </c>
      <c r="L975">
        <v>15652008</v>
      </c>
      <c r="M975">
        <v>4686946</v>
      </c>
      <c r="N975">
        <v>94</v>
      </c>
      <c r="O975" t="s">
        <v>65</v>
      </c>
      <c r="P975" t="s">
        <v>87</v>
      </c>
    </row>
    <row r="976" spans="1:16" x14ac:dyDescent="0.35">
      <c r="A976" t="s">
        <v>3606</v>
      </c>
      <c r="B976" t="s">
        <v>3607</v>
      </c>
      <c r="C976" t="s">
        <v>4178</v>
      </c>
      <c r="D976" t="s">
        <v>68</v>
      </c>
      <c r="E976" t="s">
        <v>28</v>
      </c>
      <c r="F976" s="1">
        <v>44080</v>
      </c>
      <c r="G976">
        <v>2020</v>
      </c>
      <c r="H976" t="s">
        <v>4178</v>
      </c>
      <c r="I976" t="s">
        <v>118</v>
      </c>
      <c r="J976" t="s">
        <v>96</v>
      </c>
      <c r="K976">
        <v>6.1</v>
      </c>
      <c r="L976">
        <v>2054363</v>
      </c>
      <c r="M976">
        <v>161048</v>
      </c>
      <c r="N976">
        <v>96</v>
      </c>
      <c r="O976" t="s">
        <v>123</v>
      </c>
      <c r="P976" t="s">
        <v>87</v>
      </c>
    </row>
    <row r="977" spans="1:16" x14ac:dyDescent="0.35">
      <c r="A977" t="s">
        <v>3982</v>
      </c>
      <c r="B977" t="s">
        <v>3983</v>
      </c>
      <c r="C977" t="s">
        <v>53</v>
      </c>
      <c r="D977" t="s">
        <v>4178</v>
      </c>
      <c r="E977" t="s">
        <v>131</v>
      </c>
      <c r="F977" s="1">
        <v>44081</v>
      </c>
      <c r="G977">
        <v>2006</v>
      </c>
      <c r="H977" t="s">
        <v>81</v>
      </c>
      <c r="I977" t="s">
        <v>136</v>
      </c>
      <c r="J977" t="s">
        <v>96</v>
      </c>
      <c r="K977">
        <v>8.1</v>
      </c>
      <c r="L977">
        <v>9653186</v>
      </c>
      <c r="M977">
        <v>2885965</v>
      </c>
      <c r="N977">
        <v>94</v>
      </c>
      <c r="O977" t="s">
        <v>91</v>
      </c>
      <c r="P977" t="s">
        <v>50</v>
      </c>
    </row>
    <row r="978" spans="1:16" x14ac:dyDescent="0.35">
      <c r="A978" t="s">
        <v>1271</v>
      </c>
      <c r="B978" t="s">
        <v>1272</v>
      </c>
      <c r="C978" t="s">
        <v>53</v>
      </c>
      <c r="D978" t="s">
        <v>4178</v>
      </c>
      <c r="E978" t="s">
        <v>131</v>
      </c>
      <c r="F978" s="1">
        <v>44083</v>
      </c>
      <c r="G978">
        <v>2000</v>
      </c>
      <c r="H978" t="s">
        <v>85</v>
      </c>
      <c r="I978" t="s">
        <v>136</v>
      </c>
      <c r="J978" t="s">
        <v>40</v>
      </c>
      <c r="K978">
        <v>6</v>
      </c>
      <c r="L978">
        <v>2269119</v>
      </c>
      <c r="M978">
        <v>2771445</v>
      </c>
      <c r="N978">
        <v>67</v>
      </c>
      <c r="O978" t="s">
        <v>49</v>
      </c>
      <c r="P978" t="s">
        <v>4181</v>
      </c>
    </row>
    <row r="979" spans="1:16" x14ac:dyDescent="0.35">
      <c r="A979" t="s">
        <v>780</v>
      </c>
      <c r="B979" t="s">
        <v>781</v>
      </c>
      <c r="C979" t="s">
        <v>84</v>
      </c>
      <c r="D979" t="s">
        <v>94</v>
      </c>
      <c r="E979" t="s">
        <v>20</v>
      </c>
      <c r="F979" s="1">
        <v>44085</v>
      </c>
      <c r="G979">
        <v>2000</v>
      </c>
      <c r="H979" t="s">
        <v>21</v>
      </c>
      <c r="I979" t="s">
        <v>4214</v>
      </c>
      <c r="J979" t="s">
        <v>4178</v>
      </c>
      <c r="K979">
        <v>9</v>
      </c>
      <c r="L979">
        <v>12566767</v>
      </c>
      <c r="M979">
        <v>1793185</v>
      </c>
      <c r="N979">
        <v>41</v>
      </c>
      <c r="O979" t="s">
        <v>49</v>
      </c>
      <c r="P979" t="s">
        <v>32</v>
      </c>
    </row>
    <row r="980" spans="1:16" x14ac:dyDescent="0.35">
      <c r="A980" t="s">
        <v>1808</v>
      </c>
      <c r="B980" t="s">
        <v>1809</v>
      </c>
      <c r="C980" t="s">
        <v>84</v>
      </c>
      <c r="D980" t="s">
        <v>4178</v>
      </c>
      <c r="E980" t="s">
        <v>62</v>
      </c>
      <c r="F980" s="1">
        <v>44085</v>
      </c>
      <c r="G980">
        <v>2008</v>
      </c>
      <c r="H980" t="s">
        <v>85</v>
      </c>
      <c r="I980" t="s">
        <v>4178</v>
      </c>
      <c r="J980" t="s">
        <v>23</v>
      </c>
      <c r="K980">
        <v>7.5</v>
      </c>
      <c r="L980">
        <v>6128945</v>
      </c>
      <c r="M980">
        <v>1075029</v>
      </c>
      <c r="N980">
        <v>75</v>
      </c>
      <c r="O980" t="s">
        <v>31</v>
      </c>
      <c r="P980" t="s">
        <v>4181</v>
      </c>
    </row>
    <row r="981" spans="1:16" x14ac:dyDescent="0.35">
      <c r="A981" t="s">
        <v>3940</v>
      </c>
      <c r="B981" t="s">
        <v>4399</v>
      </c>
      <c r="C981" t="s">
        <v>4178</v>
      </c>
      <c r="D981" t="s">
        <v>75</v>
      </c>
      <c r="E981" t="s">
        <v>4196</v>
      </c>
      <c r="F981" s="1">
        <v>44090</v>
      </c>
      <c r="G981">
        <v>2007</v>
      </c>
      <c r="H981" t="s">
        <v>85</v>
      </c>
      <c r="I981" t="s">
        <v>71</v>
      </c>
      <c r="J981" t="s">
        <v>40</v>
      </c>
      <c r="K981">
        <v>5.6</v>
      </c>
      <c r="L981">
        <v>24036250</v>
      </c>
      <c r="M981">
        <v>1096023</v>
      </c>
      <c r="N981">
        <v>62</v>
      </c>
      <c r="O981" t="s">
        <v>31</v>
      </c>
      <c r="P981" t="s">
        <v>32</v>
      </c>
    </row>
    <row r="982" spans="1:16" x14ac:dyDescent="0.35">
      <c r="A982" t="s">
        <v>1030</v>
      </c>
      <c r="B982" t="s">
        <v>1031</v>
      </c>
      <c r="C982" t="s">
        <v>84</v>
      </c>
      <c r="D982" t="s">
        <v>4178</v>
      </c>
      <c r="E982" t="s">
        <v>4178</v>
      </c>
      <c r="F982" s="1">
        <v>44091</v>
      </c>
      <c r="G982">
        <v>2024</v>
      </c>
      <c r="H982" t="s">
        <v>121</v>
      </c>
      <c r="I982" t="s">
        <v>4296</v>
      </c>
      <c r="J982" t="s">
        <v>133</v>
      </c>
      <c r="K982">
        <v>4.8</v>
      </c>
      <c r="L982">
        <v>10645693</v>
      </c>
      <c r="M982">
        <v>4481987</v>
      </c>
      <c r="N982">
        <v>58</v>
      </c>
      <c r="O982" t="s">
        <v>58</v>
      </c>
      <c r="P982" t="s">
        <v>87</v>
      </c>
    </row>
    <row r="983" spans="1:16" x14ac:dyDescent="0.35">
      <c r="A983" t="s">
        <v>1874</v>
      </c>
      <c r="B983" t="s">
        <v>1875</v>
      </c>
      <c r="C983" t="s">
        <v>84</v>
      </c>
      <c r="D983" t="s">
        <v>36</v>
      </c>
      <c r="E983" t="s">
        <v>55</v>
      </c>
      <c r="F983" s="1">
        <v>44093</v>
      </c>
      <c r="G983">
        <v>2016</v>
      </c>
      <c r="H983" t="s">
        <v>107</v>
      </c>
      <c r="I983" t="s">
        <v>4264</v>
      </c>
      <c r="J983" t="s">
        <v>40</v>
      </c>
      <c r="K983">
        <v>6.9</v>
      </c>
      <c r="L983">
        <v>19184897</v>
      </c>
      <c r="M983">
        <v>1586666</v>
      </c>
      <c r="N983">
        <v>90</v>
      </c>
      <c r="O983" t="s">
        <v>65</v>
      </c>
      <c r="P983" t="s">
        <v>50</v>
      </c>
    </row>
    <row r="984" spans="1:16" x14ac:dyDescent="0.35">
      <c r="A984" t="s">
        <v>3661</v>
      </c>
      <c r="B984" t="s">
        <v>3662</v>
      </c>
      <c r="C984" t="s">
        <v>84</v>
      </c>
      <c r="D984" t="s">
        <v>36</v>
      </c>
      <c r="E984" t="s">
        <v>131</v>
      </c>
      <c r="F984" s="1">
        <v>44094</v>
      </c>
      <c r="G984">
        <v>2019</v>
      </c>
      <c r="H984" t="s">
        <v>121</v>
      </c>
      <c r="I984" t="s">
        <v>4246</v>
      </c>
      <c r="J984" t="s">
        <v>103</v>
      </c>
      <c r="K984">
        <v>9.4</v>
      </c>
      <c r="L984">
        <v>19922128</v>
      </c>
      <c r="M984">
        <v>393301</v>
      </c>
      <c r="N984">
        <v>78</v>
      </c>
      <c r="O984" t="s">
        <v>24</v>
      </c>
      <c r="P984" t="s">
        <v>4178</v>
      </c>
    </row>
    <row r="985" spans="1:16" x14ac:dyDescent="0.35">
      <c r="A985" t="s">
        <v>2999</v>
      </c>
      <c r="B985" t="s">
        <v>3000</v>
      </c>
      <c r="C985" t="s">
        <v>53</v>
      </c>
      <c r="D985" t="s">
        <v>27</v>
      </c>
      <c r="E985" t="s">
        <v>131</v>
      </c>
      <c r="F985" s="1">
        <v>44102</v>
      </c>
      <c r="G985">
        <v>2001</v>
      </c>
      <c r="H985" t="s">
        <v>38</v>
      </c>
      <c r="I985" t="s">
        <v>95</v>
      </c>
      <c r="J985" t="s">
        <v>153</v>
      </c>
      <c r="K985">
        <v>6.4</v>
      </c>
      <c r="L985">
        <v>24661022</v>
      </c>
      <c r="M985">
        <v>1446133</v>
      </c>
      <c r="N985">
        <v>62</v>
      </c>
      <c r="O985" t="s">
        <v>4178</v>
      </c>
      <c r="P985" t="s">
        <v>87</v>
      </c>
    </row>
    <row r="986" spans="1:16" x14ac:dyDescent="0.35">
      <c r="A986" t="s">
        <v>478</v>
      </c>
      <c r="B986" t="s">
        <v>479</v>
      </c>
      <c r="C986" t="s">
        <v>53</v>
      </c>
      <c r="D986" t="s">
        <v>94</v>
      </c>
      <c r="E986" t="s">
        <v>99</v>
      </c>
      <c r="F986" s="1">
        <v>44104</v>
      </c>
      <c r="G986">
        <v>2006</v>
      </c>
      <c r="H986" t="s">
        <v>121</v>
      </c>
      <c r="I986" t="s">
        <v>95</v>
      </c>
      <c r="J986" t="s">
        <v>23</v>
      </c>
      <c r="K986">
        <v>9.3000000000000007</v>
      </c>
      <c r="L986">
        <v>17954727</v>
      </c>
      <c r="M986">
        <v>4210372</v>
      </c>
      <c r="N986">
        <v>46</v>
      </c>
      <c r="O986" t="s">
        <v>24</v>
      </c>
      <c r="P986" t="s">
        <v>87</v>
      </c>
    </row>
    <row r="987" spans="1:16" x14ac:dyDescent="0.35">
      <c r="A987" t="s">
        <v>1037</v>
      </c>
      <c r="B987" t="s">
        <v>1038</v>
      </c>
      <c r="C987" t="s">
        <v>84</v>
      </c>
      <c r="D987" t="s">
        <v>4178</v>
      </c>
      <c r="E987" t="s">
        <v>55</v>
      </c>
      <c r="F987" s="1">
        <v>44106</v>
      </c>
      <c r="G987">
        <v>2009</v>
      </c>
      <c r="H987" t="s">
        <v>38</v>
      </c>
      <c r="I987" t="s">
        <v>4200</v>
      </c>
      <c r="J987" t="s">
        <v>72</v>
      </c>
      <c r="K987">
        <v>5</v>
      </c>
      <c r="L987">
        <v>3550823</v>
      </c>
      <c r="M987">
        <v>3349296</v>
      </c>
      <c r="N987">
        <v>76</v>
      </c>
      <c r="O987" t="s">
        <v>123</v>
      </c>
      <c r="P987" t="s">
        <v>32</v>
      </c>
    </row>
    <row r="988" spans="1:16" x14ac:dyDescent="0.35">
      <c r="A988" t="s">
        <v>3041</v>
      </c>
      <c r="B988" t="s">
        <v>3042</v>
      </c>
      <c r="C988" t="s">
        <v>4178</v>
      </c>
      <c r="D988" t="s">
        <v>90</v>
      </c>
      <c r="E988" t="s">
        <v>131</v>
      </c>
      <c r="F988" s="1">
        <v>44106</v>
      </c>
      <c r="G988">
        <v>2008</v>
      </c>
      <c r="H988" t="s">
        <v>121</v>
      </c>
      <c r="I988" t="s">
        <v>95</v>
      </c>
      <c r="J988" t="s">
        <v>153</v>
      </c>
      <c r="K988">
        <v>8.9</v>
      </c>
      <c r="L988">
        <v>23774038</v>
      </c>
      <c r="M988">
        <v>1960212</v>
      </c>
      <c r="N988">
        <v>65</v>
      </c>
      <c r="O988" t="s">
        <v>65</v>
      </c>
      <c r="P988" t="s">
        <v>4181</v>
      </c>
    </row>
    <row r="989" spans="1:16" x14ac:dyDescent="0.35">
      <c r="A989" t="s">
        <v>2239</v>
      </c>
      <c r="B989" t="s">
        <v>2240</v>
      </c>
      <c r="C989" t="s">
        <v>84</v>
      </c>
      <c r="D989" t="s">
        <v>94</v>
      </c>
      <c r="E989" t="s">
        <v>4178</v>
      </c>
      <c r="F989" s="1">
        <v>44107</v>
      </c>
      <c r="G989">
        <v>2002</v>
      </c>
      <c r="H989" t="s">
        <v>107</v>
      </c>
      <c r="I989" t="s">
        <v>4238</v>
      </c>
      <c r="J989" t="s">
        <v>30</v>
      </c>
      <c r="K989">
        <v>8.6</v>
      </c>
      <c r="L989">
        <v>5974724</v>
      </c>
      <c r="M989">
        <v>4819419</v>
      </c>
      <c r="N989">
        <v>83</v>
      </c>
      <c r="O989" t="s">
        <v>58</v>
      </c>
      <c r="P989" t="s">
        <v>32</v>
      </c>
    </row>
    <row r="990" spans="1:16" x14ac:dyDescent="0.35">
      <c r="A990" t="s">
        <v>4008</v>
      </c>
      <c r="B990" t="s">
        <v>4007</v>
      </c>
      <c r="C990" t="s">
        <v>84</v>
      </c>
      <c r="D990" t="s">
        <v>94</v>
      </c>
      <c r="E990" t="s">
        <v>4178</v>
      </c>
      <c r="F990" s="1">
        <v>44107</v>
      </c>
      <c r="G990">
        <v>2007</v>
      </c>
      <c r="H990" t="s">
        <v>85</v>
      </c>
      <c r="I990" t="s">
        <v>4230</v>
      </c>
      <c r="J990" t="s">
        <v>133</v>
      </c>
      <c r="K990">
        <v>9.8000000000000007</v>
      </c>
      <c r="L990">
        <v>19422831</v>
      </c>
      <c r="M990">
        <v>1954797</v>
      </c>
      <c r="N990">
        <v>66</v>
      </c>
      <c r="O990" t="s">
        <v>104</v>
      </c>
      <c r="P990" t="s">
        <v>50</v>
      </c>
    </row>
    <row r="991" spans="1:16" x14ac:dyDescent="0.35">
      <c r="A991" t="s">
        <v>241</v>
      </c>
      <c r="B991" t="s">
        <v>242</v>
      </c>
      <c r="C991" t="s">
        <v>53</v>
      </c>
      <c r="D991" t="s">
        <v>27</v>
      </c>
      <c r="E991" t="s">
        <v>62</v>
      </c>
      <c r="F991" s="1">
        <v>44112</v>
      </c>
      <c r="G991">
        <v>2004</v>
      </c>
      <c r="H991" t="s">
        <v>85</v>
      </c>
      <c r="I991" t="s">
        <v>39</v>
      </c>
      <c r="J991" t="s">
        <v>133</v>
      </c>
      <c r="K991">
        <v>5.5</v>
      </c>
      <c r="L991">
        <v>23604341</v>
      </c>
      <c r="M991">
        <v>1297831</v>
      </c>
      <c r="N991">
        <v>55</v>
      </c>
      <c r="O991" t="s">
        <v>41</v>
      </c>
      <c r="P991" t="s">
        <v>4178</v>
      </c>
    </row>
    <row r="992" spans="1:16" x14ac:dyDescent="0.35">
      <c r="A992" t="s">
        <v>1968</v>
      </c>
      <c r="B992" t="s">
        <v>1969</v>
      </c>
      <c r="C992" t="s">
        <v>53</v>
      </c>
      <c r="D992" t="s">
        <v>156</v>
      </c>
      <c r="E992" t="s">
        <v>131</v>
      </c>
      <c r="F992" s="1">
        <v>44113</v>
      </c>
      <c r="G992">
        <v>2013</v>
      </c>
      <c r="H992" t="s">
        <v>38</v>
      </c>
      <c r="I992" t="s">
        <v>136</v>
      </c>
      <c r="J992" t="s">
        <v>72</v>
      </c>
      <c r="K992">
        <v>4.5999999999999996</v>
      </c>
      <c r="L992">
        <v>11123560</v>
      </c>
      <c r="M992">
        <v>2412091</v>
      </c>
      <c r="N992">
        <v>77</v>
      </c>
      <c r="O992" t="s">
        <v>91</v>
      </c>
      <c r="P992" t="s">
        <v>87</v>
      </c>
    </row>
    <row r="993" spans="1:16" x14ac:dyDescent="0.35">
      <c r="A993" t="s">
        <v>2527</v>
      </c>
      <c r="B993" t="s">
        <v>2528</v>
      </c>
      <c r="C993" t="s">
        <v>4178</v>
      </c>
      <c r="D993" t="s">
        <v>27</v>
      </c>
      <c r="E993" t="s">
        <v>62</v>
      </c>
      <c r="F993" s="1">
        <v>44113</v>
      </c>
      <c r="G993">
        <v>2008</v>
      </c>
      <c r="H993" t="s">
        <v>107</v>
      </c>
      <c r="I993" t="s">
        <v>39</v>
      </c>
      <c r="J993" t="s">
        <v>30</v>
      </c>
      <c r="K993">
        <v>8.5</v>
      </c>
      <c r="L993">
        <v>4268419</v>
      </c>
      <c r="M993">
        <v>211290</v>
      </c>
      <c r="N993">
        <v>85</v>
      </c>
      <c r="O993" t="s">
        <v>123</v>
      </c>
      <c r="P993" t="s">
        <v>50</v>
      </c>
    </row>
    <row r="994" spans="1:16" x14ac:dyDescent="0.35">
      <c r="A994" t="s">
        <v>801</v>
      </c>
      <c r="B994" t="s">
        <v>802</v>
      </c>
      <c r="C994" t="s">
        <v>53</v>
      </c>
      <c r="D994" t="s">
        <v>19</v>
      </c>
      <c r="E994" t="s">
        <v>131</v>
      </c>
      <c r="F994" s="1">
        <v>44118</v>
      </c>
      <c r="G994">
        <v>2003</v>
      </c>
      <c r="H994" t="s">
        <v>81</v>
      </c>
      <c r="I994" t="s">
        <v>162</v>
      </c>
      <c r="J994" t="s">
        <v>23</v>
      </c>
      <c r="K994">
        <v>8.1999999999999993</v>
      </c>
      <c r="L994">
        <v>17981954</v>
      </c>
      <c r="M994">
        <v>4146648</v>
      </c>
      <c r="N994">
        <v>71</v>
      </c>
      <c r="O994" t="s">
        <v>41</v>
      </c>
      <c r="P994" t="s">
        <v>87</v>
      </c>
    </row>
    <row r="995" spans="1:16" x14ac:dyDescent="0.35">
      <c r="A995" t="s">
        <v>3131</v>
      </c>
      <c r="B995" t="s">
        <v>3132</v>
      </c>
      <c r="C995" t="s">
        <v>84</v>
      </c>
      <c r="D995" t="s">
        <v>4178</v>
      </c>
      <c r="E995" t="s">
        <v>55</v>
      </c>
      <c r="F995" s="1">
        <v>44118</v>
      </c>
      <c r="G995">
        <v>2015</v>
      </c>
      <c r="H995" t="s">
        <v>121</v>
      </c>
      <c r="I995" t="s">
        <v>4185</v>
      </c>
      <c r="J995" t="s">
        <v>30</v>
      </c>
      <c r="K995">
        <v>7.9</v>
      </c>
      <c r="L995">
        <v>23282296</v>
      </c>
      <c r="M995">
        <v>313237</v>
      </c>
      <c r="N995">
        <v>73</v>
      </c>
      <c r="O995" t="s">
        <v>24</v>
      </c>
      <c r="P995" t="s">
        <v>4178</v>
      </c>
    </row>
    <row r="996" spans="1:16" x14ac:dyDescent="0.35">
      <c r="A996" t="s">
        <v>584</v>
      </c>
      <c r="B996" t="s">
        <v>4255</v>
      </c>
      <c r="C996" t="s">
        <v>53</v>
      </c>
      <c r="D996" t="s">
        <v>4178</v>
      </c>
      <c r="E996" t="s">
        <v>62</v>
      </c>
      <c r="F996" s="1">
        <v>44122</v>
      </c>
      <c r="G996">
        <v>2016</v>
      </c>
      <c r="H996" t="s">
        <v>38</v>
      </c>
      <c r="I996" t="s">
        <v>56</v>
      </c>
      <c r="J996" t="s">
        <v>72</v>
      </c>
      <c r="K996">
        <v>8.3000000000000007</v>
      </c>
      <c r="L996">
        <v>9767824</v>
      </c>
      <c r="M996">
        <v>1774889</v>
      </c>
      <c r="N996">
        <v>84</v>
      </c>
      <c r="O996" t="s">
        <v>49</v>
      </c>
      <c r="P996" t="s">
        <v>4178</v>
      </c>
    </row>
    <row r="997" spans="1:16" x14ac:dyDescent="0.35">
      <c r="A997" t="s">
        <v>116</v>
      </c>
      <c r="B997" t="s">
        <v>117</v>
      </c>
      <c r="C997" t="s">
        <v>53</v>
      </c>
      <c r="D997" t="s">
        <v>27</v>
      </c>
      <c r="E997" t="s">
        <v>4178</v>
      </c>
      <c r="F997" s="1">
        <v>44123</v>
      </c>
      <c r="G997">
        <v>2017</v>
      </c>
      <c r="H997" t="s">
        <v>38</v>
      </c>
      <c r="I997" t="s">
        <v>118</v>
      </c>
      <c r="J997" t="s">
        <v>133</v>
      </c>
      <c r="K997">
        <v>6</v>
      </c>
      <c r="L997">
        <v>6162004</v>
      </c>
      <c r="M997">
        <v>3568817</v>
      </c>
      <c r="N997">
        <v>57</v>
      </c>
      <c r="O997" t="s">
        <v>24</v>
      </c>
      <c r="P997" t="s">
        <v>87</v>
      </c>
    </row>
    <row r="998" spans="1:16" x14ac:dyDescent="0.35">
      <c r="A998" t="s">
        <v>421</v>
      </c>
      <c r="B998" t="s">
        <v>422</v>
      </c>
      <c r="C998" t="s">
        <v>84</v>
      </c>
      <c r="D998" t="s">
        <v>68</v>
      </c>
      <c r="E998" t="s">
        <v>99</v>
      </c>
      <c r="F998" s="1">
        <v>44127</v>
      </c>
      <c r="G998">
        <v>2011</v>
      </c>
      <c r="H998" t="s">
        <v>63</v>
      </c>
      <c r="I998" t="s">
        <v>4238</v>
      </c>
      <c r="J998" t="s">
        <v>133</v>
      </c>
      <c r="K998">
        <v>8.6</v>
      </c>
      <c r="L998">
        <v>11781839</v>
      </c>
      <c r="M998">
        <v>2035954</v>
      </c>
      <c r="N998">
        <v>95</v>
      </c>
      <c r="O998" t="s">
        <v>49</v>
      </c>
      <c r="P998" t="s">
        <v>4181</v>
      </c>
    </row>
    <row r="999" spans="1:16" x14ac:dyDescent="0.35">
      <c r="A999" t="s">
        <v>3399</v>
      </c>
      <c r="B999" t="s">
        <v>3400</v>
      </c>
      <c r="C999" t="s">
        <v>53</v>
      </c>
      <c r="D999" t="s">
        <v>61</v>
      </c>
      <c r="E999" t="s">
        <v>4178</v>
      </c>
      <c r="F999" s="1">
        <v>44127</v>
      </c>
      <c r="G999">
        <v>2006</v>
      </c>
      <c r="H999" t="s">
        <v>46</v>
      </c>
      <c r="I999" t="s">
        <v>71</v>
      </c>
      <c r="J999" t="s">
        <v>103</v>
      </c>
      <c r="K999">
        <v>8</v>
      </c>
      <c r="L999">
        <v>2710049</v>
      </c>
      <c r="M999">
        <v>4392098</v>
      </c>
      <c r="N999">
        <v>86</v>
      </c>
      <c r="O999" t="s">
        <v>4178</v>
      </c>
      <c r="P999" t="s">
        <v>4181</v>
      </c>
    </row>
    <row r="1000" spans="1:16" x14ac:dyDescent="0.35">
      <c r="A1000" t="s">
        <v>1338</v>
      </c>
      <c r="B1000" t="s">
        <v>1339</v>
      </c>
      <c r="C1000" t="s">
        <v>4178</v>
      </c>
      <c r="D1000" t="s">
        <v>54</v>
      </c>
      <c r="E1000" t="s">
        <v>20</v>
      </c>
      <c r="F1000" s="1">
        <v>44128</v>
      </c>
      <c r="G1000">
        <v>2004</v>
      </c>
      <c r="H1000" t="s">
        <v>81</v>
      </c>
      <c r="I1000" t="s">
        <v>4178</v>
      </c>
      <c r="J1000" t="s">
        <v>133</v>
      </c>
      <c r="K1000">
        <v>7.1</v>
      </c>
      <c r="L1000">
        <v>12640337</v>
      </c>
      <c r="M1000">
        <v>1205763</v>
      </c>
      <c r="N1000">
        <v>42</v>
      </c>
      <c r="O1000" t="s">
        <v>4178</v>
      </c>
      <c r="P1000" t="s">
        <v>4178</v>
      </c>
    </row>
    <row r="1001" spans="1:16" x14ac:dyDescent="0.35">
      <c r="A1001" t="s">
        <v>4045</v>
      </c>
      <c r="B1001" t="s">
        <v>4046</v>
      </c>
      <c r="C1001" t="s">
        <v>84</v>
      </c>
      <c r="D1001" t="s">
        <v>61</v>
      </c>
      <c r="E1001" t="s">
        <v>4178</v>
      </c>
      <c r="F1001" s="1">
        <v>44129</v>
      </c>
      <c r="G1001">
        <v>2011</v>
      </c>
      <c r="H1001" t="s">
        <v>107</v>
      </c>
      <c r="I1001" t="s">
        <v>4230</v>
      </c>
      <c r="J1001" t="s">
        <v>96</v>
      </c>
      <c r="K1001">
        <v>5.4</v>
      </c>
      <c r="L1001">
        <v>24336048</v>
      </c>
      <c r="M1001">
        <v>1495392</v>
      </c>
      <c r="N1001">
        <v>73</v>
      </c>
      <c r="O1001" t="s">
        <v>4178</v>
      </c>
      <c r="P1001" t="s">
        <v>87</v>
      </c>
    </row>
    <row r="1002" spans="1:16" x14ac:dyDescent="0.35">
      <c r="A1002" t="s">
        <v>4021</v>
      </c>
      <c r="B1002" t="s">
        <v>4022</v>
      </c>
      <c r="C1002" t="s">
        <v>4178</v>
      </c>
      <c r="D1002" t="s">
        <v>4178</v>
      </c>
      <c r="E1002" t="s">
        <v>131</v>
      </c>
      <c r="F1002" s="1">
        <v>44131</v>
      </c>
      <c r="G1002">
        <v>2003</v>
      </c>
      <c r="H1002" t="s">
        <v>85</v>
      </c>
      <c r="I1002" t="s">
        <v>39</v>
      </c>
      <c r="J1002" t="s">
        <v>103</v>
      </c>
      <c r="K1002">
        <v>5.9</v>
      </c>
      <c r="L1002">
        <v>7941791</v>
      </c>
      <c r="M1002">
        <v>1593927</v>
      </c>
      <c r="N1002">
        <v>74</v>
      </c>
      <c r="O1002" t="s">
        <v>31</v>
      </c>
      <c r="P1002" t="s">
        <v>50</v>
      </c>
    </row>
    <row r="1003" spans="1:16" x14ac:dyDescent="0.35">
      <c r="A1003" t="s">
        <v>690</v>
      </c>
      <c r="B1003" t="s">
        <v>691</v>
      </c>
      <c r="C1003" t="s">
        <v>84</v>
      </c>
      <c r="D1003" t="s">
        <v>27</v>
      </c>
      <c r="E1003" t="s">
        <v>4178</v>
      </c>
      <c r="F1003" s="1">
        <v>44134</v>
      </c>
      <c r="G1003">
        <v>2023</v>
      </c>
      <c r="H1003" t="s">
        <v>107</v>
      </c>
      <c r="I1003" t="s">
        <v>4204</v>
      </c>
      <c r="J1003" t="s">
        <v>133</v>
      </c>
      <c r="K1003">
        <v>9.1</v>
      </c>
      <c r="L1003">
        <v>2274160</v>
      </c>
      <c r="M1003">
        <v>785373</v>
      </c>
      <c r="N1003">
        <v>51</v>
      </c>
      <c r="O1003" t="s">
        <v>41</v>
      </c>
      <c r="P1003" t="s">
        <v>87</v>
      </c>
    </row>
    <row r="1004" spans="1:16" x14ac:dyDescent="0.35">
      <c r="A1004" t="s">
        <v>752</v>
      </c>
      <c r="B1004" t="s">
        <v>753</v>
      </c>
      <c r="C1004" t="s">
        <v>84</v>
      </c>
      <c r="D1004" t="s">
        <v>19</v>
      </c>
      <c r="E1004" t="s">
        <v>28</v>
      </c>
      <c r="F1004" s="1">
        <v>44136</v>
      </c>
      <c r="G1004">
        <v>2013</v>
      </c>
      <c r="H1004" t="s">
        <v>38</v>
      </c>
      <c r="I1004" t="s">
        <v>4272</v>
      </c>
      <c r="J1004" t="s">
        <v>57</v>
      </c>
      <c r="K1004">
        <v>7.5</v>
      </c>
      <c r="L1004">
        <v>23117947</v>
      </c>
      <c r="M1004">
        <v>1471198</v>
      </c>
      <c r="N1004">
        <v>55</v>
      </c>
      <c r="O1004" t="s">
        <v>91</v>
      </c>
      <c r="P1004" t="s">
        <v>4181</v>
      </c>
    </row>
    <row r="1005" spans="1:16" x14ac:dyDescent="0.35">
      <c r="A1005" t="s">
        <v>3385</v>
      </c>
      <c r="B1005" t="s">
        <v>3386</v>
      </c>
      <c r="C1005" t="s">
        <v>53</v>
      </c>
      <c r="D1005" t="s">
        <v>61</v>
      </c>
      <c r="E1005" t="s">
        <v>80</v>
      </c>
      <c r="F1005" s="1">
        <v>44136</v>
      </c>
      <c r="G1005">
        <v>2005</v>
      </c>
      <c r="H1005" t="s">
        <v>114</v>
      </c>
      <c r="I1005" t="s">
        <v>64</v>
      </c>
      <c r="J1005" t="s">
        <v>48</v>
      </c>
      <c r="K1005">
        <v>7.6</v>
      </c>
      <c r="L1005">
        <v>23106154</v>
      </c>
      <c r="M1005">
        <v>447628</v>
      </c>
      <c r="N1005">
        <v>46</v>
      </c>
      <c r="O1005" t="s">
        <v>104</v>
      </c>
      <c r="P1005" t="s">
        <v>4181</v>
      </c>
    </row>
    <row r="1006" spans="1:16" x14ac:dyDescent="0.35">
      <c r="A1006" t="s">
        <v>2681</v>
      </c>
      <c r="B1006" t="s">
        <v>4364</v>
      </c>
      <c r="C1006" t="s">
        <v>4178</v>
      </c>
      <c r="D1006" t="s">
        <v>54</v>
      </c>
      <c r="E1006" t="s">
        <v>62</v>
      </c>
      <c r="F1006" s="1">
        <v>44137</v>
      </c>
      <c r="G1006">
        <v>2009</v>
      </c>
      <c r="H1006" t="s">
        <v>63</v>
      </c>
      <c r="I1006" t="s">
        <v>136</v>
      </c>
      <c r="J1006" t="s">
        <v>23</v>
      </c>
      <c r="K1006">
        <v>4.7</v>
      </c>
      <c r="L1006">
        <v>15007555</v>
      </c>
      <c r="M1006">
        <v>3242894</v>
      </c>
      <c r="N1006">
        <v>40</v>
      </c>
      <c r="O1006" t="s">
        <v>4178</v>
      </c>
      <c r="P1006" t="s">
        <v>4181</v>
      </c>
    </row>
    <row r="1007" spans="1:16" x14ac:dyDescent="0.35">
      <c r="A1007" t="s">
        <v>237</v>
      </c>
      <c r="B1007" t="s">
        <v>238</v>
      </c>
      <c r="C1007" t="s">
        <v>4178</v>
      </c>
      <c r="D1007" t="s">
        <v>54</v>
      </c>
      <c r="E1007" t="s">
        <v>20</v>
      </c>
      <c r="F1007" s="1">
        <v>44139</v>
      </c>
      <c r="G1007">
        <v>2005</v>
      </c>
      <c r="H1007" t="s">
        <v>121</v>
      </c>
      <c r="I1007" t="s">
        <v>95</v>
      </c>
      <c r="J1007" t="s">
        <v>133</v>
      </c>
      <c r="K1007">
        <v>5.4</v>
      </c>
      <c r="L1007">
        <v>2723969</v>
      </c>
      <c r="M1007">
        <v>4113864</v>
      </c>
      <c r="N1007">
        <v>84</v>
      </c>
      <c r="O1007" t="s">
        <v>65</v>
      </c>
      <c r="P1007" t="s">
        <v>87</v>
      </c>
    </row>
    <row r="1008" spans="1:16" x14ac:dyDescent="0.35">
      <c r="A1008" t="s">
        <v>3343</v>
      </c>
      <c r="B1008" t="s">
        <v>3344</v>
      </c>
      <c r="C1008" t="s">
        <v>84</v>
      </c>
      <c r="D1008" t="s">
        <v>4178</v>
      </c>
      <c r="E1008" t="s">
        <v>4178</v>
      </c>
      <c r="F1008" s="1">
        <v>44141</v>
      </c>
      <c r="G1008">
        <v>2015</v>
      </c>
      <c r="H1008" t="s">
        <v>107</v>
      </c>
      <c r="I1008" t="s">
        <v>4199</v>
      </c>
      <c r="J1008" t="s">
        <v>48</v>
      </c>
      <c r="K1008">
        <v>9.4</v>
      </c>
      <c r="L1008">
        <v>1014537</v>
      </c>
      <c r="M1008">
        <v>841441</v>
      </c>
      <c r="N1008">
        <v>61</v>
      </c>
      <c r="O1008" t="s">
        <v>65</v>
      </c>
      <c r="P1008" t="s">
        <v>87</v>
      </c>
    </row>
    <row r="1009" spans="1:16" x14ac:dyDescent="0.35">
      <c r="A1009" t="s">
        <v>4013</v>
      </c>
      <c r="B1009" t="s">
        <v>4014</v>
      </c>
      <c r="C1009" t="s">
        <v>53</v>
      </c>
      <c r="D1009" t="s">
        <v>156</v>
      </c>
      <c r="E1009" t="s">
        <v>4196</v>
      </c>
      <c r="F1009" s="1">
        <v>44141</v>
      </c>
      <c r="G1009">
        <v>2010</v>
      </c>
      <c r="H1009" t="s">
        <v>63</v>
      </c>
      <c r="I1009" t="s">
        <v>118</v>
      </c>
      <c r="J1009" t="s">
        <v>57</v>
      </c>
      <c r="K1009">
        <v>6</v>
      </c>
      <c r="L1009">
        <v>7603026</v>
      </c>
      <c r="M1009">
        <v>974812</v>
      </c>
      <c r="N1009">
        <v>46</v>
      </c>
      <c r="O1009" t="s">
        <v>104</v>
      </c>
      <c r="P1009" t="s">
        <v>4178</v>
      </c>
    </row>
    <row r="1010" spans="1:16" x14ac:dyDescent="0.35">
      <c r="A1010" t="s">
        <v>1377</v>
      </c>
      <c r="B1010" t="s">
        <v>1378</v>
      </c>
      <c r="C1010" t="s">
        <v>4178</v>
      </c>
      <c r="D1010" t="s">
        <v>27</v>
      </c>
      <c r="E1010" t="s">
        <v>113</v>
      </c>
      <c r="F1010" s="1">
        <v>44146</v>
      </c>
      <c r="G1010">
        <v>2012</v>
      </c>
      <c r="H1010" t="s">
        <v>114</v>
      </c>
      <c r="I1010" t="s">
        <v>39</v>
      </c>
      <c r="J1010" t="s">
        <v>72</v>
      </c>
      <c r="K1010">
        <v>5.7</v>
      </c>
      <c r="L1010">
        <v>21513108</v>
      </c>
      <c r="M1010">
        <v>4572155</v>
      </c>
      <c r="N1010">
        <v>54</v>
      </c>
      <c r="O1010" t="s">
        <v>4178</v>
      </c>
      <c r="P1010" t="s">
        <v>50</v>
      </c>
    </row>
    <row r="1011" spans="1:16" x14ac:dyDescent="0.35">
      <c r="A1011" t="s">
        <v>143</v>
      </c>
      <c r="B1011" t="s">
        <v>144</v>
      </c>
      <c r="C1011" t="s">
        <v>53</v>
      </c>
      <c r="D1011" t="s">
        <v>94</v>
      </c>
      <c r="E1011" t="s">
        <v>69</v>
      </c>
      <c r="F1011" s="1">
        <v>44149</v>
      </c>
      <c r="G1011">
        <v>2004</v>
      </c>
      <c r="H1011" t="s">
        <v>107</v>
      </c>
      <c r="I1011" t="s">
        <v>56</v>
      </c>
      <c r="J1011" t="s">
        <v>103</v>
      </c>
      <c r="K1011">
        <v>5.0999999999999996</v>
      </c>
      <c r="L1011">
        <v>16716347</v>
      </c>
      <c r="M1011">
        <v>4079043</v>
      </c>
      <c r="N1011">
        <v>50</v>
      </c>
      <c r="O1011" t="s">
        <v>24</v>
      </c>
      <c r="P1011" t="s">
        <v>32</v>
      </c>
    </row>
    <row r="1012" spans="1:16" x14ac:dyDescent="0.35">
      <c r="A1012" t="s">
        <v>3265</v>
      </c>
      <c r="B1012" t="s">
        <v>3266</v>
      </c>
      <c r="C1012" t="s">
        <v>84</v>
      </c>
      <c r="D1012" t="s">
        <v>36</v>
      </c>
      <c r="E1012" t="s">
        <v>55</v>
      </c>
      <c r="F1012" s="1">
        <v>44150</v>
      </c>
      <c r="G1012">
        <v>2021</v>
      </c>
      <c r="H1012" t="s">
        <v>4178</v>
      </c>
      <c r="I1012" t="s">
        <v>4183</v>
      </c>
      <c r="J1012" t="s">
        <v>133</v>
      </c>
      <c r="K1012">
        <v>8.3000000000000007</v>
      </c>
      <c r="L1012">
        <v>19086484</v>
      </c>
      <c r="M1012">
        <v>4494125</v>
      </c>
      <c r="N1012">
        <v>91</v>
      </c>
      <c r="O1012" t="s">
        <v>123</v>
      </c>
      <c r="P1012" t="s">
        <v>4178</v>
      </c>
    </row>
    <row r="1013" spans="1:16" x14ac:dyDescent="0.35">
      <c r="A1013" t="s">
        <v>918</v>
      </c>
      <c r="B1013" t="s">
        <v>919</v>
      </c>
      <c r="C1013" t="s">
        <v>4178</v>
      </c>
      <c r="D1013" t="s">
        <v>61</v>
      </c>
      <c r="E1013" t="s">
        <v>69</v>
      </c>
      <c r="F1013" s="1">
        <v>44152</v>
      </c>
      <c r="G1013">
        <v>2006</v>
      </c>
      <c r="H1013" t="s">
        <v>46</v>
      </c>
      <c r="I1013" t="s">
        <v>71</v>
      </c>
      <c r="J1013" t="s">
        <v>40</v>
      </c>
      <c r="K1013">
        <v>7.5</v>
      </c>
      <c r="L1013">
        <v>207619</v>
      </c>
      <c r="M1013">
        <v>1522664</v>
      </c>
      <c r="N1013">
        <v>79</v>
      </c>
      <c r="O1013" t="s">
        <v>58</v>
      </c>
      <c r="P1013" t="s">
        <v>4178</v>
      </c>
    </row>
    <row r="1014" spans="1:16" x14ac:dyDescent="0.35">
      <c r="A1014" t="s">
        <v>2268</v>
      </c>
      <c r="B1014" t="s">
        <v>2269</v>
      </c>
      <c r="C1014" t="s">
        <v>4178</v>
      </c>
      <c r="D1014" t="s">
        <v>94</v>
      </c>
      <c r="E1014" t="s">
        <v>99</v>
      </c>
      <c r="F1014" s="1">
        <v>44154</v>
      </c>
      <c r="G1014">
        <v>2017</v>
      </c>
      <c r="H1014" t="s">
        <v>21</v>
      </c>
      <c r="I1014" t="s">
        <v>162</v>
      </c>
      <c r="J1014" t="s">
        <v>103</v>
      </c>
      <c r="K1014">
        <v>5.6</v>
      </c>
      <c r="L1014">
        <v>20250736</v>
      </c>
      <c r="M1014">
        <v>1063112</v>
      </c>
      <c r="N1014">
        <v>73</v>
      </c>
      <c r="O1014" t="s">
        <v>31</v>
      </c>
      <c r="P1014" t="s">
        <v>50</v>
      </c>
    </row>
    <row r="1015" spans="1:16" x14ac:dyDescent="0.35">
      <c r="A1015" t="s">
        <v>1844</v>
      </c>
      <c r="B1015" t="s">
        <v>1845</v>
      </c>
      <c r="C1015" t="s">
        <v>53</v>
      </c>
      <c r="D1015" t="s">
        <v>61</v>
      </c>
      <c r="E1015" t="s">
        <v>113</v>
      </c>
      <c r="F1015" s="1">
        <v>44155</v>
      </c>
      <c r="G1015">
        <v>2014</v>
      </c>
      <c r="H1015" t="s">
        <v>38</v>
      </c>
      <c r="I1015" t="s">
        <v>56</v>
      </c>
      <c r="J1015" t="s">
        <v>57</v>
      </c>
      <c r="K1015">
        <v>5.3</v>
      </c>
      <c r="L1015">
        <v>8482226</v>
      </c>
      <c r="M1015">
        <v>2576115</v>
      </c>
      <c r="N1015">
        <v>62</v>
      </c>
      <c r="O1015" t="s">
        <v>31</v>
      </c>
      <c r="P1015" t="s">
        <v>50</v>
      </c>
    </row>
    <row r="1016" spans="1:16" x14ac:dyDescent="0.35">
      <c r="A1016" t="s">
        <v>3021</v>
      </c>
      <c r="B1016" t="s">
        <v>3022</v>
      </c>
      <c r="C1016" t="s">
        <v>53</v>
      </c>
      <c r="D1016" t="s">
        <v>68</v>
      </c>
      <c r="E1016" t="s">
        <v>131</v>
      </c>
      <c r="F1016" s="1">
        <v>44156</v>
      </c>
      <c r="G1016">
        <v>2018</v>
      </c>
      <c r="H1016" t="s">
        <v>4178</v>
      </c>
      <c r="I1016" t="s">
        <v>162</v>
      </c>
      <c r="J1016" t="s">
        <v>23</v>
      </c>
      <c r="K1016">
        <v>9.1</v>
      </c>
      <c r="L1016">
        <v>21986486</v>
      </c>
      <c r="M1016">
        <v>342199</v>
      </c>
      <c r="N1016">
        <v>80</v>
      </c>
      <c r="O1016" t="s">
        <v>123</v>
      </c>
      <c r="P1016" t="s">
        <v>87</v>
      </c>
    </row>
    <row r="1017" spans="1:16" x14ac:dyDescent="0.35">
      <c r="A1017" t="s">
        <v>3862</v>
      </c>
      <c r="B1017" t="s">
        <v>3863</v>
      </c>
      <c r="C1017" t="s">
        <v>4178</v>
      </c>
      <c r="D1017" t="s">
        <v>94</v>
      </c>
      <c r="E1017" t="s">
        <v>131</v>
      </c>
      <c r="F1017" s="1">
        <v>44157</v>
      </c>
      <c r="G1017">
        <v>2024</v>
      </c>
      <c r="H1017" t="s">
        <v>114</v>
      </c>
      <c r="I1017" t="s">
        <v>64</v>
      </c>
      <c r="J1017" t="s">
        <v>103</v>
      </c>
      <c r="K1017">
        <v>6.9</v>
      </c>
      <c r="L1017">
        <v>11837940</v>
      </c>
      <c r="M1017">
        <v>3055352</v>
      </c>
      <c r="N1017">
        <v>57</v>
      </c>
      <c r="O1017" t="s">
        <v>31</v>
      </c>
      <c r="P1017" t="s">
        <v>50</v>
      </c>
    </row>
    <row r="1018" spans="1:16" x14ac:dyDescent="0.35">
      <c r="A1018" t="s">
        <v>550</v>
      </c>
      <c r="B1018" t="s">
        <v>4252</v>
      </c>
      <c r="C1018" t="s">
        <v>84</v>
      </c>
      <c r="D1018" t="s">
        <v>4178</v>
      </c>
      <c r="E1018" t="s">
        <v>4196</v>
      </c>
      <c r="F1018" s="1">
        <v>44159</v>
      </c>
      <c r="G1018">
        <v>2004</v>
      </c>
      <c r="H1018" t="s">
        <v>107</v>
      </c>
      <c r="I1018" t="s">
        <v>4227</v>
      </c>
      <c r="J1018" t="s">
        <v>72</v>
      </c>
      <c r="K1018">
        <v>8</v>
      </c>
      <c r="L1018">
        <v>7501323</v>
      </c>
      <c r="M1018">
        <v>521550</v>
      </c>
      <c r="N1018">
        <v>40</v>
      </c>
      <c r="O1018" t="s">
        <v>123</v>
      </c>
      <c r="P1018" t="s">
        <v>4181</v>
      </c>
    </row>
    <row r="1019" spans="1:16" x14ac:dyDescent="0.35">
      <c r="A1019" t="s">
        <v>128</v>
      </c>
      <c r="B1019" t="s">
        <v>129</v>
      </c>
      <c r="C1019" t="s">
        <v>53</v>
      </c>
      <c r="D1019" t="s">
        <v>27</v>
      </c>
      <c r="E1019" t="s">
        <v>28</v>
      </c>
      <c r="F1019" s="1">
        <v>44161</v>
      </c>
      <c r="G1019">
        <v>2010</v>
      </c>
      <c r="H1019" t="s">
        <v>38</v>
      </c>
      <c r="I1019" t="s">
        <v>95</v>
      </c>
      <c r="J1019" t="s">
        <v>72</v>
      </c>
      <c r="K1019">
        <v>6.1</v>
      </c>
      <c r="L1019">
        <v>45866</v>
      </c>
      <c r="M1019">
        <v>2813975</v>
      </c>
      <c r="N1019">
        <v>70</v>
      </c>
      <c r="O1019" t="s">
        <v>123</v>
      </c>
      <c r="P1019" t="s">
        <v>4178</v>
      </c>
    </row>
    <row r="1020" spans="1:16" x14ac:dyDescent="0.35">
      <c r="A1020" t="s">
        <v>3559</v>
      </c>
      <c r="B1020" t="s">
        <v>3560</v>
      </c>
      <c r="C1020" t="s">
        <v>84</v>
      </c>
      <c r="D1020" t="s">
        <v>94</v>
      </c>
      <c r="E1020" t="s">
        <v>80</v>
      </c>
      <c r="F1020" s="1">
        <v>44161</v>
      </c>
      <c r="G1020">
        <v>2024</v>
      </c>
      <c r="H1020" t="s">
        <v>63</v>
      </c>
      <c r="I1020" t="s">
        <v>4266</v>
      </c>
      <c r="J1020" t="s">
        <v>23</v>
      </c>
      <c r="K1020">
        <v>8.1</v>
      </c>
      <c r="L1020">
        <v>2669122</v>
      </c>
      <c r="M1020">
        <v>1169156</v>
      </c>
      <c r="N1020">
        <v>87</v>
      </c>
      <c r="O1020" t="s">
        <v>91</v>
      </c>
      <c r="P1020" t="s">
        <v>32</v>
      </c>
    </row>
    <row r="1021" spans="1:16" x14ac:dyDescent="0.35">
      <c r="A1021" t="s">
        <v>2346</v>
      </c>
      <c r="B1021" t="s">
        <v>2347</v>
      </c>
      <c r="C1021" t="s">
        <v>84</v>
      </c>
      <c r="D1021" t="s">
        <v>4178</v>
      </c>
      <c r="E1021" t="s">
        <v>28</v>
      </c>
      <c r="F1021" s="1">
        <v>44164</v>
      </c>
      <c r="G1021">
        <v>2016</v>
      </c>
      <c r="H1021" t="s">
        <v>81</v>
      </c>
      <c r="I1021" t="s">
        <v>4212</v>
      </c>
      <c r="J1021" t="s">
        <v>48</v>
      </c>
      <c r="K1021">
        <v>8.3000000000000007</v>
      </c>
      <c r="L1021">
        <v>1970361</v>
      </c>
      <c r="M1021">
        <v>828108</v>
      </c>
      <c r="N1021">
        <v>90</v>
      </c>
      <c r="O1021" t="s">
        <v>41</v>
      </c>
      <c r="P1021" t="s">
        <v>87</v>
      </c>
    </row>
    <row r="1022" spans="1:16" x14ac:dyDescent="0.35">
      <c r="A1022" t="s">
        <v>4043</v>
      </c>
      <c r="B1022" t="s">
        <v>4044</v>
      </c>
      <c r="C1022" t="s">
        <v>53</v>
      </c>
      <c r="D1022" t="s">
        <v>61</v>
      </c>
      <c r="E1022" t="s">
        <v>4196</v>
      </c>
      <c r="F1022" s="1">
        <v>44164</v>
      </c>
      <c r="G1022">
        <v>2007</v>
      </c>
      <c r="H1022" t="s">
        <v>63</v>
      </c>
      <c r="I1022" t="s">
        <v>39</v>
      </c>
      <c r="J1022" t="s">
        <v>57</v>
      </c>
      <c r="K1022">
        <v>4.8</v>
      </c>
      <c r="L1022">
        <v>11863953</v>
      </c>
      <c r="M1022">
        <v>2419595</v>
      </c>
      <c r="N1022">
        <v>94</v>
      </c>
      <c r="O1022" t="s">
        <v>41</v>
      </c>
      <c r="P1022" t="s">
        <v>32</v>
      </c>
    </row>
    <row r="1023" spans="1:16" x14ac:dyDescent="0.35">
      <c r="A1023" t="s">
        <v>524</v>
      </c>
      <c r="B1023" t="s">
        <v>525</v>
      </c>
      <c r="C1023" t="s">
        <v>53</v>
      </c>
      <c r="D1023" t="s">
        <v>61</v>
      </c>
      <c r="E1023" t="s">
        <v>4178</v>
      </c>
      <c r="F1023" s="1">
        <v>44165</v>
      </c>
      <c r="G1023">
        <v>2020</v>
      </c>
      <c r="H1023" t="s">
        <v>63</v>
      </c>
      <c r="I1023" t="s">
        <v>136</v>
      </c>
      <c r="J1023" t="s">
        <v>40</v>
      </c>
      <c r="K1023">
        <v>6.1</v>
      </c>
      <c r="L1023">
        <v>5887819</v>
      </c>
      <c r="M1023">
        <v>2981142</v>
      </c>
      <c r="N1023">
        <v>41</v>
      </c>
      <c r="O1023" t="s">
        <v>49</v>
      </c>
      <c r="P1023" t="s">
        <v>87</v>
      </c>
    </row>
    <row r="1024" spans="1:16" x14ac:dyDescent="0.35">
      <c r="A1024" t="s">
        <v>480</v>
      </c>
      <c r="B1024" t="s">
        <v>481</v>
      </c>
      <c r="C1024" t="s">
        <v>53</v>
      </c>
      <c r="D1024" t="s">
        <v>75</v>
      </c>
      <c r="E1024" t="s">
        <v>4178</v>
      </c>
      <c r="F1024" s="1">
        <v>44169</v>
      </c>
      <c r="G1024">
        <v>2013</v>
      </c>
      <c r="H1024" t="s">
        <v>21</v>
      </c>
      <c r="I1024" t="s">
        <v>64</v>
      </c>
      <c r="J1024" t="s">
        <v>133</v>
      </c>
      <c r="K1024">
        <v>9.1999999999999993</v>
      </c>
      <c r="L1024">
        <v>19421813</v>
      </c>
      <c r="M1024">
        <v>1826560</v>
      </c>
      <c r="N1024">
        <v>78</v>
      </c>
      <c r="O1024" t="s">
        <v>65</v>
      </c>
      <c r="P1024" t="s">
        <v>87</v>
      </c>
    </row>
    <row r="1025" spans="1:16" x14ac:dyDescent="0.35">
      <c r="A1025" t="s">
        <v>263</v>
      </c>
      <c r="B1025" t="s">
        <v>264</v>
      </c>
      <c r="C1025" t="s">
        <v>4178</v>
      </c>
      <c r="D1025" t="s">
        <v>4178</v>
      </c>
      <c r="E1025" t="s">
        <v>69</v>
      </c>
      <c r="F1025" s="1">
        <v>44171</v>
      </c>
      <c r="G1025">
        <v>2026</v>
      </c>
      <c r="H1025" t="s">
        <v>63</v>
      </c>
      <c r="I1025" t="s">
        <v>162</v>
      </c>
      <c r="J1025" t="s">
        <v>103</v>
      </c>
      <c r="K1025">
        <v>7</v>
      </c>
      <c r="L1025">
        <v>16497716</v>
      </c>
      <c r="M1025">
        <v>2069350</v>
      </c>
      <c r="N1025">
        <v>74</v>
      </c>
      <c r="O1025" t="s">
        <v>4178</v>
      </c>
      <c r="P1025" t="s">
        <v>87</v>
      </c>
    </row>
    <row r="1026" spans="1:16" x14ac:dyDescent="0.35">
      <c r="A1026" t="s">
        <v>2190</v>
      </c>
      <c r="B1026" t="s">
        <v>2191</v>
      </c>
      <c r="C1026" t="s">
        <v>53</v>
      </c>
      <c r="D1026" t="s">
        <v>75</v>
      </c>
      <c r="E1026" t="s">
        <v>99</v>
      </c>
      <c r="F1026" s="1">
        <v>44174</v>
      </c>
      <c r="G1026">
        <v>2009</v>
      </c>
      <c r="H1026" t="s">
        <v>114</v>
      </c>
      <c r="I1026" t="s">
        <v>64</v>
      </c>
      <c r="J1026" t="s">
        <v>57</v>
      </c>
      <c r="K1026">
        <v>6.5</v>
      </c>
      <c r="L1026">
        <v>20109510</v>
      </c>
      <c r="M1026">
        <v>3639644</v>
      </c>
      <c r="N1026">
        <v>41</v>
      </c>
      <c r="O1026" t="s">
        <v>65</v>
      </c>
      <c r="P1026" t="s">
        <v>87</v>
      </c>
    </row>
    <row r="1027" spans="1:16" x14ac:dyDescent="0.35">
      <c r="A1027" t="s">
        <v>1450</v>
      </c>
      <c r="B1027" t="s">
        <v>1451</v>
      </c>
      <c r="C1027" t="s">
        <v>84</v>
      </c>
      <c r="D1027" t="s">
        <v>54</v>
      </c>
      <c r="E1027" t="s">
        <v>62</v>
      </c>
      <c r="F1027" s="1">
        <v>44175</v>
      </c>
      <c r="G1027">
        <v>2007</v>
      </c>
      <c r="H1027" t="s">
        <v>4178</v>
      </c>
      <c r="I1027" t="s">
        <v>4315</v>
      </c>
      <c r="J1027" t="s">
        <v>133</v>
      </c>
      <c r="K1027">
        <v>8.8000000000000007</v>
      </c>
      <c r="L1027">
        <v>13407393</v>
      </c>
      <c r="M1027">
        <v>4080164</v>
      </c>
      <c r="N1027">
        <v>89</v>
      </c>
      <c r="O1027" t="s">
        <v>91</v>
      </c>
      <c r="P1027" t="s">
        <v>4181</v>
      </c>
    </row>
    <row r="1028" spans="1:16" x14ac:dyDescent="0.35">
      <c r="A1028" t="s">
        <v>2361</v>
      </c>
      <c r="B1028" t="s">
        <v>2362</v>
      </c>
      <c r="C1028" t="s">
        <v>84</v>
      </c>
      <c r="D1028" t="s">
        <v>68</v>
      </c>
      <c r="E1028" t="s">
        <v>55</v>
      </c>
      <c r="F1028" s="1">
        <v>44186</v>
      </c>
      <c r="G1028">
        <v>2020</v>
      </c>
      <c r="H1028" t="s">
        <v>4178</v>
      </c>
      <c r="I1028" t="s">
        <v>4283</v>
      </c>
      <c r="J1028" t="s">
        <v>30</v>
      </c>
      <c r="K1028">
        <v>5.7</v>
      </c>
      <c r="L1028">
        <v>22411575</v>
      </c>
      <c r="M1028">
        <v>384194</v>
      </c>
      <c r="N1028">
        <v>47</v>
      </c>
      <c r="O1028" t="s">
        <v>49</v>
      </c>
      <c r="P1028" t="s">
        <v>87</v>
      </c>
    </row>
    <row r="1029" spans="1:16" x14ac:dyDescent="0.35">
      <c r="A1029" t="s">
        <v>2367</v>
      </c>
      <c r="B1029" t="s">
        <v>2368</v>
      </c>
      <c r="C1029" t="s">
        <v>53</v>
      </c>
      <c r="D1029" t="s">
        <v>94</v>
      </c>
      <c r="E1029" t="s">
        <v>20</v>
      </c>
      <c r="F1029" s="1">
        <v>44187</v>
      </c>
      <c r="G1029">
        <v>2005</v>
      </c>
      <c r="H1029" t="s">
        <v>85</v>
      </c>
      <c r="I1029" t="s">
        <v>64</v>
      </c>
      <c r="J1029" t="s">
        <v>133</v>
      </c>
      <c r="K1029">
        <v>6.4</v>
      </c>
      <c r="L1029">
        <v>12005243</v>
      </c>
      <c r="M1029">
        <v>3142974</v>
      </c>
      <c r="N1029">
        <v>69</v>
      </c>
      <c r="O1029" t="s">
        <v>24</v>
      </c>
      <c r="P1029" t="s">
        <v>50</v>
      </c>
    </row>
    <row r="1030" spans="1:16" x14ac:dyDescent="0.35">
      <c r="A1030" t="s">
        <v>2707</v>
      </c>
      <c r="B1030" t="s">
        <v>2708</v>
      </c>
      <c r="C1030" t="s">
        <v>53</v>
      </c>
      <c r="D1030" t="s">
        <v>94</v>
      </c>
      <c r="E1030" t="s">
        <v>28</v>
      </c>
      <c r="F1030" s="1">
        <v>44187</v>
      </c>
      <c r="G1030">
        <v>2003</v>
      </c>
      <c r="H1030" t="s">
        <v>63</v>
      </c>
      <c r="I1030" t="s">
        <v>136</v>
      </c>
      <c r="J1030" t="s">
        <v>153</v>
      </c>
      <c r="K1030">
        <v>9</v>
      </c>
      <c r="L1030">
        <v>3570527</v>
      </c>
      <c r="M1030">
        <v>3121302</v>
      </c>
      <c r="N1030">
        <v>81</v>
      </c>
      <c r="O1030" t="s">
        <v>123</v>
      </c>
      <c r="P1030" t="s">
        <v>4178</v>
      </c>
    </row>
    <row r="1031" spans="1:16" x14ac:dyDescent="0.35">
      <c r="A1031" t="s">
        <v>3602</v>
      </c>
      <c r="B1031" t="s">
        <v>3603</v>
      </c>
      <c r="C1031" t="s">
        <v>53</v>
      </c>
      <c r="D1031" t="s">
        <v>94</v>
      </c>
      <c r="E1031" t="s">
        <v>113</v>
      </c>
      <c r="F1031" s="1">
        <v>44187</v>
      </c>
      <c r="G1031">
        <v>2004</v>
      </c>
      <c r="H1031" t="s">
        <v>4178</v>
      </c>
      <c r="I1031" t="s">
        <v>118</v>
      </c>
      <c r="J1031" t="s">
        <v>40</v>
      </c>
      <c r="K1031">
        <v>8.1999999999999993</v>
      </c>
      <c r="L1031">
        <v>123520</v>
      </c>
      <c r="M1031">
        <v>41671</v>
      </c>
      <c r="N1031">
        <v>120</v>
      </c>
      <c r="O1031" t="s">
        <v>104</v>
      </c>
      <c r="P1031" t="s">
        <v>87</v>
      </c>
    </row>
    <row r="1032" spans="1:16" x14ac:dyDescent="0.35">
      <c r="A1032" t="s">
        <v>1440</v>
      </c>
      <c r="B1032" t="s">
        <v>1441</v>
      </c>
      <c r="C1032" t="s">
        <v>4178</v>
      </c>
      <c r="D1032" t="s">
        <v>27</v>
      </c>
      <c r="E1032" t="s">
        <v>4178</v>
      </c>
      <c r="F1032" s="1">
        <v>44188</v>
      </c>
      <c r="G1032">
        <v>2004</v>
      </c>
      <c r="H1032" t="s">
        <v>4178</v>
      </c>
      <c r="I1032" t="s">
        <v>4178</v>
      </c>
      <c r="J1032" t="s">
        <v>4178</v>
      </c>
      <c r="K1032">
        <v>5.0999999999999996</v>
      </c>
      <c r="L1032">
        <v>22945964</v>
      </c>
      <c r="M1032">
        <v>3622189</v>
      </c>
      <c r="N1032">
        <v>64</v>
      </c>
      <c r="O1032" t="s">
        <v>58</v>
      </c>
      <c r="P1032" t="s">
        <v>87</v>
      </c>
    </row>
    <row r="1033" spans="1:16" x14ac:dyDescent="0.35">
      <c r="A1033" t="s">
        <v>2312</v>
      </c>
      <c r="B1033" t="s">
        <v>2313</v>
      </c>
      <c r="C1033" t="s">
        <v>84</v>
      </c>
      <c r="D1033" t="s">
        <v>27</v>
      </c>
      <c r="E1033" t="s">
        <v>99</v>
      </c>
      <c r="F1033" s="1">
        <v>44189</v>
      </c>
      <c r="G1033">
        <v>2016</v>
      </c>
      <c r="H1033" t="s">
        <v>21</v>
      </c>
      <c r="I1033" t="s">
        <v>4250</v>
      </c>
      <c r="J1033" t="s">
        <v>72</v>
      </c>
      <c r="K1033">
        <v>6.9</v>
      </c>
      <c r="L1033">
        <v>15037897</v>
      </c>
      <c r="M1033">
        <v>3577372</v>
      </c>
      <c r="N1033">
        <v>97</v>
      </c>
      <c r="O1033" t="s">
        <v>104</v>
      </c>
      <c r="P1033" t="s">
        <v>4181</v>
      </c>
    </row>
    <row r="1034" spans="1:16" x14ac:dyDescent="0.35">
      <c r="A1034" t="s">
        <v>2552</v>
      </c>
      <c r="B1034" t="s">
        <v>2553</v>
      </c>
      <c r="C1034" t="s">
        <v>53</v>
      </c>
      <c r="D1034" t="s">
        <v>68</v>
      </c>
      <c r="E1034" t="s">
        <v>80</v>
      </c>
      <c r="F1034" s="1">
        <v>44191</v>
      </c>
      <c r="G1034">
        <v>2020</v>
      </c>
      <c r="H1034" t="s">
        <v>63</v>
      </c>
      <c r="I1034" t="s">
        <v>64</v>
      </c>
      <c r="J1034" t="s">
        <v>72</v>
      </c>
      <c r="K1034">
        <v>6</v>
      </c>
      <c r="L1034">
        <v>19122730</v>
      </c>
      <c r="M1034">
        <v>3962037</v>
      </c>
      <c r="N1034">
        <v>76</v>
      </c>
      <c r="O1034" t="s">
        <v>123</v>
      </c>
      <c r="P1034" t="s">
        <v>4178</v>
      </c>
    </row>
    <row r="1035" spans="1:16" x14ac:dyDescent="0.35">
      <c r="A1035" t="s">
        <v>1834</v>
      </c>
      <c r="B1035" t="s">
        <v>1835</v>
      </c>
      <c r="C1035" t="s">
        <v>53</v>
      </c>
      <c r="D1035" t="s">
        <v>94</v>
      </c>
      <c r="E1035" t="s">
        <v>113</v>
      </c>
      <c r="F1035" s="1">
        <v>44194</v>
      </c>
      <c r="G1035">
        <v>2005</v>
      </c>
      <c r="H1035" t="s">
        <v>121</v>
      </c>
      <c r="I1035" t="s">
        <v>95</v>
      </c>
      <c r="J1035" t="s">
        <v>72</v>
      </c>
      <c r="K1035">
        <v>8.9</v>
      </c>
      <c r="L1035">
        <v>6719018</v>
      </c>
      <c r="M1035">
        <v>1787770</v>
      </c>
      <c r="N1035">
        <v>73</v>
      </c>
      <c r="O1035" t="s">
        <v>123</v>
      </c>
      <c r="P1035" t="s">
        <v>4178</v>
      </c>
    </row>
    <row r="1036" spans="1:16" x14ac:dyDescent="0.35">
      <c r="A1036" t="s">
        <v>828</v>
      </c>
      <c r="B1036" t="s">
        <v>829</v>
      </c>
      <c r="C1036" t="s">
        <v>53</v>
      </c>
      <c r="D1036" t="s">
        <v>36</v>
      </c>
      <c r="E1036" t="s">
        <v>99</v>
      </c>
      <c r="F1036" s="1">
        <v>44196</v>
      </c>
      <c r="G1036">
        <v>2018</v>
      </c>
      <c r="H1036" t="s">
        <v>4178</v>
      </c>
      <c r="I1036" t="s">
        <v>95</v>
      </c>
      <c r="J1036" t="s">
        <v>4178</v>
      </c>
      <c r="K1036">
        <v>6.1</v>
      </c>
      <c r="L1036">
        <v>7146934</v>
      </c>
      <c r="M1036">
        <v>1388600</v>
      </c>
      <c r="N1036">
        <v>68</v>
      </c>
      <c r="O1036" t="s">
        <v>91</v>
      </c>
      <c r="P1036" t="s">
        <v>4181</v>
      </c>
    </row>
    <row r="1037" spans="1:16" x14ac:dyDescent="0.35">
      <c r="A1037" t="s">
        <v>2570</v>
      </c>
      <c r="B1037" t="s">
        <v>2571</v>
      </c>
      <c r="C1037" t="s">
        <v>84</v>
      </c>
      <c r="D1037" t="s">
        <v>94</v>
      </c>
      <c r="E1037" t="s">
        <v>20</v>
      </c>
      <c r="F1037" s="1">
        <v>44198</v>
      </c>
      <c r="G1037">
        <v>2026</v>
      </c>
      <c r="H1037" t="s">
        <v>21</v>
      </c>
      <c r="I1037" t="s">
        <v>4285</v>
      </c>
      <c r="J1037" t="s">
        <v>30</v>
      </c>
      <c r="K1037">
        <v>8.6999999999999993</v>
      </c>
      <c r="L1037">
        <v>18319839</v>
      </c>
      <c r="M1037">
        <v>878007</v>
      </c>
      <c r="N1037">
        <v>47</v>
      </c>
      <c r="O1037" t="s">
        <v>91</v>
      </c>
      <c r="P1037" t="s">
        <v>87</v>
      </c>
    </row>
    <row r="1038" spans="1:16" x14ac:dyDescent="0.35">
      <c r="A1038" t="s">
        <v>3707</v>
      </c>
      <c r="B1038" t="s">
        <v>3708</v>
      </c>
      <c r="C1038" t="s">
        <v>84</v>
      </c>
      <c r="D1038" t="s">
        <v>4178</v>
      </c>
      <c r="E1038" t="s">
        <v>4196</v>
      </c>
      <c r="F1038" s="1">
        <v>44199</v>
      </c>
      <c r="G1038">
        <v>2022</v>
      </c>
      <c r="H1038" t="s">
        <v>85</v>
      </c>
      <c r="I1038" t="s">
        <v>4235</v>
      </c>
      <c r="J1038" t="s">
        <v>40</v>
      </c>
      <c r="K1038">
        <v>7.7</v>
      </c>
      <c r="L1038">
        <v>24181690</v>
      </c>
      <c r="M1038">
        <v>4530628</v>
      </c>
      <c r="N1038">
        <v>51</v>
      </c>
      <c r="O1038" t="s">
        <v>49</v>
      </c>
      <c r="P1038" t="s">
        <v>4178</v>
      </c>
    </row>
    <row r="1039" spans="1:16" x14ac:dyDescent="0.35">
      <c r="A1039" t="s">
        <v>672</v>
      </c>
      <c r="B1039" t="s">
        <v>673</v>
      </c>
      <c r="C1039" t="s">
        <v>84</v>
      </c>
      <c r="D1039" t="s">
        <v>19</v>
      </c>
      <c r="E1039" t="s">
        <v>37</v>
      </c>
      <c r="F1039" s="1">
        <v>44202</v>
      </c>
      <c r="G1039">
        <v>2022</v>
      </c>
      <c r="H1039" t="s">
        <v>85</v>
      </c>
      <c r="I1039" t="s">
        <v>4225</v>
      </c>
      <c r="J1039" t="s">
        <v>48</v>
      </c>
      <c r="K1039">
        <v>6.8</v>
      </c>
      <c r="L1039">
        <v>4439979</v>
      </c>
      <c r="M1039">
        <v>768265</v>
      </c>
      <c r="N1039">
        <v>67</v>
      </c>
      <c r="O1039" t="s">
        <v>31</v>
      </c>
      <c r="P1039" t="s">
        <v>4181</v>
      </c>
    </row>
    <row r="1040" spans="1:16" x14ac:dyDescent="0.35">
      <c r="A1040" t="s">
        <v>2477</v>
      </c>
      <c r="B1040" t="s">
        <v>2478</v>
      </c>
      <c r="C1040" t="s">
        <v>53</v>
      </c>
      <c r="D1040" t="s">
        <v>90</v>
      </c>
      <c r="E1040" t="s">
        <v>4196</v>
      </c>
      <c r="F1040" s="1">
        <v>44202</v>
      </c>
      <c r="G1040">
        <v>2017</v>
      </c>
      <c r="H1040" t="s">
        <v>46</v>
      </c>
      <c r="I1040" t="s">
        <v>118</v>
      </c>
      <c r="J1040" t="s">
        <v>133</v>
      </c>
      <c r="K1040">
        <v>5.4</v>
      </c>
      <c r="L1040">
        <v>14607559</v>
      </c>
      <c r="M1040">
        <v>4273672</v>
      </c>
      <c r="N1040">
        <v>76</v>
      </c>
      <c r="O1040" t="s">
        <v>41</v>
      </c>
      <c r="P1040" t="s">
        <v>32</v>
      </c>
    </row>
    <row r="1041" spans="1:16" x14ac:dyDescent="0.35">
      <c r="A1041" t="s">
        <v>1399</v>
      </c>
      <c r="B1041" t="s">
        <v>1400</v>
      </c>
      <c r="C1041" t="s">
        <v>84</v>
      </c>
      <c r="D1041" t="s">
        <v>4178</v>
      </c>
      <c r="E1041" t="s">
        <v>99</v>
      </c>
      <c r="F1041" s="1">
        <v>44203</v>
      </c>
      <c r="G1041">
        <v>2013</v>
      </c>
      <c r="H1041" t="s">
        <v>107</v>
      </c>
      <c r="I1041" t="s">
        <v>4178</v>
      </c>
      <c r="J1041" t="s">
        <v>30</v>
      </c>
      <c r="K1041">
        <v>7.4</v>
      </c>
      <c r="L1041">
        <v>8004412</v>
      </c>
      <c r="M1041">
        <v>2799130</v>
      </c>
      <c r="N1041">
        <v>79</v>
      </c>
      <c r="O1041" t="s">
        <v>4178</v>
      </c>
      <c r="P1041" t="s">
        <v>4181</v>
      </c>
    </row>
    <row r="1042" spans="1:16" x14ac:dyDescent="0.35">
      <c r="A1042" t="s">
        <v>1702</v>
      </c>
      <c r="B1042" t="s">
        <v>1703</v>
      </c>
      <c r="C1042" t="s">
        <v>84</v>
      </c>
      <c r="D1042" t="s">
        <v>4178</v>
      </c>
      <c r="E1042" t="s">
        <v>4178</v>
      </c>
      <c r="F1042" s="1">
        <v>44206</v>
      </c>
      <c r="G1042">
        <v>2000</v>
      </c>
      <c r="H1042" t="s">
        <v>38</v>
      </c>
      <c r="I1042" t="s">
        <v>4256</v>
      </c>
      <c r="J1042" t="s">
        <v>96</v>
      </c>
      <c r="K1042">
        <v>8.6</v>
      </c>
      <c r="L1042">
        <v>784388</v>
      </c>
      <c r="M1042">
        <v>1225773</v>
      </c>
      <c r="N1042">
        <v>91</v>
      </c>
      <c r="O1042" t="s">
        <v>123</v>
      </c>
      <c r="P1042" t="s">
        <v>4178</v>
      </c>
    </row>
    <row r="1043" spans="1:16" x14ac:dyDescent="0.35">
      <c r="A1043" t="s">
        <v>4099</v>
      </c>
      <c r="B1043" t="s">
        <v>4100</v>
      </c>
      <c r="C1043" t="s">
        <v>4178</v>
      </c>
      <c r="D1043" t="s">
        <v>54</v>
      </c>
      <c r="E1043" t="s">
        <v>99</v>
      </c>
      <c r="F1043" s="1">
        <v>44212</v>
      </c>
      <c r="G1043">
        <v>2010</v>
      </c>
      <c r="H1043" t="s">
        <v>63</v>
      </c>
      <c r="I1043" t="s">
        <v>56</v>
      </c>
      <c r="J1043" t="s">
        <v>72</v>
      </c>
      <c r="K1043">
        <v>8.4</v>
      </c>
      <c r="L1043">
        <v>20144700</v>
      </c>
      <c r="M1043">
        <v>120830</v>
      </c>
      <c r="N1043">
        <v>40</v>
      </c>
      <c r="O1043" t="s">
        <v>104</v>
      </c>
      <c r="P1043" t="s">
        <v>4181</v>
      </c>
    </row>
    <row r="1044" spans="1:16" x14ac:dyDescent="0.35">
      <c r="A1044" t="s">
        <v>811</v>
      </c>
      <c r="B1044" t="s">
        <v>812</v>
      </c>
      <c r="C1044" t="s">
        <v>53</v>
      </c>
      <c r="D1044" t="s">
        <v>27</v>
      </c>
      <c r="E1044" t="s">
        <v>55</v>
      </c>
      <c r="F1044" s="1">
        <v>44213</v>
      </c>
      <c r="G1044">
        <v>2013</v>
      </c>
      <c r="H1044" t="s">
        <v>85</v>
      </c>
      <c r="I1044" t="s">
        <v>64</v>
      </c>
      <c r="J1044" t="s">
        <v>72</v>
      </c>
      <c r="K1044">
        <v>8.1999999999999993</v>
      </c>
      <c r="L1044">
        <v>3512439</v>
      </c>
      <c r="M1044">
        <v>4181872</v>
      </c>
      <c r="N1044">
        <v>93</v>
      </c>
      <c r="O1044" t="s">
        <v>24</v>
      </c>
      <c r="P1044" t="s">
        <v>32</v>
      </c>
    </row>
    <row r="1045" spans="1:16" x14ac:dyDescent="0.35">
      <c r="A1045" t="s">
        <v>4135</v>
      </c>
      <c r="B1045" t="s">
        <v>4136</v>
      </c>
      <c r="C1045" t="s">
        <v>84</v>
      </c>
      <c r="D1045" t="s">
        <v>4178</v>
      </c>
      <c r="E1045" t="s">
        <v>62</v>
      </c>
      <c r="F1045" s="1">
        <v>44214</v>
      </c>
      <c r="G1045">
        <v>2007</v>
      </c>
      <c r="H1045" t="s">
        <v>121</v>
      </c>
      <c r="I1045" t="s">
        <v>4274</v>
      </c>
      <c r="J1045" t="s">
        <v>48</v>
      </c>
      <c r="K1045">
        <v>11.2</v>
      </c>
      <c r="L1045">
        <v>8439142</v>
      </c>
      <c r="M1045">
        <v>3963632</v>
      </c>
      <c r="N1045">
        <v>75</v>
      </c>
      <c r="O1045" t="s">
        <v>31</v>
      </c>
      <c r="P1045" t="s">
        <v>50</v>
      </c>
    </row>
    <row r="1046" spans="1:16" x14ac:dyDescent="0.35">
      <c r="A1046" t="s">
        <v>2657</v>
      </c>
      <c r="B1046" t="s">
        <v>2658</v>
      </c>
      <c r="C1046" t="s">
        <v>53</v>
      </c>
      <c r="D1046" t="s">
        <v>4178</v>
      </c>
      <c r="E1046" t="s">
        <v>4196</v>
      </c>
      <c r="F1046" s="1">
        <v>44218</v>
      </c>
      <c r="G1046">
        <v>2005</v>
      </c>
      <c r="H1046" t="s">
        <v>63</v>
      </c>
      <c r="I1046" t="s">
        <v>162</v>
      </c>
      <c r="J1046" t="s">
        <v>153</v>
      </c>
      <c r="K1046">
        <v>5.4</v>
      </c>
      <c r="L1046">
        <v>19328763</v>
      </c>
      <c r="M1046">
        <v>2008388</v>
      </c>
      <c r="N1046">
        <v>120</v>
      </c>
      <c r="O1046" t="s">
        <v>31</v>
      </c>
      <c r="P1046" t="s">
        <v>4181</v>
      </c>
    </row>
    <row r="1047" spans="1:16" x14ac:dyDescent="0.35">
      <c r="A1047" t="s">
        <v>470</v>
      </c>
      <c r="B1047" t="s">
        <v>471</v>
      </c>
      <c r="C1047" t="s">
        <v>84</v>
      </c>
      <c r="D1047" t="s">
        <v>75</v>
      </c>
      <c r="E1047" t="s">
        <v>37</v>
      </c>
      <c r="F1047" s="1">
        <v>44226</v>
      </c>
      <c r="G1047">
        <v>2024</v>
      </c>
      <c r="H1047" t="s">
        <v>81</v>
      </c>
      <c r="I1047" t="s">
        <v>4244</v>
      </c>
      <c r="J1047" t="s">
        <v>48</v>
      </c>
      <c r="K1047">
        <v>7.7</v>
      </c>
      <c r="L1047">
        <v>11562742</v>
      </c>
      <c r="M1047">
        <v>1631534</v>
      </c>
      <c r="N1047">
        <v>82</v>
      </c>
      <c r="O1047" t="s">
        <v>123</v>
      </c>
      <c r="P1047" t="s">
        <v>87</v>
      </c>
    </row>
    <row r="1048" spans="1:16" x14ac:dyDescent="0.35">
      <c r="A1048" t="s">
        <v>3361</v>
      </c>
      <c r="B1048" t="s">
        <v>3362</v>
      </c>
      <c r="C1048" t="s">
        <v>4178</v>
      </c>
      <c r="D1048" t="s">
        <v>36</v>
      </c>
      <c r="E1048" t="s">
        <v>80</v>
      </c>
      <c r="F1048" s="1">
        <v>44226</v>
      </c>
      <c r="G1048">
        <v>2012</v>
      </c>
      <c r="H1048" t="s">
        <v>4178</v>
      </c>
      <c r="I1048" t="s">
        <v>136</v>
      </c>
      <c r="J1048" t="s">
        <v>72</v>
      </c>
      <c r="K1048">
        <v>7.9</v>
      </c>
      <c r="L1048">
        <v>24672067</v>
      </c>
      <c r="M1048">
        <v>1348314</v>
      </c>
      <c r="N1048">
        <v>50</v>
      </c>
      <c r="O1048" t="s">
        <v>104</v>
      </c>
      <c r="P1048" t="s">
        <v>4178</v>
      </c>
    </row>
    <row r="1049" spans="1:16" x14ac:dyDescent="0.35">
      <c r="A1049" t="s">
        <v>3630</v>
      </c>
      <c r="B1049" t="s">
        <v>3631</v>
      </c>
      <c r="C1049" t="s">
        <v>4178</v>
      </c>
      <c r="D1049" t="s">
        <v>90</v>
      </c>
      <c r="E1049" t="s">
        <v>80</v>
      </c>
      <c r="F1049" s="1">
        <v>44226</v>
      </c>
      <c r="G1049">
        <v>2013</v>
      </c>
      <c r="H1049" t="s">
        <v>107</v>
      </c>
      <c r="I1049" t="s">
        <v>39</v>
      </c>
      <c r="J1049" t="s">
        <v>133</v>
      </c>
      <c r="K1049">
        <v>8.8000000000000007</v>
      </c>
      <c r="L1049">
        <v>16817969</v>
      </c>
      <c r="M1049">
        <v>443853</v>
      </c>
      <c r="N1049">
        <v>56</v>
      </c>
      <c r="O1049" t="s">
        <v>49</v>
      </c>
      <c r="P1049" t="s">
        <v>4181</v>
      </c>
    </row>
    <row r="1050" spans="1:16" x14ac:dyDescent="0.35">
      <c r="A1050" t="s">
        <v>2554</v>
      </c>
      <c r="B1050" t="s">
        <v>2555</v>
      </c>
      <c r="C1050" t="s">
        <v>84</v>
      </c>
      <c r="D1050" t="s">
        <v>68</v>
      </c>
      <c r="E1050" t="s">
        <v>113</v>
      </c>
      <c r="F1050" s="1">
        <v>44231</v>
      </c>
      <c r="G1050">
        <v>2006</v>
      </c>
      <c r="H1050" t="s">
        <v>21</v>
      </c>
      <c r="I1050" t="s">
        <v>4189</v>
      </c>
      <c r="J1050" t="s">
        <v>4178</v>
      </c>
      <c r="K1050">
        <v>8.8000000000000007</v>
      </c>
      <c r="L1050">
        <v>14496328</v>
      </c>
      <c r="M1050">
        <v>1745620</v>
      </c>
      <c r="N1050">
        <v>67</v>
      </c>
      <c r="O1050" t="s">
        <v>91</v>
      </c>
      <c r="P1050" t="s">
        <v>4181</v>
      </c>
    </row>
    <row r="1051" spans="1:16" x14ac:dyDescent="0.35">
      <c r="A1051" t="s">
        <v>1321</v>
      </c>
      <c r="B1051" t="s">
        <v>1322</v>
      </c>
      <c r="C1051" t="s">
        <v>84</v>
      </c>
      <c r="D1051" t="s">
        <v>90</v>
      </c>
      <c r="E1051" t="s">
        <v>4178</v>
      </c>
      <c r="F1051" s="1">
        <v>44232</v>
      </c>
      <c r="G1051">
        <v>2002</v>
      </c>
      <c r="H1051" t="s">
        <v>107</v>
      </c>
      <c r="I1051" t="s">
        <v>4293</v>
      </c>
      <c r="J1051" t="s">
        <v>96</v>
      </c>
      <c r="K1051">
        <v>11.2</v>
      </c>
      <c r="L1051">
        <v>12781066</v>
      </c>
      <c r="M1051">
        <v>801597</v>
      </c>
      <c r="N1051">
        <v>40</v>
      </c>
      <c r="O1051" t="s">
        <v>91</v>
      </c>
      <c r="P1051" t="s">
        <v>4178</v>
      </c>
    </row>
    <row r="1052" spans="1:16" x14ac:dyDescent="0.35">
      <c r="A1052" t="s">
        <v>1249</v>
      </c>
      <c r="B1052" t="s">
        <v>1250</v>
      </c>
      <c r="C1052" t="s">
        <v>84</v>
      </c>
      <c r="D1052" t="s">
        <v>68</v>
      </c>
      <c r="E1052" t="s">
        <v>45</v>
      </c>
      <c r="F1052" s="1">
        <v>44239</v>
      </c>
      <c r="G1052">
        <v>2009</v>
      </c>
      <c r="H1052" t="s">
        <v>121</v>
      </c>
      <c r="I1052" t="s">
        <v>4285</v>
      </c>
      <c r="J1052" t="s">
        <v>103</v>
      </c>
      <c r="K1052">
        <v>9.4</v>
      </c>
      <c r="L1052">
        <v>17485512</v>
      </c>
      <c r="M1052">
        <v>3724949</v>
      </c>
      <c r="N1052">
        <v>93</v>
      </c>
      <c r="O1052" t="s">
        <v>91</v>
      </c>
      <c r="P1052" t="s">
        <v>87</v>
      </c>
    </row>
    <row r="1053" spans="1:16" x14ac:dyDescent="0.35">
      <c r="A1053" t="s">
        <v>515</v>
      </c>
      <c r="B1053" t="s">
        <v>516</v>
      </c>
      <c r="C1053" t="s">
        <v>84</v>
      </c>
      <c r="D1053" t="s">
        <v>94</v>
      </c>
      <c r="E1053" t="s">
        <v>20</v>
      </c>
      <c r="F1053" s="1">
        <v>44241</v>
      </c>
      <c r="G1053">
        <v>2007</v>
      </c>
      <c r="H1053" t="s">
        <v>121</v>
      </c>
      <c r="I1053" t="s">
        <v>4250</v>
      </c>
      <c r="J1053" t="s">
        <v>72</v>
      </c>
      <c r="K1053">
        <v>9.1999999999999993</v>
      </c>
      <c r="L1053">
        <v>792361</v>
      </c>
      <c r="M1053">
        <v>4340171</v>
      </c>
      <c r="N1053">
        <v>93</v>
      </c>
      <c r="O1053" t="s">
        <v>41</v>
      </c>
      <c r="P1053" t="s">
        <v>4181</v>
      </c>
    </row>
    <row r="1054" spans="1:16" x14ac:dyDescent="0.35">
      <c r="A1054" t="s">
        <v>1583</v>
      </c>
      <c r="B1054" t="s">
        <v>1584</v>
      </c>
      <c r="C1054" t="s">
        <v>53</v>
      </c>
      <c r="D1054" t="s">
        <v>4178</v>
      </c>
      <c r="E1054" t="s">
        <v>28</v>
      </c>
      <c r="F1054" s="1">
        <v>44242</v>
      </c>
      <c r="G1054">
        <v>2002</v>
      </c>
      <c r="H1054" t="s">
        <v>81</v>
      </c>
      <c r="I1054" t="s">
        <v>118</v>
      </c>
      <c r="J1054" t="s">
        <v>153</v>
      </c>
      <c r="K1054">
        <v>7.5</v>
      </c>
      <c r="L1054">
        <v>11399272</v>
      </c>
      <c r="M1054">
        <v>45513</v>
      </c>
      <c r="N1054">
        <v>80</v>
      </c>
      <c r="O1054" t="s">
        <v>31</v>
      </c>
      <c r="P1054" t="s">
        <v>4181</v>
      </c>
    </row>
    <row r="1055" spans="1:16" x14ac:dyDescent="0.35">
      <c r="A1055" t="s">
        <v>844</v>
      </c>
      <c r="B1055" t="s">
        <v>845</v>
      </c>
      <c r="C1055" t="s">
        <v>53</v>
      </c>
      <c r="D1055" t="s">
        <v>19</v>
      </c>
      <c r="E1055" t="s">
        <v>55</v>
      </c>
      <c r="F1055" s="1">
        <v>44245</v>
      </c>
      <c r="G1055">
        <v>2011</v>
      </c>
      <c r="H1055" t="s">
        <v>85</v>
      </c>
      <c r="I1055" t="s">
        <v>118</v>
      </c>
      <c r="J1055" t="s">
        <v>96</v>
      </c>
      <c r="K1055">
        <v>6.9</v>
      </c>
      <c r="L1055">
        <v>1476617</v>
      </c>
      <c r="M1055">
        <v>2850801</v>
      </c>
      <c r="N1055">
        <v>85</v>
      </c>
      <c r="O1055" t="s">
        <v>65</v>
      </c>
      <c r="P1055" t="s">
        <v>87</v>
      </c>
    </row>
    <row r="1056" spans="1:16" x14ac:dyDescent="0.35">
      <c r="A1056" t="s">
        <v>3019</v>
      </c>
      <c r="B1056" t="s">
        <v>3020</v>
      </c>
      <c r="C1056" t="s">
        <v>53</v>
      </c>
      <c r="D1056" t="s">
        <v>4178</v>
      </c>
      <c r="E1056" t="s">
        <v>45</v>
      </c>
      <c r="F1056" s="1">
        <v>44246</v>
      </c>
      <c r="G1056">
        <v>2025</v>
      </c>
      <c r="H1056" t="s">
        <v>4178</v>
      </c>
      <c r="I1056" t="s">
        <v>4178</v>
      </c>
      <c r="J1056" t="s">
        <v>72</v>
      </c>
      <c r="K1056">
        <v>5.9</v>
      </c>
      <c r="L1056">
        <v>9912849</v>
      </c>
      <c r="M1056">
        <v>818366</v>
      </c>
      <c r="N1056">
        <v>65</v>
      </c>
      <c r="O1056" t="s">
        <v>49</v>
      </c>
      <c r="P1056" t="s">
        <v>50</v>
      </c>
    </row>
    <row r="1057" spans="1:16" x14ac:dyDescent="0.35">
      <c r="A1057" t="s">
        <v>2503</v>
      </c>
      <c r="B1057" t="s">
        <v>4358</v>
      </c>
      <c r="C1057" t="s">
        <v>53</v>
      </c>
      <c r="D1057" t="s">
        <v>90</v>
      </c>
      <c r="E1057" t="s">
        <v>4178</v>
      </c>
      <c r="F1057" s="1">
        <v>44247</v>
      </c>
      <c r="G1057">
        <v>2026</v>
      </c>
      <c r="H1057" t="s">
        <v>107</v>
      </c>
      <c r="I1057" t="s">
        <v>64</v>
      </c>
      <c r="J1057" t="s">
        <v>72</v>
      </c>
      <c r="K1057">
        <v>5</v>
      </c>
      <c r="L1057">
        <v>14544710</v>
      </c>
      <c r="M1057">
        <v>3923817</v>
      </c>
      <c r="N1057">
        <v>40</v>
      </c>
      <c r="O1057" t="s">
        <v>123</v>
      </c>
      <c r="P1057" t="s">
        <v>50</v>
      </c>
    </row>
    <row r="1058" spans="1:16" x14ac:dyDescent="0.35">
      <c r="A1058" t="s">
        <v>3095</v>
      </c>
      <c r="B1058" t="s">
        <v>3096</v>
      </c>
      <c r="C1058" t="s">
        <v>53</v>
      </c>
      <c r="D1058" t="s">
        <v>156</v>
      </c>
      <c r="E1058" t="s">
        <v>4178</v>
      </c>
      <c r="F1058" s="1">
        <v>44247</v>
      </c>
      <c r="G1058">
        <v>2014</v>
      </c>
      <c r="H1058" t="s">
        <v>38</v>
      </c>
      <c r="I1058" t="s">
        <v>136</v>
      </c>
      <c r="J1058" t="s">
        <v>48</v>
      </c>
      <c r="K1058">
        <v>8.6</v>
      </c>
      <c r="L1058">
        <v>20884689</v>
      </c>
      <c r="M1058">
        <v>736452</v>
      </c>
      <c r="N1058">
        <v>99</v>
      </c>
      <c r="O1058" t="s">
        <v>41</v>
      </c>
      <c r="P1058" t="s">
        <v>4181</v>
      </c>
    </row>
    <row r="1059" spans="1:16" x14ac:dyDescent="0.35">
      <c r="A1059" t="s">
        <v>513</v>
      </c>
      <c r="B1059" t="s">
        <v>4249</v>
      </c>
      <c r="C1059" t="s">
        <v>53</v>
      </c>
      <c r="D1059" t="s">
        <v>90</v>
      </c>
      <c r="E1059" t="s">
        <v>37</v>
      </c>
      <c r="F1059" s="1">
        <v>44248</v>
      </c>
      <c r="G1059">
        <v>2021</v>
      </c>
      <c r="H1059" t="s">
        <v>63</v>
      </c>
      <c r="I1059" t="s">
        <v>136</v>
      </c>
      <c r="J1059" t="s">
        <v>72</v>
      </c>
      <c r="K1059">
        <v>5.8</v>
      </c>
      <c r="L1059">
        <v>9492655</v>
      </c>
      <c r="M1059">
        <v>281780</v>
      </c>
      <c r="N1059">
        <v>92</v>
      </c>
      <c r="O1059" t="s">
        <v>58</v>
      </c>
      <c r="P1059" t="s">
        <v>50</v>
      </c>
    </row>
    <row r="1060" spans="1:16" x14ac:dyDescent="0.35">
      <c r="A1060" t="s">
        <v>803</v>
      </c>
      <c r="B1060" t="s">
        <v>804</v>
      </c>
      <c r="C1060" t="s">
        <v>53</v>
      </c>
      <c r="D1060" t="s">
        <v>4178</v>
      </c>
      <c r="E1060" t="s">
        <v>45</v>
      </c>
      <c r="F1060" s="1">
        <v>44250</v>
      </c>
      <c r="G1060">
        <v>2015</v>
      </c>
      <c r="H1060" t="s">
        <v>63</v>
      </c>
      <c r="I1060" t="s">
        <v>71</v>
      </c>
      <c r="J1060" t="s">
        <v>96</v>
      </c>
      <c r="K1060">
        <v>7.8</v>
      </c>
      <c r="L1060">
        <v>4996465</v>
      </c>
      <c r="M1060">
        <v>3155259</v>
      </c>
      <c r="N1060">
        <v>53</v>
      </c>
      <c r="O1060" t="s">
        <v>4178</v>
      </c>
      <c r="P1060" t="s">
        <v>50</v>
      </c>
    </row>
    <row r="1061" spans="1:16" x14ac:dyDescent="0.35">
      <c r="A1061" t="s">
        <v>2926</v>
      </c>
      <c r="B1061" t="s">
        <v>2927</v>
      </c>
      <c r="C1061" t="s">
        <v>53</v>
      </c>
      <c r="D1061" t="s">
        <v>68</v>
      </c>
      <c r="E1061" t="s">
        <v>37</v>
      </c>
      <c r="F1061" s="1">
        <v>44250</v>
      </c>
      <c r="G1061">
        <v>2003</v>
      </c>
      <c r="H1061" t="s">
        <v>107</v>
      </c>
      <c r="I1061" t="s">
        <v>64</v>
      </c>
      <c r="J1061" t="s">
        <v>133</v>
      </c>
      <c r="K1061">
        <v>4.7</v>
      </c>
      <c r="L1061">
        <v>16419762</v>
      </c>
      <c r="M1061">
        <v>1657960</v>
      </c>
      <c r="N1061">
        <v>68</v>
      </c>
      <c r="O1061" t="s">
        <v>4178</v>
      </c>
      <c r="P1061" t="s">
        <v>4181</v>
      </c>
    </row>
    <row r="1062" spans="1:16" x14ac:dyDescent="0.35">
      <c r="A1062" t="s">
        <v>3070</v>
      </c>
      <c r="B1062" t="s">
        <v>3071</v>
      </c>
      <c r="C1062" t="s">
        <v>84</v>
      </c>
      <c r="D1062" t="s">
        <v>54</v>
      </c>
      <c r="E1062" t="s">
        <v>62</v>
      </c>
      <c r="F1062" s="1">
        <v>44253</v>
      </c>
      <c r="G1062">
        <v>2024</v>
      </c>
      <c r="H1062" t="s">
        <v>107</v>
      </c>
      <c r="I1062" t="s">
        <v>4275</v>
      </c>
      <c r="J1062" t="s">
        <v>4178</v>
      </c>
      <c r="K1062">
        <v>5.4</v>
      </c>
      <c r="L1062">
        <v>2187497</v>
      </c>
      <c r="M1062">
        <v>3376823</v>
      </c>
      <c r="N1062">
        <v>79</v>
      </c>
      <c r="O1062" t="s">
        <v>31</v>
      </c>
      <c r="P1062" t="s">
        <v>4181</v>
      </c>
    </row>
    <row r="1063" spans="1:16" x14ac:dyDescent="0.35">
      <c r="A1063" t="s">
        <v>736</v>
      </c>
      <c r="B1063" t="s">
        <v>737</v>
      </c>
      <c r="C1063" t="s">
        <v>84</v>
      </c>
      <c r="D1063" t="s">
        <v>94</v>
      </c>
      <c r="E1063" t="s">
        <v>45</v>
      </c>
      <c r="F1063" s="1">
        <v>44256</v>
      </c>
      <c r="G1063">
        <v>2016</v>
      </c>
      <c r="H1063" t="s">
        <v>46</v>
      </c>
      <c r="I1063" t="s">
        <v>4269</v>
      </c>
      <c r="J1063" t="s">
        <v>103</v>
      </c>
      <c r="K1063">
        <v>5.7</v>
      </c>
      <c r="L1063">
        <v>17081869</v>
      </c>
      <c r="M1063">
        <v>4227864</v>
      </c>
      <c r="N1063">
        <v>59</v>
      </c>
      <c r="O1063" t="s">
        <v>41</v>
      </c>
      <c r="P1063" t="s">
        <v>4181</v>
      </c>
    </row>
    <row r="1064" spans="1:16" x14ac:dyDescent="0.35">
      <c r="A1064" t="s">
        <v>1430</v>
      </c>
      <c r="B1064" t="s">
        <v>1431</v>
      </c>
      <c r="C1064" t="s">
        <v>53</v>
      </c>
      <c r="D1064" t="s">
        <v>90</v>
      </c>
      <c r="E1064" t="s">
        <v>20</v>
      </c>
      <c r="F1064" s="1">
        <v>44257</v>
      </c>
      <c r="G1064">
        <v>2001</v>
      </c>
      <c r="H1064" t="s">
        <v>4178</v>
      </c>
      <c r="I1064" t="s">
        <v>71</v>
      </c>
      <c r="J1064" t="s">
        <v>48</v>
      </c>
      <c r="K1064">
        <v>8.5</v>
      </c>
      <c r="L1064">
        <v>5440167</v>
      </c>
      <c r="M1064">
        <v>2248666</v>
      </c>
      <c r="N1064">
        <v>80</v>
      </c>
      <c r="O1064" t="s">
        <v>49</v>
      </c>
      <c r="P1064" t="s">
        <v>50</v>
      </c>
    </row>
    <row r="1065" spans="1:16" x14ac:dyDescent="0.35">
      <c r="A1065" t="s">
        <v>2099</v>
      </c>
      <c r="B1065" t="s">
        <v>2100</v>
      </c>
      <c r="C1065" t="s">
        <v>84</v>
      </c>
      <c r="D1065" t="s">
        <v>54</v>
      </c>
      <c r="E1065" t="s">
        <v>131</v>
      </c>
      <c r="F1065" s="1">
        <v>44257</v>
      </c>
      <c r="G1065">
        <v>2015</v>
      </c>
      <c r="H1065" t="s">
        <v>81</v>
      </c>
      <c r="I1065" t="s">
        <v>4272</v>
      </c>
      <c r="J1065" t="s">
        <v>23</v>
      </c>
      <c r="K1065">
        <v>6.4</v>
      </c>
      <c r="L1065">
        <v>5149427</v>
      </c>
      <c r="M1065">
        <v>4630885</v>
      </c>
      <c r="N1065">
        <v>61</v>
      </c>
      <c r="O1065" t="s">
        <v>31</v>
      </c>
      <c r="P1065" t="s">
        <v>32</v>
      </c>
    </row>
    <row r="1066" spans="1:16" x14ac:dyDescent="0.35">
      <c r="A1066" t="s">
        <v>4051</v>
      </c>
      <c r="B1066" t="s">
        <v>4052</v>
      </c>
      <c r="C1066" t="s">
        <v>4178</v>
      </c>
      <c r="D1066" t="s">
        <v>4178</v>
      </c>
      <c r="E1066" t="s">
        <v>4178</v>
      </c>
      <c r="F1066" s="1">
        <v>44257</v>
      </c>
      <c r="G1066">
        <v>2002</v>
      </c>
      <c r="H1066" t="s">
        <v>85</v>
      </c>
      <c r="I1066" t="s">
        <v>95</v>
      </c>
      <c r="J1066" t="s">
        <v>48</v>
      </c>
      <c r="K1066">
        <v>7.6</v>
      </c>
      <c r="L1066">
        <v>3758222</v>
      </c>
      <c r="M1066">
        <v>1702948</v>
      </c>
      <c r="N1066">
        <v>70</v>
      </c>
      <c r="O1066" t="s">
        <v>104</v>
      </c>
      <c r="P1066" t="s">
        <v>4178</v>
      </c>
    </row>
    <row r="1067" spans="1:16" x14ac:dyDescent="0.35">
      <c r="A1067" t="s">
        <v>3285</v>
      </c>
      <c r="B1067" t="s">
        <v>3286</v>
      </c>
      <c r="C1067" t="s">
        <v>53</v>
      </c>
      <c r="D1067" t="s">
        <v>4178</v>
      </c>
      <c r="E1067" t="s">
        <v>131</v>
      </c>
      <c r="F1067" s="1">
        <v>44258</v>
      </c>
      <c r="G1067">
        <v>2008</v>
      </c>
      <c r="H1067" t="s">
        <v>85</v>
      </c>
      <c r="I1067" t="s">
        <v>118</v>
      </c>
      <c r="J1067" t="s">
        <v>133</v>
      </c>
      <c r="K1067">
        <v>8.1999999999999993</v>
      </c>
      <c r="L1067">
        <v>19141907</v>
      </c>
      <c r="M1067">
        <v>1275257</v>
      </c>
      <c r="N1067">
        <v>57</v>
      </c>
      <c r="O1067" t="s">
        <v>24</v>
      </c>
      <c r="P1067" t="s">
        <v>4181</v>
      </c>
    </row>
    <row r="1068" spans="1:16" x14ac:dyDescent="0.35">
      <c r="A1068" t="s">
        <v>3339</v>
      </c>
      <c r="B1068" t="s">
        <v>3340</v>
      </c>
      <c r="C1068" t="s">
        <v>53</v>
      </c>
      <c r="D1068" t="s">
        <v>27</v>
      </c>
      <c r="E1068" t="s">
        <v>37</v>
      </c>
      <c r="F1068" s="1">
        <v>44258</v>
      </c>
      <c r="G1068">
        <v>2022</v>
      </c>
      <c r="H1068" t="s">
        <v>81</v>
      </c>
      <c r="I1068" t="s">
        <v>56</v>
      </c>
      <c r="J1068" t="s">
        <v>48</v>
      </c>
      <c r="K1068">
        <v>7.5</v>
      </c>
      <c r="L1068">
        <v>7394090</v>
      </c>
      <c r="M1068">
        <v>4631463</v>
      </c>
      <c r="N1068">
        <v>89</v>
      </c>
      <c r="O1068" t="s">
        <v>24</v>
      </c>
      <c r="P1068" t="s">
        <v>4181</v>
      </c>
    </row>
    <row r="1069" spans="1:16" x14ac:dyDescent="0.35">
      <c r="A1069" t="s">
        <v>347</v>
      </c>
      <c r="B1069" t="s">
        <v>348</v>
      </c>
      <c r="C1069" t="s">
        <v>84</v>
      </c>
      <c r="D1069" t="s">
        <v>27</v>
      </c>
      <c r="E1069" t="s">
        <v>80</v>
      </c>
      <c r="F1069" s="1">
        <v>44261</v>
      </c>
      <c r="G1069">
        <v>2008</v>
      </c>
      <c r="H1069" t="s">
        <v>4178</v>
      </c>
      <c r="I1069" t="s">
        <v>4199</v>
      </c>
      <c r="J1069" t="s">
        <v>30</v>
      </c>
      <c r="K1069">
        <v>5.5</v>
      </c>
      <c r="L1069">
        <v>665933</v>
      </c>
      <c r="M1069">
        <v>459679</v>
      </c>
      <c r="N1069">
        <v>65</v>
      </c>
      <c r="O1069" t="s">
        <v>4178</v>
      </c>
      <c r="P1069" t="s">
        <v>87</v>
      </c>
    </row>
    <row r="1070" spans="1:16" x14ac:dyDescent="0.35">
      <c r="A1070" t="s">
        <v>730</v>
      </c>
      <c r="B1070" t="s">
        <v>4268</v>
      </c>
      <c r="C1070" t="s">
        <v>53</v>
      </c>
      <c r="D1070" t="s">
        <v>54</v>
      </c>
      <c r="E1070" t="s">
        <v>113</v>
      </c>
      <c r="F1070" s="1">
        <v>44267</v>
      </c>
      <c r="G1070">
        <v>2019</v>
      </c>
      <c r="H1070" t="s">
        <v>38</v>
      </c>
      <c r="I1070" t="s">
        <v>95</v>
      </c>
      <c r="J1070" t="s">
        <v>96</v>
      </c>
      <c r="K1070">
        <v>9.3000000000000007</v>
      </c>
      <c r="L1070">
        <v>18829044</v>
      </c>
      <c r="M1070">
        <v>140754</v>
      </c>
      <c r="N1070">
        <v>42</v>
      </c>
      <c r="O1070" t="s">
        <v>4178</v>
      </c>
      <c r="P1070" t="s">
        <v>32</v>
      </c>
    </row>
    <row r="1071" spans="1:16" x14ac:dyDescent="0.35">
      <c r="A1071" t="s">
        <v>3377</v>
      </c>
      <c r="B1071" t="s">
        <v>3378</v>
      </c>
      <c r="C1071" t="s">
        <v>84</v>
      </c>
      <c r="D1071" t="s">
        <v>4178</v>
      </c>
      <c r="E1071" t="s">
        <v>4178</v>
      </c>
      <c r="F1071" s="1">
        <v>44269</v>
      </c>
      <c r="G1071">
        <v>2025</v>
      </c>
      <c r="H1071" t="s">
        <v>107</v>
      </c>
      <c r="I1071" t="s">
        <v>4214</v>
      </c>
      <c r="J1071" t="s">
        <v>103</v>
      </c>
      <c r="K1071">
        <v>5.8</v>
      </c>
      <c r="L1071">
        <v>9832902</v>
      </c>
      <c r="M1071">
        <v>4511053</v>
      </c>
      <c r="N1071">
        <v>55</v>
      </c>
      <c r="O1071" t="s">
        <v>58</v>
      </c>
      <c r="P1071" t="s">
        <v>32</v>
      </c>
    </row>
    <row r="1072" spans="1:16" x14ac:dyDescent="0.35">
      <c r="A1072" t="s">
        <v>3516</v>
      </c>
      <c r="B1072" t="s">
        <v>3517</v>
      </c>
      <c r="C1072" t="s">
        <v>84</v>
      </c>
      <c r="D1072" t="s">
        <v>94</v>
      </c>
      <c r="E1072" t="s">
        <v>80</v>
      </c>
      <c r="F1072" s="1">
        <v>44269</v>
      </c>
      <c r="G1072">
        <v>2015</v>
      </c>
      <c r="H1072" t="s">
        <v>107</v>
      </c>
      <c r="I1072" t="s">
        <v>4284</v>
      </c>
      <c r="J1072" t="s">
        <v>72</v>
      </c>
      <c r="K1072">
        <v>6.1</v>
      </c>
      <c r="L1072">
        <v>627138</v>
      </c>
      <c r="M1072">
        <v>1062068</v>
      </c>
      <c r="N1072">
        <v>90</v>
      </c>
      <c r="O1072" t="s">
        <v>123</v>
      </c>
      <c r="P1072" t="s">
        <v>4178</v>
      </c>
    </row>
    <row r="1073" spans="1:16" x14ac:dyDescent="0.35">
      <c r="A1073" t="s">
        <v>1579</v>
      </c>
      <c r="B1073" t="s">
        <v>1580</v>
      </c>
      <c r="C1073" t="s">
        <v>53</v>
      </c>
      <c r="D1073" t="s">
        <v>36</v>
      </c>
      <c r="E1073" t="s">
        <v>45</v>
      </c>
      <c r="F1073" s="1">
        <v>44275</v>
      </c>
      <c r="G1073">
        <v>2012</v>
      </c>
      <c r="H1073" t="s">
        <v>38</v>
      </c>
      <c r="I1073" t="s">
        <v>136</v>
      </c>
      <c r="J1073" t="s">
        <v>153</v>
      </c>
      <c r="K1073">
        <v>7.1</v>
      </c>
      <c r="L1073">
        <v>18555095</v>
      </c>
      <c r="M1073">
        <v>456373</v>
      </c>
      <c r="N1073">
        <v>120</v>
      </c>
      <c r="O1073" t="s">
        <v>4178</v>
      </c>
      <c r="P1073" t="s">
        <v>32</v>
      </c>
    </row>
    <row r="1074" spans="1:16" x14ac:dyDescent="0.35">
      <c r="A1074" t="s">
        <v>1712</v>
      </c>
      <c r="B1074" t="s">
        <v>1713</v>
      </c>
      <c r="C1074" t="s">
        <v>4178</v>
      </c>
      <c r="D1074" t="s">
        <v>94</v>
      </c>
      <c r="E1074" t="s">
        <v>80</v>
      </c>
      <c r="F1074" s="1">
        <v>44279</v>
      </c>
      <c r="G1074">
        <v>2001</v>
      </c>
      <c r="H1074" t="s">
        <v>63</v>
      </c>
      <c r="I1074" t="s">
        <v>95</v>
      </c>
      <c r="J1074" t="s">
        <v>72</v>
      </c>
      <c r="K1074">
        <v>6.1</v>
      </c>
      <c r="L1074">
        <v>10839770</v>
      </c>
      <c r="M1074">
        <v>4332640</v>
      </c>
      <c r="N1074">
        <v>100</v>
      </c>
      <c r="O1074" t="s">
        <v>41</v>
      </c>
      <c r="P1074" t="s">
        <v>4181</v>
      </c>
    </row>
    <row r="1075" spans="1:16" x14ac:dyDescent="0.35">
      <c r="A1075" t="s">
        <v>2383</v>
      </c>
      <c r="B1075" t="s">
        <v>2384</v>
      </c>
      <c r="C1075" t="s">
        <v>84</v>
      </c>
      <c r="D1075" t="s">
        <v>4178</v>
      </c>
      <c r="E1075" t="s">
        <v>55</v>
      </c>
      <c r="F1075" s="1">
        <v>44280</v>
      </c>
      <c r="G1075">
        <v>2022</v>
      </c>
      <c r="H1075" t="s">
        <v>46</v>
      </c>
      <c r="I1075" t="s">
        <v>4287</v>
      </c>
      <c r="J1075" t="s">
        <v>23</v>
      </c>
      <c r="K1075">
        <v>5</v>
      </c>
      <c r="L1075">
        <v>856627</v>
      </c>
      <c r="M1075">
        <v>1328045</v>
      </c>
      <c r="N1075">
        <v>56</v>
      </c>
      <c r="O1075" t="s">
        <v>24</v>
      </c>
      <c r="P1075" t="s">
        <v>50</v>
      </c>
    </row>
    <row r="1076" spans="1:16" x14ac:dyDescent="0.35">
      <c r="A1076" t="s">
        <v>2463</v>
      </c>
      <c r="B1076" t="s">
        <v>2464</v>
      </c>
      <c r="C1076" t="s">
        <v>53</v>
      </c>
      <c r="D1076" t="s">
        <v>19</v>
      </c>
      <c r="E1076" t="s">
        <v>4178</v>
      </c>
      <c r="F1076" s="1">
        <v>44280</v>
      </c>
      <c r="G1076">
        <v>2007</v>
      </c>
      <c r="H1076" t="s">
        <v>21</v>
      </c>
      <c r="I1076" t="s">
        <v>95</v>
      </c>
      <c r="J1076" t="s">
        <v>23</v>
      </c>
      <c r="K1076">
        <v>8.8000000000000007</v>
      </c>
      <c r="L1076">
        <v>22949929</v>
      </c>
      <c r="M1076">
        <v>872032</v>
      </c>
      <c r="N1076">
        <v>61</v>
      </c>
      <c r="O1076" t="s">
        <v>24</v>
      </c>
      <c r="P1076" t="s">
        <v>87</v>
      </c>
    </row>
    <row r="1077" spans="1:16" x14ac:dyDescent="0.35">
      <c r="A1077" t="s">
        <v>2529</v>
      </c>
      <c r="B1077" t="s">
        <v>2530</v>
      </c>
      <c r="C1077" t="s">
        <v>84</v>
      </c>
      <c r="D1077" t="s">
        <v>156</v>
      </c>
      <c r="E1077" t="s">
        <v>45</v>
      </c>
      <c r="F1077" s="1">
        <v>44280</v>
      </c>
      <c r="G1077">
        <v>2003</v>
      </c>
      <c r="H1077" t="s">
        <v>121</v>
      </c>
      <c r="I1077" t="s">
        <v>4213</v>
      </c>
      <c r="J1077" t="s">
        <v>72</v>
      </c>
      <c r="K1077">
        <v>8.3000000000000007</v>
      </c>
      <c r="L1077">
        <v>8465379</v>
      </c>
      <c r="M1077">
        <v>892631</v>
      </c>
      <c r="N1077">
        <v>47</v>
      </c>
      <c r="O1077" t="s">
        <v>123</v>
      </c>
      <c r="P1077" t="s">
        <v>50</v>
      </c>
    </row>
    <row r="1078" spans="1:16" x14ac:dyDescent="0.35">
      <c r="A1078" t="s">
        <v>892</v>
      </c>
      <c r="B1078" t="s">
        <v>893</v>
      </c>
      <c r="C1078" t="s">
        <v>84</v>
      </c>
      <c r="D1078" t="s">
        <v>156</v>
      </c>
      <c r="E1078" t="s">
        <v>131</v>
      </c>
      <c r="F1078" s="1">
        <v>44281</v>
      </c>
      <c r="G1078">
        <v>2021</v>
      </c>
      <c r="H1078" t="s">
        <v>4178</v>
      </c>
      <c r="I1078" t="s">
        <v>4283</v>
      </c>
      <c r="J1078" t="s">
        <v>4178</v>
      </c>
      <c r="K1078">
        <v>8.5</v>
      </c>
      <c r="L1078">
        <v>17951220</v>
      </c>
      <c r="M1078">
        <v>1421993</v>
      </c>
      <c r="N1078">
        <v>51</v>
      </c>
      <c r="O1078" t="s">
        <v>91</v>
      </c>
      <c r="P1078" t="s">
        <v>32</v>
      </c>
    </row>
    <row r="1079" spans="1:16" x14ac:dyDescent="0.35">
      <c r="A1079" t="s">
        <v>2342</v>
      </c>
      <c r="B1079" t="s">
        <v>2343</v>
      </c>
      <c r="C1079" t="s">
        <v>4178</v>
      </c>
      <c r="D1079" t="s">
        <v>54</v>
      </c>
      <c r="E1079" t="s">
        <v>80</v>
      </c>
      <c r="F1079" s="1">
        <v>44284</v>
      </c>
      <c r="G1079">
        <v>2016</v>
      </c>
      <c r="H1079" t="s">
        <v>46</v>
      </c>
      <c r="I1079" t="s">
        <v>39</v>
      </c>
      <c r="J1079" t="s">
        <v>57</v>
      </c>
      <c r="K1079">
        <v>6.6</v>
      </c>
      <c r="L1079">
        <v>1550948</v>
      </c>
      <c r="M1079">
        <v>1400887</v>
      </c>
      <c r="N1079">
        <v>89</v>
      </c>
      <c r="O1079" t="s">
        <v>41</v>
      </c>
      <c r="P1079" t="s">
        <v>4181</v>
      </c>
    </row>
    <row r="1080" spans="1:16" x14ac:dyDescent="0.35">
      <c r="A1080" t="s">
        <v>4019</v>
      </c>
      <c r="B1080" t="s">
        <v>4020</v>
      </c>
      <c r="C1080" t="s">
        <v>84</v>
      </c>
      <c r="D1080" t="s">
        <v>156</v>
      </c>
      <c r="E1080" t="s">
        <v>45</v>
      </c>
      <c r="F1080" s="1">
        <v>44284</v>
      </c>
      <c r="G1080">
        <v>2006</v>
      </c>
      <c r="H1080" t="s">
        <v>107</v>
      </c>
      <c r="I1080" t="s">
        <v>4290</v>
      </c>
      <c r="J1080" t="s">
        <v>96</v>
      </c>
      <c r="K1080">
        <v>8.4</v>
      </c>
      <c r="L1080">
        <v>6059542</v>
      </c>
      <c r="M1080">
        <v>2863422</v>
      </c>
      <c r="N1080">
        <v>88</v>
      </c>
      <c r="O1080" t="s">
        <v>104</v>
      </c>
      <c r="P1080" t="s">
        <v>50</v>
      </c>
    </row>
    <row r="1081" spans="1:16" x14ac:dyDescent="0.35">
      <c r="A1081" t="s">
        <v>2298</v>
      </c>
      <c r="B1081" t="s">
        <v>2299</v>
      </c>
      <c r="C1081" t="s">
        <v>84</v>
      </c>
      <c r="D1081" t="s">
        <v>54</v>
      </c>
      <c r="E1081" t="s">
        <v>113</v>
      </c>
      <c r="F1081" s="1">
        <v>44285</v>
      </c>
      <c r="G1081">
        <v>2017</v>
      </c>
      <c r="H1081" t="s">
        <v>81</v>
      </c>
      <c r="I1081" t="s">
        <v>4259</v>
      </c>
      <c r="J1081" t="s">
        <v>40</v>
      </c>
      <c r="K1081">
        <v>7.2</v>
      </c>
      <c r="L1081">
        <v>11141610</v>
      </c>
      <c r="M1081">
        <v>3116682</v>
      </c>
      <c r="N1081">
        <v>95</v>
      </c>
      <c r="O1081" t="s">
        <v>4178</v>
      </c>
      <c r="P1081" t="s">
        <v>4178</v>
      </c>
    </row>
    <row r="1082" spans="1:16" x14ac:dyDescent="0.35">
      <c r="A1082" t="s">
        <v>2200</v>
      </c>
      <c r="B1082" t="s">
        <v>2201</v>
      </c>
      <c r="C1082" t="s">
        <v>84</v>
      </c>
      <c r="D1082" t="s">
        <v>19</v>
      </c>
      <c r="E1082" t="s">
        <v>4178</v>
      </c>
      <c r="F1082" s="1">
        <v>44289</v>
      </c>
      <c r="G1082">
        <v>2014</v>
      </c>
      <c r="H1082" t="s">
        <v>38</v>
      </c>
      <c r="I1082" t="s">
        <v>4212</v>
      </c>
      <c r="J1082" t="s">
        <v>30</v>
      </c>
      <c r="K1082">
        <v>8.9</v>
      </c>
      <c r="L1082">
        <v>4444129</v>
      </c>
      <c r="M1082">
        <v>2806482</v>
      </c>
      <c r="N1082">
        <v>52</v>
      </c>
      <c r="O1082" t="s">
        <v>58</v>
      </c>
      <c r="P1082" t="s">
        <v>32</v>
      </c>
    </row>
    <row r="1083" spans="1:16" x14ac:dyDescent="0.35">
      <c r="A1083" t="s">
        <v>1990</v>
      </c>
      <c r="B1083" t="s">
        <v>1991</v>
      </c>
      <c r="C1083" t="s">
        <v>4178</v>
      </c>
      <c r="D1083" t="s">
        <v>19</v>
      </c>
      <c r="E1083" t="s">
        <v>62</v>
      </c>
      <c r="F1083" s="1">
        <v>44291</v>
      </c>
      <c r="G1083">
        <v>2025</v>
      </c>
      <c r="H1083" t="s">
        <v>4178</v>
      </c>
      <c r="I1083" t="s">
        <v>162</v>
      </c>
      <c r="J1083" t="s">
        <v>72</v>
      </c>
      <c r="K1083">
        <v>7.3</v>
      </c>
      <c r="L1083">
        <v>24439823</v>
      </c>
      <c r="M1083">
        <v>1593219</v>
      </c>
      <c r="N1083">
        <v>60</v>
      </c>
      <c r="O1083" t="s">
        <v>58</v>
      </c>
      <c r="P1083" t="s">
        <v>50</v>
      </c>
    </row>
    <row r="1084" spans="1:16" x14ac:dyDescent="0.35">
      <c r="A1084" t="s">
        <v>1649</v>
      </c>
      <c r="B1084" t="s">
        <v>1650</v>
      </c>
      <c r="C1084" t="s">
        <v>84</v>
      </c>
      <c r="D1084" t="s">
        <v>61</v>
      </c>
      <c r="E1084" t="s">
        <v>69</v>
      </c>
      <c r="F1084" s="1">
        <v>44292</v>
      </c>
      <c r="G1084">
        <v>2003</v>
      </c>
      <c r="H1084" t="s">
        <v>85</v>
      </c>
      <c r="I1084" t="s">
        <v>4205</v>
      </c>
      <c r="J1084" t="s">
        <v>72</v>
      </c>
      <c r="K1084">
        <v>6.3</v>
      </c>
      <c r="L1084">
        <v>23661439</v>
      </c>
      <c r="M1084">
        <v>3861043</v>
      </c>
      <c r="N1084">
        <v>75</v>
      </c>
      <c r="O1084" t="s">
        <v>123</v>
      </c>
      <c r="P1084" t="s">
        <v>87</v>
      </c>
    </row>
    <row r="1085" spans="1:16" x14ac:dyDescent="0.35">
      <c r="A1085" t="s">
        <v>3212</v>
      </c>
      <c r="B1085" t="s">
        <v>3213</v>
      </c>
      <c r="C1085" t="s">
        <v>53</v>
      </c>
      <c r="D1085" t="s">
        <v>54</v>
      </c>
      <c r="E1085" t="s">
        <v>4196</v>
      </c>
      <c r="F1085" s="1">
        <v>44292</v>
      </c>
      <c r="G1085">
        <v>2020</v>
      </c>
      <c r="H1085" t="s">
        <v>46</v>
      </c>
      <c r="I1085" t="s">
        <v>118</v>
      </c>
      <c r="J1085" t="s">
        <v>133</v>
      </c>
      <c r="K1085">
        <v>6.4</v>
      </c>
      <c r="L1085">
        <v>16766479</v>
      </c>
      <c r="M1085">
        <v>4487339</v>
      </c>
      <c r="N1085">
        <v>41</v>
      </c>
      <c r="O1085" t="s">
        <v>104</v>
      </c>
      <c r="P1085" t="s">
        <v>4181</v>
      </c>
    </row>
    <row r="1086" spans="1:16" x14ac:dyDescent="0.35">
      <c r="A1086" t="s">
        <v>334</v>
      </c>
      <c r="B1086" t="s">
        <v>335</v>
      </c>
      <c r="C1086" t="s">
        <v>84</v>
      </c>
      <c r="D1086" t="s">
        <v>90</v>
      </c>
      <c r="E1086" t="s">
        <v>20</v>
      </c>
      <c r="F1086" s="1">
        <v>44293</v>
      </c>
      <c r="G1086">
        <v>2019</v>
      </c>
      <c r="H1086" t="s">
        <v>46</v>
      </c>
      <c r="I1086" t="s">
        <v>4228</v>
      </c>
      <c r="J1086" t="s">
        <v>57</v>
      </c>
      <c r="K1086">
        <v>6</v>
      </c>
      <c r="L1086">
        <v>11853160</v>
      </c>
      <c r="M1086">
        <v>3278298</v>
      </c>
      <c r="N1086">
        <v>78</v>
      </c>
      <c r="O1086" t="s">
        <v>58</v>
      </c>
      <c r="P1086" t="s">
        <v>50</v>
      </c>
    </row>
    <row r="1087" spans="1:16" x14ac:dyDescent="0.35">
      <c r="A1087" t="s">
        <v>1824</v>
      </c>
      <c r="B1087" t="s">
        <v>1825</v>
      </c>
      <c r="C1087" t="s">
        <v>53</v>
      </c>
      <c r="D1087" t="s">
        <v>54</v>
      </c>
      <c r="E1087" t="s">
        <v>45</v>
      </c>
      <c r="F1087" s="1">
        <v>44295</v>
      </c>
      <c r="G1087">
        <v>2009</v>
      </c>
      <c r="H1087" t="s">
        <v>121</v>
      </c>
      <c r="I1087" t="s">
        <v>136</v>
      </c>
      <c r="J1087" t="s">
        <v>4178</v>
      </c>
      <c r="K1087">
        <v>6.1</v>
      </c>
      <c r="L1087">
        <v>7095863</v>
      </c>
      <c r="M1087">
        <v>1788393</v>
      </c>
      <c r="N1087">
        <v>53</v>
      </c>
      <c r="O1087" t="s">
        <v>4178</v>
      </c>
      <c r="P1087" t="s">
        <v>50</v>
      </c>
    </row>
    <row r="1088" spans="1:16" x14ac:dyDescent="0.35">
      <c r="A1088" t="s">
        <v>292</v>
      </c>
      <c r="B1088" t="s">
        <v>4219</v>
      </c>
      <c r="C1088" t="s">
        <v>84</v>
      </c>
      <c r="D1088" t="s">
        <v>94</v>
      </c>
      <c r="E1088" t="s">
        <v>20</v>
      </c>
      <c r="F1088" s="1">
        <v>44297</v>
      </c>
      <c r="G1088">
        <v>2014</v>
      </c>
      <c r="H1088" t="s">
        <v>107</v>
      </c>
      <c r="I1088" t="s">
        <v>4220</v>
      </c>
      <c r="J1088" t="s">
        <v>96</v>
      </c>
      <c r="K1088">
        <v>4.7</v>
      </c>
      <c r="L1088">
        <v>6074473</v>
      </c>
      <c r="M1088">
        <v>3173588</v>
      </c>
      <c r="N1088">
        <v>43</v>
      </c>
      <c r="O1088" t="s">
        <v>24</v>
      </c>
      <c r="P1088" t="s">
        <v>4178</v>
      </c>
    </row>
    <row r="1089" spans="1:16" x14ac:dyDescent="0.35">
      <c r="A1089" t="s">
        <v>654</v>
      </c>
      <c r="B1089" t="s">
        <v>655</v>
      </c>
      <c r="C1089" t="s">
        <v>84</v>
      </c>
      <c r="D1089" t="s">
        <v>61</v>
      </c>
      <c r="E1089" t="s">
        <v>113</v>
      </c>
      <c r="F1089" s="1">
        <v>44302</v>
      </c>
      <c r="G1089">
        <v>2018</v>
      </c>
      <c r="H1089" t="s">
        <v>114</v>
      </c>
      <c r="I1089" t="s">
        <v>4261</v>
      </c>
      <c r="J1089" t="s">
        <v>40</v>
      </c>
      <c r="K1089">
        <v>7.6</v>
      </c>
      <c r="L1089">
        <v>448510</v>
      </c>
      <c r="M1089">
        <v>4808434</v>
      </c>
      <c r="N1089">
        <v>51</v>
      </c>
      <c r="O1089" t="s">
        <v>31</v>
      </c>
      <c r="P1089" t="s">
        <v>87</v>
      </c>
    </row>
    <row r="1090" spans="1:16" x14ac:dyDescent="0.35">
      <c r="A1090" t="s">
        <v>2048</v>
      </c>
      <c r="B1090" t="s">
        <v>2049</v>
      </c>
      <c r="C1090" t="s">
        <v>84</v>
      </c>
      <c r="D1090" t="s">
        <v>90</v>
      </c>
      <c r="E1090" t="s">
        <v>55</v>
      </c>
      <c r="F1090" s="1">
        <v>44305</v>
      </c>
      <c r="G1090">
        <v>2019</v>
      </c>
      <c r="H1090" t="s">
        <v>21</v>
      </c>
      <c r="I1090" t="s">
        <v>4286</v>
      </c>
      <c r="J1090" t="s">
        <v>72</v>
      </c>
      <c r="K1090">
        <v>7.9</v>
      </c>
      <c r="L1090">
        <v>4509658</v>
      </c>
      <c r="M1090">
        <v>15241</v>
      </c>
      <c r="N1090">
        <v>43</v>
      </c>
      <c r="O1090" t="s">
        <v>4178</v>
      </c>
      <c r="P1090" t="s">
        <v>32</v>
      </c>
    </row>
    <row r="1091" spans="1:16" x14ac:dyDescent="0.35">
      <c r="A1091" t="s">
        <v>1868</v>
      </c>
      <c r="B1091" t="s">
        <v>4330</v>
      </c>
      <c r="C1091" t="s">
        <v>84</v>
      </c>
      <c r="D1091" t="s">
        <v>94</v>
      </c>
      <c r="E1091" t="s">
        <v>4196</v>
      </c>
      <c r="F1091" s="1">
        <v>44310</v>
      </c>
      <c r="G1091">
        <v>2007</v>
      </c>
      <c r="H1091" t="s">
        <v>107</v>
      </c>
      <c r="I1091" t="s">
        <v>4272</v>
      </c>
      <c r="J1091" t="s">
        <v>133</v>
      </c>
      <c r="K1091">
        <v>9</v>
      </c>
      <c r="L1091">
        <v>18591272</v>
      </c>
      <c r="M1091">
        <v>4401646</v>
      </c>
      <c r="N1091">
        <v>56</v>
      </c>
      <c r="O1091" t="s">
        <v>31</v>
      </c>
      <c r="P1091" t="s">
        <v>4181</v>
      </c>
    </row>
    <row r="1092" spans="1:16" x14ac:dyDescent="0.35">
      <c r="A1092" t="s">
        <v>3976</v>
      </c>
      <c r="B1092" t="s">
        <v>3977</v>
      </c>
      <c r="C1092" t="s">
        <v>84</v>
      </c>
      <c r="D1092" t="s">
        <v>90</v>
      </c>
      <c r="E1092" t="s">
        <v>45</v>
      </c>
      <c r="F1092" s="1">
        <v>44311</v>
      </c>
      <c r="G1092">
        <v>2020</v>
      </c>
      <c r="H1092" t="s">
        <v>4178</v>
      </c>
      <c r="I1092" t="s">
        <v>4254</v>
      </c>
      <c r="J1092" t="s">
        <v>153</v>
      </c>
      <c r="K1092">
        <v>8.3000000000000007</v>
      </c>
      <c r="L1092">
        <v>3794077</v>
      </c>
      <c r="M1092">
        <v>3582938</v>
      </c>
      <c r="N1092">
        <v>50</v>
      </c>
      <c r="O1092" t="s">
        <v>58</v>
      </c>
      <c r="P1092" t="s">
        <v>4181</v>
      </c>
    </row>
    <row r="1093" spans="1:16" x14ac:dyDescent="0.35">
      <c r="A1093" t="s">
        <v>554</v>
      </c>
      <c r="B1093" t="s">
        <v>553</v>
      </c>
      <c r="C1093" t="s">
        <v>84</v>
      </c>
      <c r="D1093" t="s">
        <v>90</v>
      </c>
      <c r="E1093" t="s">
        <v>4178</v>
      </c>
      <c r="F1093" s="1">
        <v>44313</v>
      </c>
      <c r="G1093">
        <v>2014</v>
      </c>
      <c r="H1093" t="s">
        <v>107</v>
      </c>
      <c r="I1093" t="s">
        <v>4246</v>
      </c>
      <c r="J1093" t="s">
        <v>57</v>
      </c>
      <c r="K1093">
        <v>7.1</v>
      </c>
      <c r="L1093">
        <v>16282635</v>
      </c>
      <c r="M1093">
        <v>4023510</v>
      </c>
      <c r="N1093">
        <v>98</v>
      </c>
      <c r="O1093" t="s">
        <v>31</v>
      </c>
      <c r="P1093" t="s">
        <v>32</v>
      </c>
    </row>
    <row r="1094" spans="1:16" x14ac:dyDescent="0.35">
      <c r="A1094" t="s">
        <v>1992</v>
      </c>
      <c r="B1094" t="s">
        <v>1993</v>
      </c>
      <c r="C1094" t="s">
        <v>84</v>
      </c>
      <c r="D1094" t="s">
        <v>36</v>
      </c>
      <c r="E1094" t="s">
        <v>37</v>
      </c>
      <c r="F1094" s="1">
        <v>44314</v>
      </c>
      <c r="G1094">
        <v>2009</v>
      </c>
      <c r="H1094" t="s">
        <v>85</v>
      </c>
      <c r="I1094" t="s">
        <v>4222</v>
      </c>
      <c r="J1094" t="s">
        <v>40</v>
      </c>
      <c r="K1094">
        <v>7.7</v>
      </c>
      <c r="L1094">
        <v>968006</v>
      </c>
      <c r="M1094">
        <v>1194931</v>
      </c>
      <c r="N1094">
        <v>79</v>
      </c>
      <c r="O1094" t="s">
        <v>49</v>
      </c>
      <c r="P1094" t="s">
        <v>32</v>
      </c>
    </row>
    <row r="1095" spans="1:16" x14ac:dyDescent="0.35">
      <c r="A1095" t="s">
        <v>3103</v>
      </c>
      <c r="B1095" t="s">
        <v>3104</v>
      </c>
      <c r="C1095" t="s">
        <v>84</v>
      </c>
      <c r="D1095" t="s">
        <v>54</v>
      </c>
      <c r="E1095" t="s">
        <v>80</v>
      </c>
      <c r="F1095" s="1">
        <v>44316</v>
      </c>
      <c r="G1095">
        <v>2012</v>
      </c>
      <c r="H1095" t="s">
        <v>21</v>
      </c>
      <c r="I1095" t="s">
        <v>4254</v>
      </c>
      <c r="J1095" t="s">
        <v>96</v>
      </c>
      <c r="K1095">
        <v>5.2</v>
      </c>
      <c r="L1095">
        <v>4839616</v>
      </c>
      <c r="M1095">
        <v>2342560</v>
      </c>
      <c r="N1095">
        <v>59</v>
      </c>
      <c r="O1095" t="s">
        <v>31</v>
      </c>
      <c r="P1095" t="s">
        <v>50</v>
      </c>
    </row>
    <row r="1096" spans="1:16" x14ac:dyDescent="0.35">
      <c r="A1096" t="s">
        <v>776</v>
      </c>
      <c r="B1096" t="s">
        <v>777</v>
      </c>
      <c r="C1096" t="s">
        <v>4178</v>
      </c>
      <c r="D1096" t="s">
        <v>68</v>
      </c>
      <c r="E1096" t="s">
        <v>113</v>
      </c>
      <c r="F1096" s="1">
        <v>44318</v>
      </c>
      <c r="G1096">
        <v>2020</v>
      </c>
      <c r="H1096" t="s">
        <v>107</v>
      </c>
      <c r="I1096" t="s">
        <v>56</v>
      </c>
      <c r="J1096" t="s">
        <v>30</v>
      </c>
      <c r="K1096">
        <v>9.5</v>
      </c>
      <c r="L1096">
        <v>19029646</v>
      </c>
      <c r="M1096">
        <v>3725637</v>
      </c>
      <c r="N1096">
        <v>56</v>
      </c>
      <c r="O1096" t="s">
        <v>49</v>
      </c>
      <c r="P1096" t="s">
        <v>50</v>
      </c>
    </row>
    <row r="1097" spans="1:16" x14ac:dyDescent="0.35">
      <c r="A1097" t="s">
        <v>1072</v>
      </c>
      <c r="B1097" t="s">
        <v>1073</v>
      </c>
      <c r="C1097" t="s">
        <v>84</v>
      </c>
      <c r="D1097" t="s">
        <v>36</v>
      </c>
      <c r="E1097" t="s">
        <v>28</v>
      </c>
      <c r="F1097" s="1">
        <v>44322</v>
      </c>
      <c r="G1097">
        <v>2002</v>
      </c>
      <c r="H1097" t="s">
        <v>107</v>
      </c>
      <c r="I1097" t="s">
        <v>4277</v>
      </c>
      <c r="J1097" t="s">
        <v>30</v>
      </c>
      <c r="K1097">
        <v>9.6999999999999993</v>
      </c>
      <c r="L1097">
        <v>7557150</v>
      </c>
      <c r="M1097">
        <v>3174855</v>
      </c>
      <c r="N1097">
        <v>68</v>
      </c>
      <c r="O1097" t="s">
        <v>123</v>
      </c>
      <c r="P1097" t="s">
        <v>4178</v>
      </c>
    </row>
    <row r="1098" spans="1:16" x14ac:dyDescent="0.35">
      <c r="A1098" t="s">
        <v>3456</v>
      </c>
      <c r="B1098" t="s">
        <v>3457</v>
      </c>
      <c r="C1098" t="s">
        <v>84</v>
      </c>
      <c r="D1098" t="s">
        <v>4178</v>
      </c>
      <c r="E1098" t="s">
        <v>55</v>
      </c>
      <c r="F1098" s="1">
        <v>44322</v>
      </c>
      <c r="G1098">
        <v>2005</v>
      </c>
      <c r="H1098" t="s">
        <v>81</v>
      </c>
      <c r="I1098" t="s">
        <v>4265</v>
      </c>
      <c r="J1098" t="s">
        <v>48</v>
      </c>
      <c r="K1098">
        <v>7.5</v>
      </c>
      <c r="L1098">
        <v>6460051</v>
      </c>
      <c r="M1098">
        <v>2938742</v>
      </c>
      <c r="N1098">
        <v>60</v>
      </c>
      <c r="O1098" t="s">
        <v>41</v>
      </c>
      <c r="P1098" t="s">
        <v>32</v>
      </c>
    </row>
    <row r="1099" spans="1:16" x14ac:dyDescent="0.35">
      <c r="A1099" t="s">
        <v>3802</v>
      </c>
      <c r="B1099" t="s">
        <v>3803</v>
      </c>
      <c r="C1099" t="s">
        <v>53</v>
      </c>
      <c r="D1099" t="s">
        <v>68</v>
      </c>
      <c r="E1099" t="s">
        <v>45</v>
      </c>
      <c r="F1099" s="1">
        <v>44325</v>
      </c>
      <c r="G1099">
        <v>2013</v>
      </c>
      <c r="H1099" t="s">
        <v>107</v>
      </c>
      <c r="I1099" t="s">
        <v>56</v>
      </c>
      <c r="J1099" t="s">
        <v>103</v>
      </c>
      <c r="K1099">
        <v>6.2</v>
      </c>
      <c r="L1099">
        <v>762666</v>
      </c>
      <c r="M1099">
        <v>3547916</v>
      </c>
      <c r="N1099">
        <v>120</v>
      </c>
      <c r="O1099" t="s">
        <v>65</v>
      </c>
      <c r="P1099" t="s">
        <v>32</v>
      </c>
    </row>
    <row r="1100" spans="1:16" x14ac:dyDescent="0.35">
      <c r="A1100" t="s">
        <v>797</v>
      </c>
      <c r="B1100" t="s">
        <v>798</v>
      </c>
      <c r="C1100" t="s">
        <v>53</v>
      </c>
      <c r="D1100" t="s">
        <v>4178</v>
      </c>
      <c r="E1100" t="s">
        <v>62</v>
      </c>
      <c r="F1100" s="1">
        <v>44326</v>
      </c>
      <c r="G1100">
        <v>2021</v>
      </c>
      <c r="H1100" t="s">
        <v>38</v>
      </c>
      <c r="I1100" t="s">
        <v>118</v>
      </c>
      <c r="J1100" t="s">
        <v>72</v>
      </c>
      <c r="K1100">
        <v>9.6</v>
      </c>
      <c r="L1100">
        <v>-339</v>
      </c>
      <c r="M1100">
        <v>1925576</v>
      </c>
      <c r="N1100">
        <v>52</v>
      </c>
      <c r="O1100" t="s">
        <v>58</v>
      </c>
      <c r="P1100" t="s">
        <v>50</v>
      </c>
    </row>
    <row r="1101" spans="1:16" x14ac:dyDescent="0.35">
      <c r="A1101" t="s">
        <v>1902</v>
      </c>
      <c r="B1101" t="s">
        <v>1903</v>
      </c>
      <c r="C1101" t="s">
        <v>84</v>
      </c>
      <c r="D1101" t="s">
        <v>94</v>
      </c>
      <c r="E1101" t="s">
        <v>99</v>
      </c>
      <c r="F1101" s="1">
        <v>44336</v>
      </c>
      <c r="G1101">
        <v>2026</v>
      </c>
      <c r="H1101" t="s">
        <v>85</v>
      </c>
      <c r="I1101" t="s">
        <v>4334</v>
      </c>
      <c r="J1101" t="s">
        <v>30</v>
      </c>
      <c r="K1101">
        <v>8.9</v>
      </c>
      <c r="L1101">
        <v>14086253</v>
      </c>
      <c r="M1101">
        <v>1153858</v>
      </c>
      <c r="N1101">
        <v>77</v>
      </c>
      <c r="O1101" t="s">
        <v>104</v>
      </c>
      <c r="P1101" t="s">
        <v>50</v>
      </c>
    </row>
    <row r="1102" spans="1:16" x14ac:dyDescent="0.35">
      <c r="A1102" t="s">
        <v>3058</v>
      </c>
      <c r="B1102" t="s">
        <v>3059</v>
      </c>
      <c r="C1102" t="s">
        <v>53</v>
      </c>
      <c r="D1102" t="s">
        <v>156</v>
      </c>
      <c r="E1102" t="s">
        <v>113</v>
      </c>
      <c r="F1102" s="1">
        <v>44339</v>
      </c>
      <c r="G1102">
        <v>2020</v>
      </c>
      <c r="H1102" t="s">
        <v>4178</v>
      </c>
      <c r="I1102" t="s">
        <v>118</v>
      </c>
      <c r="J1102" t="s">
        <v>4178</v>
      </c>
      <c r="K1102">
        <v>5</v>
      </c>
      <c r="L1102">
        <v>2748920</v>
      </c>
      <c r="M1102">
        <v>4444989</v>
      </c>
      <c r="N1102">
        <v>59</v>
      </c>
      <c r="O1102" t="s">
        <v>104</v>
      </c>
      <c r="P1102" t="s">
        <v>87</v>
      </c>
    </row>
    <row r="1103" spans="1:16" x14ac:dyDescent="0.35">
      <c r="A1103" t="s">
        <v>1854</v>
      </c>
      <c r="B1103" t="s">
        <v>1855</v>
      </c>
      <c r="C1103" t="s">
        <v>53</v>
      </c>
      <c r="D1103" t="s">
        <v>4178</v>
      </c>
      <c r="E1103" t="s">
        <v>4178</v>
      </c>
      <c r="F1103" s="1">
        <v>44343</v>
      </c>
      <c r="G1103">
        <v>2015</v>
      </c>
      <c r="H1103" t="s">
        <v>38</v>
      </c>
      <c r="I1103" t="s">
        <v>136</v>
      </c>
      <c r="J1103" t="s">
        <v>4178</v>
      </c>
      <c r="K1103">
        <v>5.2</v>
      </c>
      <c r="L1103">
        <v>14659347</v>
      </c>
      <c r="M1103">
        <v>3302594</v>
      </c>
      <c r="N1103">
        <v>70</v>
      </c>
      <c r="O1103" t="s">
        <v>41</v>
      </c>
      <c r="P1103" t="s">
        <v>32</v>
      </c>
    </row>
    <row r="1104" spans="1:16" x14ac:dyDescent="0.35">
      <c r="A1104" t="s">
        <v>141</v>
      </c>
      <c r="B1104" t="s">
        <v>142</v>
      </c>
      <c r="C1104" t="s">
        <v>4178</v>
      </c>
      <c r="D1104" t="s">
        <v>4178</v>
      </c>
      <c r="E1104" t="s">
        <v>62</v>
      </c>
      <c r="F1104" s="1">
        <v>44344</v>
      </c>
      <c r="G1104">
        <v>2014</v>
      </c>
      <c r="H1104" t="s">
        <v>46</v>
      </c>
      <c r="I1104" t="s">
        <v>64</v>
      </c>
      <c r="J1104" t="s">
        <v>103</v>
      </c>
      <c r="K1104">
        <v>9.6999999999999993</v>
      </c>
      <c r="L1104">
        <v>597352</v>
      </c>
      <c r="M1104">
        <v>2430247</v>
      </c>
      <c r="N1104">
        <v>92</v>
      </c>
      <c r="O1104" t="s">
        <v>65</v>
      </c>
      <c r="P1104" t="s">
        <v>32</v>
      </c>
    </row>
    <row r="1105" spans="1:16" x14ac:dyDescent="0.35">
      <c r="A1105" t="s">
        <v>3184</v>
      </c>
      <c r="B1105" t="s">
        <v>3185</v>
      </c>
      <c r="C1105" t="s">
        <v>84</v>
      </c>
      <c r="D1105" t="s">
        <v>156</v>
      </c>
      <c r="E1105" t="s">
        <v>28</v>
      </c>
      <c r="F1105" s="1">
        <v>44345</v>
      </c>
      <c r="G1105">
        <v>2007</v>
      </c>
      <c r="H1105" t="s">
        <v>114</v>
      </c>
      <c r="I1105" t="s">
        <v>4311</v>
      </c>
      <c r="J1105" t="s">
        <v>103</v>
      </c>
      <c r="K1105">
        <v>7.8</v>
      </c>
      <c r="L1105">
        <v>4816927</v>
      </c>
      <c r="M1105">
        <v>3424520</v>
      </c>
      <c r="N1105">
        <v>74</v>
      </c>
      <c r="O1105" t="s">
        <v>31</v>
      </c>
      <c r="P1105" t="s">
        <v>50</v>
      </c>
    </row>
    <row r="1106" spans="1:16" x14ac:dyDescent="0.35">
      <c r="A1106" t="s">
        <v>3226</v>
      </c>
      <c r="B1106" t="s">
        <v>3227</v>
      </c>
      <c r="C1106" t="s">
        <v>53</v>
      </c>
      <c r="D1106" t="s">
        <v>54</v>
      </c>
      <c r="E1106" t="s">
        <v>37</v>
      </c>
      <c r="F1106" s="1">
        <v>44348</v>
      </c>
      <c r="G1106">
        <v>2006</v>
      </c>
      <c r="H1106" t="s">
        <v>85</v>
      </c>
      <c r="I1106" t="s">
        <v>95</v>
      </c>
      <c r="J1106" t="s">
        <v>30</v>
      </c>
      <c r="K1106">
        <v>9.6</v>
      </c>
      <c r="L1106">
        <v>19950198</v>
      </c>
      <c r="M1106">
        <v>3537763</v>
      </c>
      <c r="N1106">
        <v>67</v>
      </c>
      <c r="O1106" t="s">
        <v>24</v>
      </c>
      <c r="P1106" t="s">
        <v>87</v>
      </c>
    </row>
    <row r="1107" spans="1:16" x14ac:dyDescent="0.35">
      <c r="A1107" t="s">
        <v>364</v>
      </c>
      <c r="B1107" t="s">
        <v>365</v>
      </c>
      <c r="C1107" t="s">
        <v>84</v>
      </c>
      <c r="D1107" t="s">
        <v>61</v>
      </c>
      <c r="E1107" t="s">
        <v>69</v>
      </c>
      <c r="F1107" s="1">
        <v>44350</v>
      </c>
      <c r="G1107">
        <v>2018</v>
      </c>
      <c r="H1107" t="s">
        <v>107</v>
      </c>
      <c r="I1107" t="s">
        <v>4231</v>
      </c>
      <c r="J1107" t="s">
        <v>23</v>
      </c>
      <c r="K1107">
        <v>4.7</v>
      </c>
      <c r="L1107">
        <v>11608533</v>
      </c>
      <c r="M1107">
        <v>723568</v>
      </c>
      <c r="N1107">
        <v>87</v>
      </c>
      <c r="O1107" t="s">
        <v>58</v>
      </c>
      <c r="P1107" t="s">
        <v>4178</v>
      </c>
    </row>
    <row r="1108" spans="1:16" x14ac:dyDescent="0.35">
      <c r="A1108" t="s">
        <v>1163</v>
      </c>
      <c r="B1108" t="s">
        <v>1164</v>
      </c>
      <c r="C1108" t="s">
        <v>53</v>
      </c>
      <c r="D1108" t="s">
        <v>27</v>
      </c>
      <c r="E1108" t="s">
        <v>62</v>
      </c>
      <c r="F1108" s="1">
        <v>44356</v>
      </c>
      <c r="G1108">
        <v>2006</v>
      </c>
      <c r="H1108" t="s">
        <v>81</v>
      </c>
      <c r="I1108" t="s">
        <v>162</v>
      </c>
      <c r="J1108" t="s">
        <v>72</v>
      </c>
      <c r="K1108">
        <v>8.3000000000000007</v>
      </c>
      <c r="L1108">
        <v>13737676</v>
      </c>
      <c r="M1108">
        <v>3006528</v>
      </c>
      <c r="N1108">
        <v>55</v>
      </c>
      <c r="O1108" t="s">
        <v>41</v>
      </c>
      <c r="P1108" t="s">
        <v>50</v>
      </c>
    </row>
    <row r="1109" spans="1:16" x14ac:dyDescent="0.35">
      <c r="A1109" t="s">
        <v>1118</v>
      </c>
      <c r="B1109" t="s">
        <v>1119</v>
      </c>
      <c r="C1109" t="s">
        <v>84</v>
      </c>
      <c r="D1109" t="s">
        <v>27</v>
      </c>
      <c r="E1109" t="s">
        <v>4196</v>
      </c>
      <c r="F1109" s="1">
        <v>44357</v>
      </c>
      <c r="G1109">
        <v>2026</v>
      </c>
      <c r="H1109" t="s">
        <v>38</v>
      </c>
      <c r="I1109" t="s">
        <v>4299</v>
      </c>
      <c r="J1109" t="s">
        <v>133</v>
      </c>
      <c r="K1109">
        <v>7.2</v>
      </c>
      <c r="L1109">
        <v>4345725</v>
      </c>
      <c r="M1109">
        <v>3070335</v>
      </c>
      <c r="N1109">
        <v>82</v>
      </c>
      <c r="O1109" t="s">
        <v>49</v>
      </c>
      <c r="P1109" t="s">
        <v>4181</v>
      </c>
    </row>
    <row r="1110" spans="1:16" x14ac:dyDescent="0.35">
      <c r="A1110" t="s">
        <v>139</v>
      </c>
      <c r="B1110" t="s">
        <v>140</v>
      </c>
      <c r="C1110" t="s">
        <v>53</v>
      </c>
      <c r="D1110" t="s">
        <v>75</v>
      </c>
      <c r="E1110" t="s">
        <v>62</v>
      </c>
      <c r="F1110" s="1">
        <v>44358</v>
      </c>
      <c r="G1110">
        <v>2019</v>
      </c>
      <c r="H1110" t="s">
        <v>4178</v>
      </c>
      <c r="I1110" t="s">
        <v>136</v>
      </c>
      <c r="J1110" t="s">
        <v>133</v>
      </c>
      <c r="K1110">
        <v>6.3</v>
      </c>
      <c r="L1110">
        <v>23259423</v>
      </c>
      <c r="M1110">
        <v>2554636</v>
      </c>
      <c r="N1110">
        <v>48</v>
      </c>
      <c r="O1110" t="s">
        <v>24</v>
      </c>
      <c r="P1110" t="s">
        <v>32</v>
      </c>
    </row>
    <row r="1111" spans="1:16" x14ac:dyDescent="0.35">
      <c r="A1111" t="s">
        <v>51</v>
      </c>
      <c r="B1111" t="s">
        <v>4184</v>
      </c>
      <c r="C1111" t="s">
        <v>53</v>
      </c>
      <c r="D1111" t="s">
        <v>54</v>
      </c>
      <c r="E1111" t="s">
        <v>55</v>
      </c>
      <c r="F1111" s="1">
        <v>44359</v>
      </c>
      <c r="G1111">
        <v>2007</v>
      </c>
      <c r="H1111" t="s">
        <v>21</v>
      </c>
      <c r="I1111" t="s">
        <v>56</v>
      </c>
      <c r="J1111" t="s">
        <v>57</v>
      </c>
      <c r="K1111">
        <v>6.9</v>
      </c>
      <c r="L1111">
        <v>4604478</v>
      </c>
      <c r="M1111">
        <v>3612477</v>
      </c>
      <c r="N1111">
        <v>57</v>
      </c>
      <c r="O1111" t="s">
        <v>58</v>
      </c>
      <c r="P1111" t="s">
        <v>50</v>
      </c>
    </row>
    <row r="1112" spans="1:16" x14ac:dyDescent="0.35">
      <c r="A1112" t="s">
        <v>668</v>
      </c>
      <c r="B1112" t="s">
        <v>4263</v>
      </c>
      <c r="C1112" t="s">
        <v>53</v>
      </c>
      <c r="D1112" t="s">
        <v>68</v>
      </c>
      <c r="E1112" t="s">
        <v>113</v>
      </c>
      <c r="F1112" s="1">
        <v>44361</v>
      </c>
      <c r="G1112">
        <v>2010</v>
      </c>
      <c r="H1112" t="s">
        <v>81</v>
      </c>
      <c r="I1112" t="s">
        <v>56</v>
      </c>
      <c r="J1112" t="s">
        <v>72</v>
      </c>
      <c r="K1112">
        <v>4.7</v>
      </c>
      <c r="L1112">
        <v>14462203</v>
      </c>
      <c r="M1112">
        <v>580703</v>
      </c>
      <c r="N1112">
        <v>44</v>
      </c>
      <c r="O1112" t="s">
        <v>24</v>
      </c>
      <c r="P1112" t="s">
        <v>4178</v>
      </c>
    </row>
    <row r="1113" spans="1:16" x14ac:dyDescent="0.35">
      <c r="A1113" t="s">
        <v>2829</v>
      </c>
      <c r="B1113" t="s">
        <v>2830</v>
      </c>
      <c r="C1113" t="s">
        <v>53</v>
      </c>
      <c r="D1113" t="s">
        <v>54</v>
      </c>
      <c r="E1113" t="s">
        <v>4178</v>
      </c>
      <c r="F1113" s="1">
        <v>44361</v>
      </c>
      <c r="G1113">
        <v>2006</v>
      </c>
      <c r="H1113" t="s">
        <v>107</v>
      </c>
      <c r="I1113" t="s">
        <v>39</v>
      </c>
      <c r="J1113" t="s">
        <v>40</v>
      </c>
      <c r="K1113">
        <v>6.4</v>
      </c>
      <c r="L1113">
        <v>18992277</v>
      </c>
      <c r="M1113">
        <v>2109131</v>
      </c>
      <c r="N1113">
        <v>89</v>
      </c>
      <c r="O1113" t="s">
        <v>31</v>
      </c>
      <c r="P1113" t="s">
        <v>87</v>
      </c>
    </row>
    <row r="1114" spans="1:16" x14ac:dyDescent="0.35">
      <c r="A1114" t="s">
        <v>4004</v>
      </c>
      <c r="B1114" t="s">
        <v>4005</v>
      </c>
      <c r="C1114" t="s">
        <v>84</v>
      </c>
      <c r="D1114" t="s">
        <v>19</v>
      </c>
      <c r="E1114" t="s">
        <v>37</v>
      </c>
      <c r="F1114" s="1">
        <v>44362</v>
      </c>
      <c r="G1114">
        <v>2001</v>
      </c>
      <c r="H1114" t="s">
        <v>21</v>
      </c>
      <c r="I1114" t="s">
        <v>4233</v>
      </c>
      <c r="J1114" t="s">
        <v>30</v>
      </c>
      <c r="K1114">
        <v>5.5</v>
      </c>
      <c r="L1114">
        <v>3510070</v>
      </c>
      <c r="M1114">
        <v>3632625</v>
      </c>
      <c r="N1114">
        <v>99</v>
      </c>
      <c r="O1114" t="s">
        <v>58</v>
      </c>
      <c r="P1114" t="s">
        <v>50</v>
      </c>
    </row>
    <row r="1115" spans="1:16" x14ac:dyDescent="0.35">
      <c r="A1115" t="s">
        <v>3111</v>
      </c>
      <c r="B1115" t="s">
        <v>3112</v>
      </c>
      <c r="C1115" t="s">
        <v>84</v>
      </c>
      <c r="D1115" t="s">
        <v>4178</v>
      </c>
      <c r="E1115" t="s">
        <v>55</v>
      </c>
      <c r="F1115" s="1">
        <v>44363</v>
      </c>
      <c r="G1115">
        <v>2012</v>
      </c>
      <c r="H1115" t="s">
        <v>21</v>
      </c>
      <c r="I1115" t="s">
        <v>4232</v>
      </c>
      <c r="J1115" t="s">
        <v>57</v>
      </c>
      <c r="K1115">
        <v>9.6999999999999993</v>
      </c>
      <c r="L1115">
        <v>10208481</v>
      </c>
      <c r="M1115">
        <v>4863834</v>
      </c>
      <c r="N1115">
        <v>57</v>
      </c>
      <c r="O1115" t="s">
        <v>24</v>
      </c>
      <c r="P1115" t="s">
        <v>50</v>
      </c>
    </row>
    <row r="1116" spans="1:16" x14ac:dyDescent="0.35">
      <c r="A1116" t="s">
        <v>1257</v>
      </c>
      <c r="B1116" t="s">
        <v>1258</v>
      </c>
      <c r="C1116" t="s">
        <v>84</v>
      </c>
      <c r="D1116" t="s">
        <v>156</v>
      </c>
      <c r="E1116" t="s">
        <v>113</v>
      </c>
      <c r="F1116" s="1">
        <v>44365</v>
      </c>
      <c r="G1116">
        <v>2013</v>
      </c>
      <c r="H1116" t="s">
        <v>114</v>
      </c>
      <c r="I1116" t="s">
        <v>4269</v>
      </c>
      <c r="J1116" t="s">
        <v>153</v>
      </c>
      <c r="K1116">
        <v>7.7</v>
      </c>
      <c r="L1116">
        <v>24130323</v>
      </c>
      <c r="M1116">
        <v>667714</v>
      </c>
      <c r="N1116">
        <v>59</v>
      </c>
      <c r="O1116" t="s">
        <v>31</v>
      </c>
      <c r="P1116" t="s">
        <v>32</v>
      </c>
    </row>
    <row r="1117" spans="1:16" x14ac:dyDescent="0.35">
      <c r="A1117" t="s">
        <v>2719</v>
      </c>
      <c r="B1117" t="s">
        <v>2720</v>
      </c>
      <c r="C1117" t="s">
        <v>84</v>
      </c>
      <c r="D1117" t="s">
        <v>94</v>
      </c>
      <c r="E1117" t="s">
        <v>131</v>
      </c>
      <c r="F1117" s="1">
        <v>44370</v>
      </c>
      <c r="G1117">
        <v>2012</v>
      </c>
      <c r="H1117" t="s">
        <v>121</v>
      </c>
      <c r="I1117" t="s">
        <v>4259</v>
      </c>
      <c r="J1117" t="s">
        <v>40</v>
      </c>
      <c r="K1117">
        <v>7.3</v>
      </c>
      <c r="L1117">
        <v>18357762</v>
      </c>
      <c r="M1117">
        <v>3964400</v>
      </c>
      <c r="N1117">
        <v>62</v>
      </c>
      <c r="O1117" t="s">
        <v>104</v>
      </c>
      <c r="P1117" t="s">
        <v>4181</v>
      </c>
    </row>
    <row r="1118" spans="1:16" x14ac:dyDescent="0.35">
      <c r="A1118" t="s">
        <v>3612</v>
      </c>
      <c r="B1118" t="s">
        <v>3613</v>
      </c>
      <c r="C1118" t="s">
        <v>4178</v>
      </c>
      <c r="D1118" t="s">
        <v>4178</v>
      </c>
      <c r="E1118" t="s">
        <v>113</v>
      </c>
      <c r="F1118" s="1">
        <v>44370</v>
      </c>
      <c r="G1118">
        <v>2024</v>
      </c>
      <c r="H1118" t="s">
        <v>81</v>
      </c>
      <c r="I1118" t="s">
        <v>136</v>
      </c>
      <c r="J1118" t="s">
        <v>57</v>
      </c>
      <c r="K1118">
        <v>7.2</v>
      </c>
      <c r="L1118">
        <v>8601630</v>
      </c>
      <c r="M1118">
        <v>3668613</v>
      </c>
      <c r="N1118">
        <v>48</v>
      </c>
      <c r="O1118" t="s">
        <v>4178</v>
      </c>
      <c r="P1118" t="s">
        <v>87</v>
      </c>
    </row>
    <row r="1119" spans="1:16" x14ac:dyDescent="0.35">
      <c r="A1119" t="s">
        <v>2564</v>
      </c>
      <c r="B1119" t="s">
        <v>2565</v>
      </c>
      <c r="C1119" t="s">
        <v>53</v>
      </c>
      <c r="D1119" t="s">
        <v>94</v>
      </c>
      <c r="E1119" t="s">
        <v>62</v>
      </c>
      <c r="F1119" s="1">
        <v>44383</v>
      </c>
      <c r="G1119">
        <v>2007</v>
      </c>
      <c r="H1119" t="s">
        <v>4178</v>
      </c>
      <c r="I1119" t="s">
        <v>71</v>
      </c>
      <c r="J1119" t="s">
        <v>30</v>
      </c>
      <c r="K1119">
        <v>6.9</v>
      </c>
      <c r="L1119">
        <v>18224880</v>
      </c>
      <c r="M1119">
        <v>1429279</v>
      </c>
      <c r="N1119">
        <v>95</v>
      </c>
      <c r="O1119" t="s">
        <v>65</v>
      </c>
      <c r="P1119" t="s">
        <v>50</v>
      </c>
    </row>
    <row r="1120" spans="1:16" x14ac:dyDescent="0.35">
      <c r="A1120" t="s">
        <v>2523</v>
      </c>
      <c r="B1120" t="s">
        <v>2524</v>
      </c>
      <c r="C1120" t="s">
        <v>53</v>
      </c>
      <c r="D1120" t="s">
        <v>36</v>
      </c>
      <c r="E1120" t="s">
        <v>4196</v>
      </c>
      <c r="F1120" s="1">
        <v>44385</v>
      </c>
      <c r="G1120">
        <v>2002</v>
      </c>
      <c r="H1120" t="s">
        <v>107</v>
      </c>
      <c r="I1120" t="s">
        <v>162</v>
      </c>
      <c r="J1120" t="s">
        <v>103</v>
      </c>
      <c r="K1120">
        <v>7.7</v>
      </c>
      <c r="L1120">
        <v>1056658</v>
      </c>
      <c r="M1120">
        <v>2292897</v>
      </c>
      <c r="N1120">
        <v>89</v>
      </c>
      <c r="O1120" t="s">
        <v>24</v>
      </c>
      <c r="P1120" t="s">
        <v>50</v>
      </c>
    </row>
    <row r="1121" spans="1:16" x14ac:dyDescent="0.35">
      <c r="A1121" t="s">
        <v>2481</v>
      </c>
      <c r="B1121" t="s">
        <v>2482</v>
      </c>
      <c r="C1121" t="s">
        <v>84</v>
      </c>
      <c r="D1121" t="s">
        <v>54</v>
      </c>
      <c r="E1121" t="s">
        <v>4196</v>
      </c>
      <c r="F1121" s="1">
        <v>44386</v>
      </c>
      <c r="G1121">
        <v>2017</v>
      </c>
      <c r="H1121" t="s">
        <v>21</v>
      </c>
      <c r="I1121" t="s">
        <v>4262</v>
      </c>
      <c r="J1121" t="s">
        <v>57</v>
      </c>
      <c r="K1121">
        <v>5.6</v>
      </c>
      <c r="L1121">
        <v>14208473</v>
      </c>
      <c r="M1121">
        <v>1056935</v>
      </c>
      <c r="N1121">
        <v>76</v>
      </c>
      <c r="O1121" t="s">
        <v>65</v>
      </c>
      <c r="P1121" t="s">
        <v>50</v>
      </c>
    </row>
    <row r="1122" spans="1:16" x14ac:dyDescent="0.35">
      <c r="A1122" t="s">
        <v>3115</v>
      </c>
      <c r="B1122" t="s">
        <v>3116</v>
      </c>
      <c r="C1122" t="s">
        <v>84</v>
      </c>
      <c r="D1122" t="s">
        <v>27</v>
      </c>
      <c r="E1122" t="s">
        <v>45</v>
      </c>
      <c r="F1122" s="1">
        <v>44388</v>
      </c>
      <c r="G1122">
        <v>2023</v>
      </c>
      <c r="H1122" t="s">
        <v>85</v>
      </c>
      <c r="I1122" t="s">
        <v>4294</v>
      </c>
      <c r="J1122" t="s">
        <v>57</v>
      </c>
      <c r="K1122">
        <v>5.7</v>
      </c>
      <c r="L1122">
        <v>20506818</v>
      </c>
      <c r="M1122">
        <v>879461</v>
      </c>
      <c r="N1122">
        <v>91</v>
      </c>
      <c r="O1122" t="s">
        <v>91</v>
      </c>
      <c r="P1122" t="s">
        <v>4181</v>
      </c>
    </row>
    <row r="1123" spans="1:16" x14ac:dyDescent="0.35">
      <c r="A1123" t="s">
        <v>3371</v>
      </c>
      <c r="B1123" t="s">
        <v>3372</v>
      </c>
      <c r="C1123" t="s">
        <v>84</v>
      </c>
      <c r="D1123" t="s">
        <v>4178</v>
      </c>
      <c r="E1123" t="s">
        <v>99</v>
      </c>
      <c r="F1123" s="1">
        <v>44388</v>
      </c>
      <c r="G1123">
        <v>2020</v>
      </c>
      <c r="H1123" t="s">
        <v>63</v>
      </c>
      <c r="I1123" t="s">
        <v>4247</v>
      </c>
      <c r="J1123" t="s">
        <v>4178</v>
      </c>
      <c r="K1123">
        <v>7.9</v>
      </c>
      <c r="L1123">
        <v>12632097</v>
      </c>
      <c r="M1123">
        <v>1578487</v>
      </c>
      <c r="N1123">
        <v>41</v>
      </c>
      <c r="O1123" t="s">
        <v>49</v>
      </c>
      <c r="P1123" t="s">
        <v>4181</v>
      </c>
    </row>
    <row r="1124" spans="1:16" x14ac:dyDescent="0.35">
      <c r="A1124" t="s">
        <v>2531</v>
      </c>
      <c r="B1124" t="s">
        <v>2532</v>
      </c>
      <c r="C1124" t="s">
        <v>84</v>
      </c>
      <c r="D1124" t="s">
        <v>68</v>
      </c>
      <c r="E1124" t="s">
        <v>80</v>
      </c>
      <c r="F1124" s="1">
        <v>44389</v>
      </c>
      <c r="G1124">
        <v>2011</v>
      </c>
      <c r="H1124" t="s">
        <v>121</v>
      </c>
      <c r="I1124" t="s">
        <v>4215</v>
      </c>
      <c r="J1124" t="s">
        <v>72</v>
      </c>
      <c r="K1124">
        <v>7.2</v>
      </c>
      <c r="L1124">
        <v>15133131</v>
      </c>
      <c r="M1124">
        <v>1778728</v>
      </c>
      <c r="N1124">
        <v>70</v>
      </c>
      <c r="O1124" t="s">
        <v>65</v>
      </c>
      <c r="P1124" t="s">
        <v>87</v>
      </c>
    </row>
    <row r="1125" spans="1:16" x14ac:dyDescent="0.35">
      <c r="A1125" t="s">
        <v>1123</v>
      </c>
      <c r="B1125" t="s">
        <v>1124</v>
      </c>
      <c r="C1125" t="s">
        <v>84</v>
      </c>
      <c r="D1125" t="s">
        <v>94</v>
      </c>
      <c r="E1125" t="s">
        <v>4178</v>
      </c>
      <c r="F1125" s="1">
        <v>44394</v>
      </c>
      <c r="G1125">
        <v>2015</v>
      </c>
      <c r="H1125" t="s">
        <v>114</v>
      </c>
      <c r="I1125" t="s">
        <v>4193</v>
      </c>
      <c r="J1125" t="s">
        <v>153</v>
      </c>
      <c r="K1125">
        <v>5.5</v>
      </c>
      <c r="L1125">
        <v>2582685</v>
      </c>
      <c r="M1125">
        <v>2176901</v>
      </c>
      <c r="N1125">
        <v>73</v>
      </c>
      <c r="O1125" t="s">
        <v>65</v>
      </c>
      <c r="P1125" t="s">
        <v>4178</v>
      </c>
    </row>
    <row r="1126" spans="1:16" x14ac:dyDescent="0.35">
      <c r="A1126" t="s">
        <v>1896</v>
      </c>
      <c r="B1126" t="s">
        <v>4333</v>
      </c>
      <c r="C1126" t="s">
        <v>4178</v>
      </c>
      <c r="D1126" t="s">
        <v>27</v>
      </c>
      <c r="E1126" t="s">
        <v>4178</v>
      </c>
      <c r="F1126" s="1">
        <v>44396</v>
      </c>
      <c r="G1126">
        <v>2020</v>
      </c>
      <c r="H1126" t="s">
        <v>121</v>
      </c>
      <c r="I1126" t="s">
        <v>56</v>
      </c>
      <c r="J1126" t="s">
        <v>57</v>
      </c>
      <c r="K1126">
        <v>11.2</v>
      </c>
      <c r="L1126">
        <v>9640879</v>
      </c>
      <c r="M1126">
        <v>1542786</v>
      </c>
      <c r="N1126">
        <v>59</v>
      </c>
      <c r="O1126" t="s">
        <v>31</v>
      </c>
      <c r="P1126" t="s">
        <v>50</v>
      </c>
    </row>
    <row r="1127" spans="1:16" x14ac:dyDescent="0.35">
      <c r="A1127" t="s">
        <v>2685</v>
      </c>
      <c r="B1127" t="s">
        <v>2686</v>
      </c>
      <c r="C1127" t="s">
        <v>4178</v>
      </c>
      <c r="D1127" t="s">
        <v>68</v>
      </c>
      <c r="E1127" t="s">
        <v>131</v>
      </c>
      <c r="F1127" s="1">
        <v>44398</v>
      </c>
      <c r="G1127">
        <v>2021</v>
      </c>
      <c r="H1127" t="s">
        <v>38</v>
      </c>
      <c r="I1127" t="s">
        <v>162</v>
      </c>
      <c r="J1127" t="s">
        <v>72</v>
      </c>
      <c r="K1127">
        <v>6.1</v>
      </c>
      <c r="L1127">
        <v>19224690</v>
      </c>
      <c r="M1127">
        <v>1825835</v>
      </c>
      <c r="N1127">
        <v>48</v>
      </c>
      <c r="O1127" t="s">
        <v>58</v>
      </c>
      <c r="P1127" t="s">
        <v>32</v>
      </c>
    </row>
    <row r="1128" spans="1:16" x14ac:dyDescent="0.35">
      <c r="A1128" t="s">
        <v>652</v>
      </c>
      <c r="B1128" t="s">
        <v>653</v>
      </c>
      <c r="C1128" t="s">
        <v>53</v>
      </c>
      <c r="D1128" t="s">
        <v>68</v>
      </c>
      <c r="E1128" t="s">
        <v>20</v>
      </c>
      <c r="F1128" s="1">
        <v>44405</v>
      </c>
      <c r="G1128">
        <v>2007</v>
      </c>
      <c r="H1128" t="s">
        <v>107</v>
      </c>
      <c r="I1128" t="s">
        <v>39</v>
      </c>
      <c r="J1128" t="s">
        <v>72</v>
      </c>
      <c r="K1128">
        <v>4.9000000000000004</v>
      </c>
      <c r="L1128">
        <v>22242542</v>
      </c>
      <c r="M1128">
        <v>992218</v>
      </c>
      <c r="N1128">
        <v>55</v>
      </c>
      <c r="O1128" t="s">
        <v>104</v>
      </c>
      <c r="P1128" t="s">
        <v>50</v>
      </c>
    </row>
    <row r="1129" spans="1:16" x14ac:dyDescent="0.35">
      <c r="A1129" t="s">
        <v>306</v>
      </c>
      <c r="B1129" t="s">
        <v>307</v>
      </c>
      <c r="C1129" t="s">
        <v>84</v>
      </c>
      <c r="D1129" t="s">
        <v>27</v>
      </c>
      <c r="E1129" t="s">
        <v>55</v>
      </c>
      <c r="F1129" s="1">
        <v>44409</v>
      </c>
      <c r="G1129">
        <v>2020</v>
      </c>
      <c r="H1129" t="s">
        <v>114</v>
      </c>
      <c r="I1129" t="s">
        <v>4212</v>
      </c>
      <c r="J1129" t="s">
        <v>103</v>
      </c>
      <c r="K1129">
        <v>5.2</v>
      </c>
      <c r="L1129">
        <v>-853</v>
      </c>
      <c r="M1129">
        <v>4418329</v>
      </c>
      <c r="N1129">
        <v>63</v>
      </c>
      <c r="O1129" t="s">
        <v>58</v>
      </c>
      <c r="P1129" t="s">
        <v>87</v>
      </c>
    </row>
    <row r="1130" spans="1:16" x14ac:dyDescent="0.35">
      <c r="A1130" t="s">
        <v>1312</v>
      </c>
      <c r="B1130" t="s">
        <v>1311</v>
      </c>
      <c r="C1130" t="s">
        <v>84</v>
      </c>
      <c r="D1130" t="s">
        <v>54</v>
      </c>
      <c r="E1130" t="s">
        <v>131</v>
      </c>
      <c r="F1130" s="1">
        <v>44416</v>
      </c>
      <c r="G1130">
        <v>2024</v>
      </c>
      <c r="H1130" t="s">
        <v>81</v>
      </c>
      <c r="I1130" t="s">
        <v>4262</v>
      </c>
      <c r="J1130" t="s">
        <v>48</v>
      </c>
      <c r="K1130">
        <v>7.3</v>
      </c>
      <c r="L1130">
        <v>19188423</v>
      </c>
      <c r="M1130">
        <v>2172149</v>
      </c>
      <c r="N1130">
        <v>54</v>
      </c>
      <c r="O1130" t="s">
        <v>49</v>
      </c>
      <c r="P1130" t="s">
        <v>4181</v>
      </c>
    </row>
    <row r="1131" spans="1:16" x14ac:dyDescent="0.35">
      <c r="A1131" t="s">
        <v>2352</v>
      </c>
      <c r="B1131" t="s">
        <v>2353</v>
      </c>
      <c r="C1131" t="s">
        <v>84</v>
      </c>
      <c r="D1131" t="s">
        <v>94</v>
      </c>
      <c r="E1131" t="s">
        <v>20</v>
      </c>
      <c r="F1131" s="1">
        <v>44429</v>
      </c>
      <c r="G1131">
        <v>2032</v>
      </c>
      <c r="H1131" t="s">
        <v>114</v>
      </c>
      <c r="I1131" t="s">
        <v>4202</v>
      </c>
      <c r="J1131" t="s">
        <v>48</v>
      </c>
      <c r="K1131">
        <v>8.3000000000000007</v>
      </c>
      <c r="L1131">
        <v>24284409</v>
      </c>
      <c r="M1131">
        <v>3777658</v>
      </c>
      <c r="N1131">
        <v>93</v>
      </c>
      <c r="O1131" t="s">
        <v>104</v>
      </c>
      <c r="P1131" t="s">
        <v>50</v>
      </c>
    </row>
    <row r="1132" spans="1:16" x14ac:dyDescent="0.35">
      <c r="A1132" t="s">
        <v>1733</v>
      </c>
      <c r="B1132" t="s">
        <v>1734</v>
      </c>
      <c r="C1132" t="s">
        <v>84</v>
      </c>
      <c r="D1132" t="s">
        <v>68</v>
      </c>
      <c r="E1132" t="s">
        <v>20</v>
      </c>
      <c r="F1132" s="1">
        <v>44430</v>
      </c>
      <c r="G1132">
        <v>2016</v>
      </c>
      <c r="H1132" t="s">
        <v>63</v>
      </c>
      <c r="I1132" t="s">
        <v>4313</v>
      </c>
      <c r="J1132" t="s">
        <v>153</v>
      </c>
      <c r="K1132">
        <v>9.4</v>
      </c>
      <c r="L1132">
        <v>-357</v>
      </c>
      <c r="M1132">
        <v>2337287</v>
      </c>
      <c r="N1132">
        <v>85</v>
      </c>
      <c r="O1132" t="s">
        <v>58</v>
      </c>
      <c r="P1132" t="s">
        <v>4181</v>
      </c>
    </row>
    <row r="1133" spans="1:16" x14ac:dyDescent="0.35">
      <c r="A1133" t="s">
        <v>2981</v>
      </c>
      <c r="B1133" t="s">
        <v>2982</v>
      </c>
      <c r="C1133" t="s">
        <v>53</v>
      </c>
      <c r="D1133" t="s">
        <v>27</v>
      </c>
      <c r="E1133" t="s">
        <v>131</v>
      </c>
      <c r="F1133" s="1">
        <v>44431</v>
      </c>
      <c r="G1133">
        <v>2026</v>
      </c>
      <c r="H1133" t="s">
        <v>81</v>
      </c>
      <c r="I1133" t="s">
        <v>136</v>
      </c>
      <c r="J1133" t="s">
        <v>133</v>
      </c>
      <c r="K1133">
        <v>6.7</v>
      </c>
      <c r="L1133">
        <v>12838447</v>
      </c>
      <c r="M1133">
        <v>2462744</v>
      </c>
      <c r="N1133">
        <v>94</v>
      </c>
      <c r="O1133" t="s">
        <v>65</v>
      </c>
      <c r="P1133" t="s">
        <v>4178</v>
      </c>
    </row>
    <row r="1134" spans="1:16" x14ac:dyDescent="0.35">
      <c r="A1134" t="s">
        <v>1729</v>
      </c>
      <c r="B1134" t="s">
        <v>1730</v>
      </c>
      <c r="C1134" t="s">
        <v>84</v>
      </c>
      <c r="D1134" t="s">
        <v>90</v>
      </c>
      <c r="E1134" t="s">
        <v>55</v>
      </c>
      <c r="F1134" s="1">
        <v>44433</v>
      </c>
      <c r="G1134">
        <v>2012</v>
      </c>
      <c r="H1134" t="s">
        <v>81</v>
      </c>
      <c r="I1134" t="s">
        <v>4193</v>
      </c>
      <c r="J1134" t="s">
        <v>72</v>
      </c>
      <c r="K1134">
        <v>9.3000000000000007</v>
      </c>
      <c r="L1134">
        <v>10077445</v>
      </c>
      <c r="M1134">
        <v>3182608</v>
      </c>
      <c r="N1134">
        <v>59</v>
      </c>
      <c r="O1134" t="s">
        <v>41</v>
      </c>
      <c r="P1134" t="s">
        <v>50</v>
      </c>
    </row>
    <row r="1135" spans="1:16" x14ac:dyDescent="0.35">
      <c r="A1135" t="s">
        <v>3771</v>
      </c>
      <c r="B1135" t="s">
        <v>3772</v>
      </c>
      <c r="C1135" t="s">
        <v>53</v>
      </c>
      <c r="D1135" t="s">
        <v>61</v>
      </c>
      <c r="E1135" t="s">
        <v>113</v>
      </c>
      <c r="F1135" s="1">
        <v>44433</v>
      </c>
      <c r="G1135">
        <v>2004</v>
      </c>
      <c r="H1135" t="s">
        <v>46</v>
      </c>
      <c r="I1135" t="s">
        <v>136</v>
      </c>
      <c r="J1135" t="s">
        <v>30</v>
      </c>
      <c r="K1135">
        <v>5.7</v>
      </c>
      <c r="L1135">
        <v>3386490</v>
      </c>
      <c r="M1135">
        <v>3846954</v>
      </c>
      <c r="N1135">
        <v>79</v>
      </c>
      <c r="O1135" t="s">
        <v>58</v>
      </c>
      <c r="P1135" t="s">
        <v>50</v>
      </c>
    </row>
    <row r="1136" spans="1:16" x14ac:dyDescent="0.35">
      <c r="A1136" t="s">
        <v>3952</v>
      </c>
      <c r="B1136" t="s">
        <v>3953</v>
      </c>
      <c r="C1136" t="s">
        <v>84</v>
      </c>
      <c r="D1136" t="s">
        <v>54</v>
      </c>
      <c r="E1136" t="s">
        <v>4178</v>
      </c>
      <c r="F1136" s="1">
        <v>44434</v>
      </c>
      <c r="G1136">
        <v>2010</v>
      </c>
      <c r="H1136" t="s">
        <v>121</v>
      </c>
      <c r="I1136" t="s">
        <v>4234</v>
      </c>
      <c r="J1136" t="s">
        <v>30</v>
      </c>
      <c r="K1136">
        <v>6.7</v>
      </c>
      <c r="L1136">
        <v>21027914</v>
      </c>
      <c r="M1136">
        <v>4952442</v>
      </c>
      <c r="N1136">
        <v>66</v>
      </c>
      <c r="O1136" t="s">
        <v>41</v>
      </c>
      <c r="P1136" t="s">
        <v>32</v>
      </c>
    </row>
    <row r="1137" spans="1:16" x14ac:dyDescent="0.35">
      <c r="A1137" t="s">
        <v>3858</v>
      </c>
      <c r="B1137" t="s">
        <v>3859</v>
      </c>
      <c r="C1137" t="s">
        <v>53</v>
      </c>
      <c r="D1137" t="s">
        <v>90</v>
      </c>
      <c r="E1137" t="s">
        <v>55</v>
      </c>
      <c r="F1137" s="1">
        <v>44437</v>
      </c>
      <c r="G1137">
        <v>2017</v>
      </c>
      <c r="H1137" t="s">
        <v>46</v>
      </c>
      <c r="I1137" t="s">
        <v>64</v>
      </c>
      <c r="J1137" t="s">
        <v>40</v>
      </c>
      <c r="K1137">
        <v>5.3</v>
      </c>
      <c r="L1137">
        <v>10970721</v>
      </c>
      <c r="M1137">
        <v>3077104</v>
      </c>
      <c r="N1137">
        <v>85</v>
      </c>
      <c r="O1137" t="s">
        <v>91</v>
      </c>
      <c r="P1137" t="s">
        <v>50</v>
      </c>
    </row>
    <row r="1138" spans="1:16" x14ac:dyDescent="0.35">
      <c r="A1138" t="s">
        <v>1323</v>
      </c>
      <c r="B1138" t="s">
        <v>4307</v>
      </c>
      <c r="C1138" t="s">
        <v>4178</v>
      </c>
      <c r="D1138" t="s">
        <v>61</v>
      </c>
      <c r="E1138" t="s">
        <v>69</v>
      </c>
      <c r="F1138" s="1">
        <v>44440</v>
      </c>
      <c r="G1138">
        <v>2012</v>
      </c>
      <c r="H1138" t="s">
        <v>4178</v>
      </c>
      <c r="I1138" t="s">
        <v>136</v>
      </c>
      <c r="J1138" t="s">
        <v>4178</v>
      </c>
      <c r="K1138">
        <v>9.8000000000000007</v>
      </c>
      <c r="L1138">
        <v>6992578</v>
      </c>
      <c r="M1138">
        <v>1530951</v>
      </c>
      <c r="N1138">
        <v>73</v>
      </c>
      <c r="O1138" t="s">
        <v>31</v>
      </c>
      <c r="P1138" t="s">
        <v>4181</v>
      </c>
    </row>
    <row r="1139" spans="1:16" x14ac:dyDescent="0.35">
      <c r="A1139" t="s">
        <v>997</v>
      </c>
      <c r="B1139" t="s">
        <v>998</v>
      </c>
      <c r="C1139" t="s">
        <v>84</v>
      </c>
      <c r="D1139" t="s">
        <v>54</v>
      </c>
      <c r="E1139" t="s">
        <v>4178</v>
      </c>
      <c r="F1139" s="1">
        <v>44447</v>
      </c>
      <c r="G1139">
        <v>2025</v>
      </c>
      <c r="H1139" t="s">
        <v>21</v>
      </c>
      <c r="I1139" t="s">
        <v>4200</v>
      </c>
      <c r="J1139" t="s">
        <v>48</v>
      </c>
      <c r="K1139">
        <v>6.8</v>
      </c>
      <c r="L1139">
        <v>22323782</v>
      </c>
      <c r="M1139">
        <v>4568833</v>
      </c>
      <c r="N1139">
        <v>40</v>
      </c>
      <c r="O1139" t="s">
        <v>104</v>
      </c>
      <c r="P1139" t="s">
        <v>87</v>
      </c>
    </row>
    <row r="1140" spans="1:16" x14ac:dyDescent="0.35">
      <c r="A1140" t="s">
        <v>2117</v>
      </c>
      <c r="B1140" t="s">
        <v>2118</v>
      </c>
      <c r="C1140" t="s">
        <v>84</v>
      </c>
      <c r="D1140" t="s">
        <v>61</v>
      </c>
      <c r="E1140" t="s">
        <v>20</v>
      </c>
      <c r="F1140" s="1">
        <v>44447</v>
      </c>
      <c r="G1140">
        <v>2023</v>
      </c>
      <c r="H1140" t="s">
        <v>85</v>
      </c>
      <c r="I1140" t="s">
        <v>4269</v>
      </c>
      <c r="J1140" t="s">
        <v>48</v>
      </c>
      <c r="K1140">
        <v>8</v>
      </c>
      <c r="L1140">
        <v>572254</v>
      </c>
      <c r="M1140">
        <v>4350521</v>
      </c>
      <c r="N1140">
        <v>73</v>
      </c>
      <c r="O1140" t="s">
        <v>65</v>
      </c>
      <c r="P1140" t="s">
        <v>32</v>
      </c>
    </row>
    <row r="1141" spans="1:16" x14ac:dyDescent="0.35">
      <c r="A1141" t="s">
        <v>473</v>
      </c>
      <c r="B1141" t="s">
        <v>474</v>
      </c>
      <c r="C1141" t="s">
        <v>84</v>
      </c>
      <c r="D1141" t="s">
        <v>19</v>
      </c>
      <c r="E1141" t="s">
        <v>131</v>
      </c>
      <c r="F1141" s="1">
        <v>44448</v>
      </c>
      <c r="G1141">
        <v>2023</v>
      </c>
      <c r="H1141" t="s">
        <v>38</v>
      </c>
      <c r="I1141" t="s">
        <v>4245</v>
      </c>
      <c r="J1141" t="s">
        <v>133</v>
      </c>
      <c r="K1141">
        <v>8.6999999999999993</v>
      </c>
      <c r="L1141">
        <v>15491909</v>
      </c>
      <c r="M1141">
        <v>302139</v>
      </c>
      <c r="N1141">
        <v>72</v>
      </c>
      <c r="O1141" t="s">
        <v>4178</v>
      </c>
      <c r="P1141" t="s">
        <v>87</v>
      </c>
    </row>
    <row r="1142" spans="1:16" x14ac:dyDescent="0.35">
      <c r="A1142" t="s">
        <v>2772</v>
      </c>
      <c r="B1142" t="s">
        <v>4365</v>
      </c>
      <c r="C1142" t="s">
        <v>84</v>
      </c>
      <c r="D1142" t="s">
        <v>4178</v>
      </c>
      <c r="E1142" t="s">
        <v>45</v>
      </c>
      <c r="F1142" s="1">
        <v>44448</v>
      </c>
      <c r="G1142">
        <v>2015</v>
      </c>
      <c r="H1142" t="s">
        <v>63</v>
      </c>
      <c r="I1142" t="s">
        <v>4305</v>
      </c>
      <c r="J1142" t="s">
        <v>72</v>
      </c>
      <c r="K1142">
        <v>8.9</v>
      </c>
      <c r="L1142">
        <v>5715998</v>
      </c>
      <c r="M1142">
        <v>2822783</v>
      </c>
      <c r="N1142">
        <v>44</v>
      </c>
      <c r="O1142" t="s">
        <v>41</v>
      </c>
      <c r="P1142" t="s">
        <v>4178</v>
      </c>
    </row>
    <row r="1143" spans="1:16" x14ac:dyDescent="0.35">
      <c r="A1143" t="s">
        <v>3357</v>
      </c>
      <c r="B1143" t="s">
        <v>3358</v>
      </c>
      <c r="C1143" t="s">
        <v>84</v>
      </c>
      <c r="D1143" t="s">
        <v>27</v>
      </c>
      <c r="E1143" t="s">
        <v>69</v>
      </c>
      <c r="F1143" s="1">
        <v>44448</v>
      </c>
      <c r="G1143">
        <v>2006</v>
      </c>
      <c r="H1143" t="s">
        <v>107</v>
      </c>
      <c r="I1143" t="s">
        <v>4245</v>
      </c>
      <c r="J1143" t="s">
        <v>133</v>
      </c>
      <c r="K1143">
        <v>8.6999999999999993</v>
      </c>
      <c r="L1143">
        <v>11485862</v>
      </c>
      <c r="M1143">
        <v>4542537</v>
      </c>
      <c r="N1143">
        <v>89</v>
      </c>
      <c r="O1143" t="s">
        <v>65</v>
      </c>
      <c r="P1143" t="s">
        <v>4181</v>
      </c>
    </row>
    <row r="1144" spans="1:16" x14ac:dyDescent="0.35">
      <c r="A1144" t="s">
        <v>1752</v>
      </c>
      <c r="B1144" t="s">
        <v>1753</v>
      </c>
      <c r="C1144" t="s">
        <v>4178</v>
      </c>
      <c r="D1144" t="s">
        <v>27</v>
      </c>
      <c r="E1144" t="s">
        <v>113</v>
      </c>
      <c r="F1144" s="1">
        <v>44450</v>
      </c>
      <c r="G1144">
        <v>2010</v>
      </c>
      <c r="H1144" t="s">
        <v>107</v>
      </c>
      <c r="I1144" t="s">
        <v>95</v>
      </c>
      <c r="J1144" t="s">
        <v>4178</v>
      </c>
      <c r="K1144">
        <v>7.9</v>
      </c>
      <c r="L1144">
        <v>15912458</v>
      </c>
      <c r="M1144">
        <v>1486301</v>
      </c>
      <c r="N1144">
        <v>74</v>
      </c>
      <c r="O1144" t="s">
        <v>41</v>
      </c>
      <c r="P1144" t="s">
        <v>87</v>
      </c>
    </row>
    <row r="1145" spans="1:16" x14ac:dyDescent="0.35">
      <c r="A1145" t="s">
        <v>934</v>
      </c>
      <c r="B1145" t="s">
        <v>935</v>
      </c>
      <c r="C1145" t="s">
        <v>53</v>
      </c>
      <c r="D1145" t="s">
        <v>54</v>
      </c>
      <c r="E1145" t="s">
        <v>99</v>
      </c>
      <c r="F1145" s="1">
        <v>44455</v>
      </c>
      <c r="G1145">
        <v>2014</v>
      </c>
      <c r="H1145" t="s">
        <v>107</v>
      </c>
      <c r="I1145" t="s">
        <v>95</v>
      </c>
      <c r="J1145" t="s">
        <v>153</v>
      </c>
      <c r="K1145">
        <v>7.4</v>
      </c>
      <c r="L1145">
        <v>9955415</v>
      </c>
      <c r="M1145">
        <v>4060961</v>
      </c>
      <c r="N1145">
        <v>64</v>
      </c>
      <c r="O1145" t="s">
        <v>104</v>
      </c>
      <c r="P1145" t="s">
        <v>50</v>
      </c>
    </row>
    <row r="1146" spans="1:16" x14ac:dyDescent="0.35">
      <c r="A1146" t="s">
        <v>3713</v>
      </c>
      <c r="B1146" t="s">
        <v>3714</v>
      </c>
      <c r="C1146" t="s">
        <v>53</v>
      </c>
      <c r="D1146" t="s">
        <v>27</v>
      </c>
      <c r="E1146" t="s">
        <v>113</v>
      </c>
      <c r="F1146" s="1">
        <v>44460</v>
      </c>
      <c r="G1146">
        <v>2019</v>
      </c>
      <c r="H1146" t="s">
        <v>107</v>
      </c>
      <c r="I1146" t="s">
        <v>162</v>
      </c>
      <c r="J1146" t="s">
        <v>153</v>
      </c>
      <c r="K1146">
        <v>7.1</v>
      </c>
      <c r="L1146">
        <v>24796858</v>
      </c>
      <c r="M1146">
        <v>684420</v>
      </c>
      <c r="N1146">
        <v>48</v>
      </c>
      <c r="O1146" t="s">
        <v>4178</v>
      </c>
      <c r="P1146" t="s">
        <v>4181</v>
      </c>
    </row>
    <row r="1147" spans="1:16" x14ac:dyDescent="0.35">
      <c r="A1147" t="s">
        <v>1066</v>
      </c>
      <c r="B1147" t="s">
        <v>4298</v>
      </c>
      <c r="C1147" t="s">
        <v>84</v>
      </c>
      <c r="D1147" t="s">
        <v>4178</v>
      </c>
      <c r="E1147" t="s">
        <v>80</v>
      </c>
      <c r="F1147" s="1">
        <v>44462</v>
      </c>
      <c r="G1147">
        <v>2000</v>
      </c>
      <c r="H1147" t="s">
        <v>85</v>
      </c>
      <c r="I1147" t="s">
        <v>4215</v>
      </c>
      <c r="J1147" t="s">
        <v>72</v>
      </c>
      <c r="K1147">
        <v>8.9</v>
      </c>
      <c r="L1147">
        <v>9610000</v>
      </c>
      <c r="M1147">
        <v>3309435</v>
      </c>
      <c r="N1147">
        <v>81</v>
      </c>
      <c r="O1147" t="s">
        <v>49</v>
      </c>
      <c r="P1147" t="s">
        <v>4181</v>
      </c>
    </row>
    <row r="1148" spans="1:16" x14ac:dyDescent="0.35">
      <c r="A1148" t="s">
        <v>1477</v>
      </c>
      <c r="B1148" t="s">
        <v>1478</v>
      </c>
      <c r="C1148" t="s">
        <v>4178</v>
      </c>
      <c r="D1148" t="s">
        <v>61</v>
      </c>
      <c r="E1148" t="s">
        <v>45</v>
      </c>
      <c r="F1148" s="1">
        <v>44463</v>
      </c>
      <c r="G1148">
        <v>2023</v>
      </c>
      <c r="H1148" t="s">
        <v>38</v>
      </c>
      <c r="I1148" t="s">
        <v>95</v>
      </c>
      <c r="J1148" t="s">
        <v>133</v>
      </c>
      <c r="K1148">
        <v>6.6</v>
      </c>
      <c r="L1148">
        <v>1952883</v>
      </c>
      <c r="M1148">
        <v>203874</v>
      </c>
      <c r="N1148">
        <v>82</v>
      </c>
      <c r="O1148" t="s">
        <v>65</v>
      </c>
      <c r="P1148" t="s">
        <v>32</v>
      </c>
    </row>
    <row r="1149" spans="1:16" x14ac:dyDescent="0.35">
      <c r="A1149" t="s">
        <v>3007</v>
      </c>
      <c r="B1149" t="s">
        <v>3008</v>
      </c>
      <c r="C1149" t="s">
        <v>84</v>
      </c>
      <c r="D1149" t="s">
        <v>156</v>
      </c>
      <c r="E1149" t="s">
        <v>69</v>
      </c>
      <c r="F1149" s="1">
        <v>44463</v>
      </c>
      <c r="G1149">
        <v>2018</v>
      </c>
      <c r="H1149" t="s">
        <v>107</v>
      </c>
      <c r="I1149" t="s">
        <v>4235</v>
      </c>
      <c r="J1149" t="s">
        <v>96</v>
      </c>
      <c r="K1149">
        <v>6.3</v>
      </c>
      <c r="L1149">
        <v>9047121</v>
      </c>
      <c r="M1149">
        <v>4754867</v>
      </c>
      <c r="N1149">
        <v>70</v>
      </c>
      <c r="O1149" t="s">
        <v>123</v>
      </c>
      <c r="P1149" t="s">
        <v>4178</v>
      </c>
    </row>
    <row r="1150" spans="1:16" x14ac:dyDescent="0.35">
      <c r="A1150" t="s">
        <v>2669</v>
      </c>
      <c r="B1150" t="s">
        <v>2670</v>
      </c>
      <c r="C1150" t="s">
        <v>4178</v>
      </c>
      <c r="D1150" t="s">
        <v>156</v>
      </c>
      <c r="E1150" t="s">
        <v>99</v>
      </c>
      <c r="F1150" s="1">
        <v>44464</v>
      </c>
      <c r="G1150">
        <v>2005</v>
      </c>
      <c r="H1150" t="s">
        <v>4178</v>
      </c>
      <c r="I1150" t="s">
        <v>118</v>
      </c>
      <c r="J1150" t="s">
        <v>72</v>
      </c>
      <c r="K1150">
        <v>11.2</v>
      </c>
      <c r="L1150">
        <v>1132193</v>
      </c>
      <c r="M1150">
        <v>2590453</v>
      </c>
      <c r="N1150">
        <v>42</v>
      </c>
      <c r="O1150" t="s">
        <v>123</v>
      </c>
      <c r="P1150" t="s">
        <v>4181</v>
      </c>
    </row>
    <row r="1151" spans="1:16" x14ac:dyDescent="0.35">
      <c r="A1151" t="s">
        <v>3974</v>
      </c>
      <c r="B1151" t="s">
        <v>3975</v>
      </c>
      <c r="C1151" t="s">
        <v>4178</v>
      </c>
      <c r="D1151" t="s">
        <v>90</v>
      </c>
      <c r="E1151" t="s">
        <v>28</v>
      </c>
      <c r="F1151" s="1">
        <v>44464</v>
      </c>
      <c r="G1151">
        <v>2006</v>
      </c>
      <c r="H1151" t="s">
        <v>38</v>
      </c>
      <c r="I1151" t="s">
        <v>64</v>
      </c>
      <c r="J1151" t="s">
        <v>48</v>
      </c>
      <c r="K1151">
        <v>7.8</v>
      </c>
      <c r="L1151">
        <v>3119449</v>
      </c>
      <c r="M1151">
        <v>1030268</v>
      </c>
      <c r="N1151">
        <v>55</v>
      </c>
      <c r="O1151" t="s">
        <v>41</v>
      </c>
      <c r="P1151" t="s">
        <v>4181</v>
      </c>
    </row>
    <row r="1152" spans="1:16" x14ac:dyDescent="0.35">
      <c r="A1152" t="s">
        <v>1176</v>
      </c>
      <c r="B1152" t="s">
        <v>1177</v>
      </c>
      <c r="C1152" t="s">
        <v>84</v>
      </c>
      <c r="D1152" t="s">
        <v>27</v>
      </c>
      <c r="E1152" t="s">
        <v>113</v>
      </c>
      <c r="F1152" s="1">
        <v>44467</v>
      </c>
      <c r="G1152">
        <v>2021</v>
      </c>
      <c r="H1152" t="s">
        <v>81</v>
      </c>
      <c r="I1152" t="s">
        <v>4216</v>
      </c>
      <c r="J1152" t="s">
        <v>103</v>
      </c>
      <c r="K1152">
        <v>9.4</v>
      </c>
      <c r="L1152">
        <v>7210603</v>
      </c>
      <c r="M1152">
        <v>1935927</v>
      </c>
      <c r="N1152">
        <v>79</v>
      </c>
      <c r="O1152" t="s">
        <v>58</v>
      </c>
      <c r="P1152" t="s">
        <v>87</v>
      </c>
    </row>
    <row r="1153" spans="1:16" x14ac:dyDescent="0.35">
      <c r="A1153" t="s">
        <v>924</v>
      </c>
      <c r="B1153" t="s">
        <v>925</v>
      </c>
      <c r="C1153" t="s">
        <v>53</v>
      </c>
      <c r="D1153" t="s">
        <v>19</v>
      </c>
      <c r="E1153" t="s">
        <v>45</v>
      </c>
      <c r="F1153" s="1">
        <v>44471</v>
      </c>
      <c r="G1153">
        <v>2011</v>
      </c>
      <c r="H1153" t="s">
        <v>81</v>
      </c>
      <c r="I1153" t="s">
        <v>64</v>
      </c>
      <c r="J1153" t="s">
        <v>30</v>
      </c>
      <c r="K1153">
        <v>4.5999999999999996</v>
      </c>
      <c r="L1153">
        <v>22795450</v>
      </c>
      <c r="M1153">
        <v>2516630</v>
      </c>
      <c r="N1153">
        <v>68</v>
      </c>
      <c r="O1153" t="s">
        <v>123</v>
      </c>
      <c r="P1153" t="s">
        <v>50</v>
      </c>
    </row>
    <row r="1154" spans="1:16" x14ac:dyDescent="0.35">
      <c r="A1154" t="s">
        <v>1488</v>
      </c>
      <c r="B1154" t="s">
        <v>1489</v>
      </c>
      <c r="C1154" t="s">
        <v>84</v>
      </c>
      <c r="D1154" t="s">
        <v>19</v>
      </c>
      <c r="E1154" t="s">
        <v>69</v>
      </c>
      <c r="F1154" s="1">
        <v>44473</v>
      </c>
      <c r="G1154">
        <v>2022</v>
      </c>
      <c r="H1154" t="s">
        <v>81</v>
      </c>
      <c r="I1154" t="s">
        <v>4242</v>
      </c>
      <c r="J1154" t="s">
        <v>57</v>
      </c>
      <c r="K1154">
        <v>7.6</v>
      </c>
      <c r="L1154">
        <v>17582317</v>
      </c>
      <c r="M1154">
        <v>3760214</v>
      </c>
      <c r="N1154">
        <v>85</v>
      </c>
      <c r="O1154" t="s">
        <v>24</v>
      </c>
      <c r="P1154" t="s">
        <v>32</v>
      </c>
    </row>
    <row r="1155" spans="1:16" x14ac:dyDescent="0.35">
      <c r="A1155" t="s">
        <v>1382</v>
      </c>
      <c r="B1155" t="s">
        <v>1383</v>
      </c>
      <c r="C1155" t="s">
        <v>53</v>
      </c>
      <c r="D1155" t="s">
        <v>54</v>
      </c>
      <c r="E1155" t="s">
        <v>99</v>
      </c>
      <c r="F1155" s="1">
        <v>44478</v>
      </c>
      <c r="G1155">
        <v>2000</v>
      </c>
      <c r="H1155" t="s">
        <v>63</v>
      </c>
      <c r="I1155" t="s">
        <v>64</v>
      </c>
      <c r="J1155" t="s">
        <v>103</v>
      </c>
      <c r="K1155">
        <v>9.1999999999999993</v>
      </c>
      <c r="L1155">
        <v>6786313</v>
      </c>
      <c r="M1155">
        <v>2369069</v>
      </c>
      <c r="N1155">
        <v>62</v>
      </c>
      <c r="O1155" t="s">
        <v>104</v>
      </c>
      <c r="P1155" t="s">
        <v>87</v>
      </c>
    </row>
    <row r="1156" spans="1:16" x14ac:dyDescent="0.35">
      <c r="A1156" t="s">
        <v>2898</v>
      </c>
      <c r="B1156" t="s">
        <v>2899</v>
      </c>
      <c r="C1156" t="s">
        <v>53</v>
      </c>
      <c r="D1156" t="s">
        <v>68</v>
      </c>
      <c r="E1156" t="s">
        <v>69</v>
      </c>
      <c r="F1156" s="1">
        <v>44479</v>
      </c>
      <c r="G1156">
        <v>2009</v>
      </c>
      <c r="H1156" t="s">
        <v>114</v>
      </c>
      <c r="I1156" t="s">
        <v>162</v>
      </c>
      <c r="J1156" t="s">
        <v>133</v>
      </c>
      <c r="K1156">
        <v>7.7</v>
      </c>
      <c r="L1156">
        <v>20654562</v>
      </c>
      <c r="M1156">
        <v>2996966</v>
      </c>
      <c r="N1156">
        <v>79</v>
      </c>
      <c r="O1156" t="s">
        <v>31</v>
      </c>
      <c r="P1156" t="s">
        <v>87</v>
      </c>
    </row>
    <row r="1157" spans="1:16" x14ac:dyDescent="0.35">
      <c r="A1157" t="s">
        <v>2703</v>
      </c>
      <c r="B1157" t="s">
        <v>2704</v>
      </c>
      <c r="C1157" t="s">
        <v>53</v>
      </c>
      <c r="D1157" t="s">
        <v>36</v>
      </c>
      <c r="E1157" t="s">
        <v>113</v>
      </c>
      <c r="F1157" s="1">
        <v>44483</v>
      </c>
      <c r="G1157">
        <v>2025</v>
      </c>
      <c r="H1157" t="s">
        <v>85</v>
      </c>
      <c r="I1157" t="s">
        <v>39</v>
      </c>
      <c r="J1157" t="s">
        <v>48</v>
      </c>
      <c r="K1157">
        <v>7.1</v>
      </c>
      <c r="L1157">
        <v>23699104</v>
      </c>
      <c r="M1157">
        <v>4169035</v>
      </c>
      <c r="N1157">
        <v>62</v>
      </c>
      <c r="O1157" t="s">
        <v>4178</v>
      </c>
      <c r="P1157" t="s">
        <v>50</v>
      </c>
    </row>
    <row r="1158" spans="1:16" x14ac:dyDescent="0.35">
      <c r="A1158" t="s">
        <v>109</v>
      </c>
      <c r="B1158" t="s">
        <v>110</v>
      </c>
      <c r="C1158" t="s">
        <v>4178</v>
      </c>
      <c r="D1158" t="s">
        <v>90</v>
      </c>
      <c r="E1158" t="s">
        <v>69</v>
      </c>
      <c r="F1158" s="1">
        <v>44485</v>
      </c>
      <c r="G1158">
        <v>2024</v>
      </c>
      <c r="H1158" t="s">
        <v>63</v>
      </c>
      <c r="I1158" t="s">
        <v>64</v>
      </c>
      <c r="J1158" t="s">
        <v>72</v>
      </c>
      <c r="K1158">
        <v>5.3</v>
      </c>
      <c r="L1158">
        <v>15704610</v>
      </c>
      <c r="M1158">
        <v>1843036</v>
      </c>
      <c r="N1158">
        <v>46</v>
      </c>
      <c r="O1158" t="s">
        <v>58</v>
      </c>
      <c r="P1158" t="s">
        <v>32</v>
      </c>
    </row>
    <row r="1159" spans="1:16" x14ac:dyDescent="0.35">
      <c r="A1159" t="s">
        <v>180</v>
      </c>
      <c r="B1159" t="s">
        <v>181</v>
      </c>
      <c r="C1159" t="s">
        <v>53</v>
      </c>
      <c r="D1159" t="s">
        <v>61</v>
      </c>
      <c r="E1159" t="s">
        <v>4178</v>
      </c>
      <c r="F1159" s="1">
        <v>44489</v>
      </c>
      <c r="G1159">
        <v>2024</v>
      </c>
      <c r="H1159" t="s">
        <v>63</v>
      </c>
      <c r="I1159" t="s">
        <v>95</v>
      </c>
      <c r="J1159" t="s">
        <v>40</v>
      </c>
      <c r="K1159">
        <v>6.9</v>
      </c>
      <c r="L1159">
        <v>19998945</v>
      </c>
      <c r="M1159">
        <v>663824</v>
      </c>
      <c r="N1159">
        <v>65</v>
      </c>
      <c r="O1159" t="s">
        <v>91</v>
      </c>
      <c r="P1159" t="s">
        <v>4181</v>
      </c>
    </row>
    <row r="1160" spans="1:16" x14ac:dyDescent="0.35">
      <c r="A1160" t="s">
        <v>2497</v>
      </c>
      <c r="B1160" t="s">
        <v>2498</v>
      </c>
      <c r="C1160" t="s">
        <v>84</v>
      </c>
      <c r="D1160" t="s">
        <v>54</v>
      </c>
      <c r="E1160" t="s">
        <v>4178</v>
      </c>
      <c r="F1160" s="1">
        <v>44489</v>
      </c>
      <c r="G1160">
        <v>2018</v>
      </c>
      <c r="H1160" t="s">
        <v>4178</v>
      </c>
      <c r="I1160" t="s">
        <v>4293</v>
      </c>
      <c r="J1160" t="s">
        <v>96</v>
      </c>
      <c r="K1160">
        <v>5.6</v>
      </c>
      <c r="L1160">
        <v>15723734</v>
      </c>
      <c r="M1160">
        <v>4856854</v>
      </c>
      <c r="N1160">
        <v>51</v>
      </c>
      <c r="O1160" t="s">
        <v>58</v>
      </c>
      <c r="P1160" t="s">
        <v>32</v>
      </c>
    </row>
    <row r="1161" spans="1:16" x14ac:dyDescent="0.35">
      <c r="A1161" t="s">
        <v>482</v>
      </c>
      <c r="B1161" t="s">
        <v>483</v>
      </c>
      <c r="C1161" t="s">
        <v>84</v>
      </c>
      <c r="D1161" t="s">
        <v>94</v>
      </c>
      <c r="E1161" t="s">
        <v>4178</v>
      </c>
      <c r="F1161" s="1">
        <v>44492</v>
      </c>
      <c r="G1161">
        <v>2025</v>
      </c>
      <c r="H1161" t="s">
        <v>107</v>
      </c>
      <c r="I1161" t="s">
        <v>4235</v>
      </c>
      <c r="J1161" t="s">
        <v>96</v>
      </c>
      <c r="K1161">
        <v>11.2</v>
      </c>
      <c r="L1161">
        <v>13833412</v>
      </c>
      <c r="M1161">
        <v>3416043</v>
      </c>
      <c r="N1161">
        <v>90</v>
      </c>
      <c r="O1161" t="s">
        <v>31</v>
      </c>
      <c r="P1161" t="s">
        <v>4181</v>
      </c>
    </row>
    <row r="1162" spans="1:16" x14ac:dyDescent="0.35">
      <c r="A1162" t="s">
        <v>3454</v>
      </c>
      <c r="B1162" t="s">
        <v>3455</v>
      </c>
      <c r="C1162" t="s">
        <v>53</v>
      </c>
      <c r="D1162" t="s">
        <v>54</v>
      </c>
      <c r="E1162" t="s">
        <v>99</v>
      </c>
      <c r="F1162" s="1">
        <v>44495</v>
      </c>
      <c r="G1162">
        <v>2013</v>
      </c>
      <c r="H1162" t="s">
        <v>63</v>
      </c>
      <c r="I1162" t="s">
        <v>136</v>
      </c>
      <c r="J1162" t="s">
        <v>48</v>
      </c>
      <c r="K1162">
        <v>7.1</v>
      </c>
      <c r="L1162">
        <v>347670</v>
      </c>
      <c r="M1162">
        <v>1637020</v>
      </c>
      <c r="N1162">
        <v>72</v>
      </c>
      <c r="O1162" t="s">
        <v>91</v>
      </c>
      <c r="P1162" t="s">
        <v>50</v>
      </c>
    </row>
    <row r="1163" spans="1:16" x14ac:dyDescent="0.35">
      <c r="A1163" t="s">
        <v>2399</v>
      </c>
      <c r="B1163" t="s">
        <v>2398</v>
      </c>
      <c r="C1163" t="s">
        <v>84</v>
      </c>
      <c r="D1163" t="s">
        <v>90</v>
      </c>
      <c r="E1163" t="s">
        <v>69</v>
      </c>
      <c r="F1163" s="1">
        <v>44496</v>
      </c>
      <c r="G1163">
        <v>2006</v>
      </c>
      <c r="H1163" t="s">
        <v>21</v>
      </c>
      <c r="I1163" t="s">
        <v>4264</v>
      </c>
      <c r="J1163" t="s">
        <v>30</v>
      </c>
      <c r="K1163">
        <v>7.1</v>
      </c>
      <c r="L1163">
        <v>18311434</v>
      </c>
      <c r="M1163">
        <v>2305211</v>
      </c>
      <c r="N1163">
        <v>90</v>
      </c>
      <c r="O1163" t="s">
        <v>4178</v>
      </c>
      <c r="P1163" t="s">
        <v>87</v>
      </c>
    </row>
    <row r="1164" spans="1:16" x14ac:dyDescent="0.35">
      <c r="A1164" t="s">
        <v>1561</v>
      </c>
      <c r="B1164" t="s">
        <v>1562</v>
      </c>
      <c r="C1164" t="s">
        <v>53</v>
      </c>
      <c r="D1164" t="s">
        <v>4178</v>
      </c>
      <c r="E1164" t="s">
        <v>99</v>
      </c>
      <c r="F1164" s="1">
        <v>44498</v>
      </c>
      <c r="G1164">
        <v>2008</v>
      </c>
      <c r="H1164" t="s">
        <v>107</v>
      </c>
      <c r="I1164" t="s">
        <v>162</v>
      </c>
      <c r="J1164" t="s">
        <v>30</v>
      </c>
      <c r="K1164">
        <v>7.1</v>
      </c>
      <c r="L1164">
        <v>22566402</v>
      </c>
      <c r="M1164">
        <v>4444970</v>
      </c>
      <c r="N1164">
        <v>71</v>
      </c>
      <c r="O1164" t="s">
        <v>58</v>
      </c>
      <c r="P1164" t="s">
        <v>32</v>
      </c>
    </row>
    <row r="1165" spans="1:16" x14ac:dyDescent="0.35">
      <c r="A1165" t="s">
        <v>490</v>
      </c>
      <c r="B1165" t="s">
        <v>491</v>
      </c>
      <c r="C1165" t="s">
        <v>84</v>
      </c>
      <c r="D1165" t="s">
        <v>94</v>
      </c>
      <c r="E1165" t="s">
        <v>4178</v>
      </c>
      <c r="F1165" s="1">
        <v>44501</v>
      </c>
      <c r="G1165">
        <v>2032</v>
      </c>
      <c r="H1165" t="s">
        <v>107</v>
      </c>
      <c r="I1165" t="s">
        <v>4246</v>
      </c>
      <c r="J1165" t="s">
        <v>133</v>
      </c>
      <c r="K1165">
        <v>7</v>
      </c>
      <c r="L1165">
        <v>10058147</v>
      </c>
      <c r="M1165">
        <v>3838654</v>
      </c>
      <c r="N1165">
        <v>74</v>
      </c>
      <c r="O1165" t="s">
        <v>31</v>
      </c>
      <c r="P1165" t="s">
        <v>87</v>
      </c>
    </row>
    <row r="1166" spans="1:16" x14ac:dyDescent="0.35">
      <c r="A1166" t="s">
        <v>1409</v>
      </c>
      <c r="B1166" t="s">
        <v>1410</v>
      </c>
      <c r="C1166" t="s">
        <v>53</v>
      </c>
      <c r="D1166" t="s">
        <v>36</v>
      </c>
      <c r="E1166" t="s">
        <v>4178</v>
      </c>
      <c r="F1166" s="1">
        <v>44504</v>
      </c>
      <c r="G1166">
        <v>2011</v>
      </c>
      <c r="H1166" t="s">
        <v>81</v>
      </c>
      <c r="I1166" t="s">
        <v>162</v>
      </c>
      <c r="J1166" t="s">
        <v>72</v>
      </c>
      <c r="K1166">
        <v>8.4</v>
      </c>
      <c r="L1166">
        <v>12669414</v>
      </c>
      <c r="M1166">
        <v>2506874</v>
      </c>
      <c r="N1166">
        <v>71</v>
      </c>
      <c r="O1166" t="s">
        <v>49</v>
      </c>
      <c r="P1166" t="s">
        <v>87</v>
      </c>
    </row>
    <row r="1167" spans="1:16" x14ac:dyDescent="0.35">
      <c r="A1167" t="s">
        <v>680</v>
      </c>
      <c r="B1167" t="s">
        <v>681</v>
      </c>
      <c r="C1167" t="s">
        <v>53</v>
      </c>
      <c r="D1167" t="s">
        <v>90</v>
      </c>
      <c r="E1167" t="s">
        <v>20</v>
      </c>
      <c r="F1167" s="1">
        <v>44507</v>
      </c>
      <c r="G1167">
        <v>2007</v>
      </c>
      <c r="H1167" t="s">
        <v>85</v>
      </c>
      <c r="I1167" t="s">
        <v>71</v>
      </c>
      <c r="J1167" t="s">
        <v>133</v>
      </c>
      <c r="K1167">
        <v>8.4</v>
      </c>
      <c r="L1167">
        <v>3435746</v>
      </c>
      <c r="M1167">
        <v>3098603</v>
      </c>
      <c r="N1167">
        <v>97</v>
      </c>
      <c r="O1167" t="s">
        <v>49</v>
      </c>
      <c r="P1167" t="s">
        <v>87</v>
      </c>
    </row>
    <row r="1168" spans="1:16" x14ac:dyDescent="0.35">
      <c r="A1168" t="s">
        <v>2290</v>
      </c>
      <c r="B1168" t="s">
        <v>2291</v>
      </c>
      <c r="C1168" t="s">
        <v>53</v>
      </c>
      <c r="D1168" t="s">
        <v>4178</v>
      </c>
      <c r="E1168" t="s">
        <v>55</v>
      </c>
      <c r="F1168" s="1">
        <v>44507</v>
      </c>
      <c r="G1168">
        <v>2005</v>
      </c>
      <c r="H1168" t="s">
        <v>81</v>
      </c>
      <c r="I1168" t="s">
        <v>71</v>
      </c>
      <c r="J1168" t="s">
        <v>23</v>
      </c>
      <c r="K1168">
        <v>8.9</v>
      </c>
      <c r="L1168">
        <v>17793951</v>
      </c>
      <c r="M1168">
        <v>1028886</v>
      </c>
      <c r="N1168">
        <v>61</v>
      </c>
      <c r="O1168" t="s">
        <v>123</v>
      </c>
      <c r="P1168" t="s">
        <v>87</v>
      </c>
    </row>
    <row r="1169" spans="1:16" x14ac:dyDescent="0.35">
      <c r="A1169" t="s">
        <v>3755</v>
      </c>
      <c r="B1169" t="s">
        <v>3756</v>
      </c>
      <c r="C1169" t="s">
        <v>4178</v>
      </c>
      <c r="D1169" t="s">
        <v>156</v>
      </c>
      <c r="E1169" t="s">
        <v>99</v>
      </c>
      <c r="F1169" s="1">
        <v>44507</v>
      </c>
      <c r="G1169">
        <v>2016</v>
      </c>
      <c r="H1169" t="s">
        <v>63</v>
      </c>
      <c r="I1169" t="s">
        <v>64</v>
      </c>
      <c r="J1169" t="s">
        <v>30</v>
      </c>
      <c r="K1169">
        <v>4.9000000000000004</v>
      </c>
      <c r="L1169">
        <v>19040517</v>
      </c>
      <c r="M1169">
        <v>2244099</v>
      </c>
      <c r="N1169">
        <v>60</v>
      </c>
      <c r="O1169" t="s">
        <v>58</v>
      </c>
      <c r="P1169" t="s">
        <v>4181</v>
      </c>
    </row>
    <row r="1170" spans="1:16" x14ac:dyDescent="0.35">
      <c r="A1170" t="s">
        <v>1114</v>
      </c>
      <c r="B1170" t="s">
        <v>1115</v>
      </c>
      <c r="C1170" t="s">
        <v>84</v>
      </c>
      <c r="D1170" t="s">
        <v>27</v>
      </c>
      <c r="E1170" t="s">
        <v>4178</v>
      </c>
      <c r="F1170" s="1">
        <v>44512</v>
      </c>
      <c r="G1170">
        <v>2019</v>
      </c>
      <c r="H1170" t="s">
        <v>121</v>
      </c>
      <c r="I1170" t="s">
        <v>4289</v>
      </c>
      <c r="J1170" t="s">
        <v>30</v>
      </c>
      <c r="K1170">
        <v>9.5</v>
      </c>
      <c r="L1170">
        <v>24280756</v>
      </c>
      <c r="M1170">
        <v>4011363</v>
      </c>
      <c r="N1170">
        <v>100</v>
      </c>
      <c r="O1170" t="s">
        <v>123</v>
      </c>
      <c r="P1170" t="s">
        <v>4181</v>
      </c>
    </row>
    <row r="1171" spans="1:16" x14ac:dyDescent="0.35">
      <c r="A1171" t="s">
        <v>3598</v>
      </c>
      <c r="B1171" t="s">
        <v>3599</v>
      </c>
      <c r="C1171" t="s">
        <v>53</v>
      </c>
      <c r="D1171" t="s">
        <v>156</v>
      </c>
      <c r="E1171" t="s">
        <v>113</v>
      </c>
      <c r="F1171" s="1">
        <v>44512</v>
      </c>
      <c r="G1171">
        <v>2013</v>
      </c>
      <c r="H1171" t="s">
        <v>4178</v>
      </c>
      <c r="I1171" t="s">
        <v>64</v>
      </c>
      <c r="J1171" t="s">
        <v>133</v>
      </c>
      <c r="K1171">
        <v>9.6999999999999993</v>
      </c>
      <c r="L1171">
        <v>20707040</v>
      </c>
      <c r="M1171">
        <v>3860967</v>
      </c>
      <c r="N1171">
        <v>41</v>
      </c>
      <c r="O1171" t="s">
        <v>123</v>
      </c>
      <c r="P1171" t="s">
        <v>87</v>
      </c>
    </row>
    <row r="1172" spans="1:16" x14ac:dyDescent="0.35">
      <c r="A1172" t="s">
        <v>771</v>
      </c>
      <c r="B1172" t="s">
        <v>772</v>
      </c>
      <c r="C1172" t="s">
        <v>53</v>
      </c>
      <c r="D1172" t="s">
        <v>4178</v>
      </c>
      <c r="E1172" t="s">
        <v>4178</v>
      </c>
      <c r="F1172" s="1">
        <v>44513</v>
      </c>
      <c r="G1172">
        <v>2009</v>
      </c>
      <c r="H1172" t="s">
        <v>85</v>
      </c>
      <c r="I1172" t="s">
        <v>71</v>
      </c>
      <c r="J1172" t="s">
        <v>48</v>
      </c>
      <c r="K1172">
        <v>8.1</v>
      </c>
      <c r="L1172">
        <v>18142279</v>
      </c>
      <c r="M1172">
        <v>1339859</v>
      </c>
      <c r="N1172">
        <v>45</v>
      </c>
      <c r="O1172" t="s">
        <v>41</v>
      </c>
      <c r="P1172" t="s">
        <v>32</v>
      </c>
    </row>
    <row r="1173" spans="1:16" x14ac:dyDescent="0.35">
      <c r="A1173" t="s">
        <v>1715</v>
      </c>
      <c r="B1173" t="s">
        <v>1716</v>
      </c>
      <c r="C1173" t="s">
        <v>53</v>
      </c>
      <c r="D1173" t="s">
        <v>90</v>
      </c>
      <c r="E1173" t="s">
        <v>28</v>
      </c>
      <c r="F1173" s="1">
        <v>44514</v>
      </c>
      <c r="G1173">
        <v>2016</v>
      </c>
      <c r="H1173" t="s">
        <v>21</v>
      </c>
      <c r="I1173" t="s">
        <v>64</v>
      </c>
      <c r="J1173" t="s">
        <v>133</v>
      </c>
      <c r="K1173">
        <v>8.6999999999999993</v>
      </c>
      <c r="L1173">
        <v>21767043</v>
      </c>
      <c r="M1173">
        <v>2461510</v>
      </c>
      <c r="N1173">
        <v>71</v>
      </c>
      <c r="O1173" t="s">
        <v>65</v>
      </c>
      <c r="P1173" t="s">
        <v>87</v>
      </c>
    </row>
    <row r="1174" spans="1:16" x14ac:dyDescent="0.35">
      <c r="A1174" t="s">
        <v>1457</v>
      </c>
      <c r="B1174" t="s">
        <v>1458</v>
      </c>
      <c r="C1174" t="s">
        <v>84</v>
      </c>
      <c r="D1174" t="s">
        <v>27</v>
      </c>
      <c r="E1174" t="s">
        <v>20</v>
      </c>
      <c r="F1174" s="1">
        <v>44517</v>
      </c>
      <c r="G1174">
        <v>2021</v>
      </c>
      <c r="H1174" t="s">
        <v>114</v>
      </c>
      <c r="I1174" t="s">
        <v>4306</v>
      </c>
      <c r="J1174" t="s">
        <v>72</v>
      </c>
      <c r="K1174">
        <v>9.3000000000000007</v>
      </c>
      <c r="L1174">
        <v>24188302</v>
      </c>
      <c r="M1174">
        <v>11163</v>
      </c>
      <c r="N1174">
        <v>73</v>
      </c>
      <c r="O1174" t="s">
        <v>31</v>
      </c>
      <c r="P1174" t="s">
        <v>32</v>
      </c>
    </row>
    <row r="1175" spans="1:16" x14ac:dyDescent="0.35">
      <c r="A1175" t="s">
        <v>3665</v>
      </c>
      <c r="B1175" t="s">
        <v>4388</v>
      </c>
      <c r="C1175" t="s">
        <v>84</v>
      </c>
      <c r="D1175" t="s">
        <v>27</v>
      </c>
      <c r="E1175" t="s">
        <v>4178</v>
      </c>
      <c r="F1175" s="1">
        <v>44519</v>
      </c>
      <c r="G1175">
        <v>2011</v>
      </c>
      <c r="H1175" t="s">
        <v>4178</v>
      </c>
      <c r="I1175" t="s">
        <v>4324</v>
      </c>
      <c r="J1175" t="s">
        <v>30</v>
      </c>
      <c r="K1175">
        <v>7.1</v>
      </c>
      <c r="L1175">
        <v>16623661</v>
      </c>
      <c r="M1175">
        <v>1572740</v>
      </c>
      <c r="N1175">
        <v>54</v>
      </c>
      <c r="O1175" t="s">
        <v>104</v>
      </c>
      <c r="P1175" t="s">
        <v>4181</v>
      </c>
    </row>
    <row r="1176" spans="1:16" x14ac:dyDescent="0.35">
      <c r="A1176" t="s">
        <v>602</v>
      </c>
      <c r="B1176" t="s">
        <v>603</v>
      </c>
      <c r="C1176" t="s">
        <v>84</v>
      </c>
      <c r="D1176" t="s">
        <v>4178</v>
      </c>
      <c r="E1176" t="s">
        <v>45</v>
      </c>
      <c r="F1176" s="1">
        <v>44520</v>
      </c>
      <c r="G1176">
        <v>2017</v>
      </c>
      <c r="H1176" t="s">
        <v>85</v>
      </c>
      <c r="I1176" t="s">
        <v>4238</v>
      </c>
      <c r="J1176" t="s">
        <v>72</v>
      </c>
      <c r="K1176">
        <v>9</v>
      </c>
      <c r="L1176">
        <v>4677019</v>
      </c>
      <c r="M1176">
        <v>4552635</v>
      </c>
      <c r="N1176">
        <v>43</v>
      </c>
      <c r="O1176" t="s">
        <v>65</v>
      </c>
      <c r="P1176" t="s">
        <v>32</v>
      </c>
    </row>
    <row r="1177" spans="1:16" x14ac:dyDescent="0.35">
      <c r="A1177" t="s">
        <v>705</v>
      </c>
      <c r="B1177" t="s">
        <v>706</v>
      </c>
      <c r="C1177" t="s">
        <v>84</v>
      </c>
      <c r="D1177" t="s">
        <v>61</v>
      </c>
      <c r="E1177" t="s">
        <v>80</v>
      </c>
      <c r="F1177" s="1">
        <v>44527</v>
      </c>
      <c r="G1177">
        <v>2021</v>
      </c>
      <c r="H1177" t="s">
        <v>38</v>
      </c>
      <c r="I1177" t="s">
        <v>4247</v>
      </c>
      <c r="J1177" t="s">
        <v>30</v>
      </c>
      <c r="K1177">
        <v>5.3</v>
      </c>
      <c r="L1177">
        <v>15579195</v>
      </c>
      <c r="M1177">
        <v>3160934</v>
      </c>
      <c r="N1177">
        <v>69</v>
      </c>
      <c r="O1177" t="s">
        <v>31</v>
      </c>
      <c r="P1177" t="s">
        <v>4181</v>
      </c>
    </row>
    <row r="1178" spans="1:16" x14ac:dyDescent="0.35">
      <c r="A1178" t="s">
        <v>664</v>
      </c>
      <c r="B1178" t="s">
        <v>665</v>
      </c>
      <c r="C1178" t="s">
        <v>84</v>
      </c>
      <c r="D1178" t="s">
        <v>4178</v>
      </c>
      <c r="E1178" t="s">
        <v>69</v>
      </c>
      <c r="F1178" s="1">
        <v>44532</v>
      </c>
      <c r="G1178">
        <v>2024</v>
      </c>
      <c r="H1178" t="s">
        <v>107</v>
      </c>
      <c r="I1178" t="s">
        <v>4226</v>
      </c>
      <c r="J1178" t="s">
        <v>96</v>
      </c>
      <c r="K1178">
        <v>6.8</v>
      </c>
      <c r="L1178">
        <v>3572257</v>
      </c>
      <c r="M1178">
        <v>4308942</v>
      </c>
      <c r="N1178">
        <v>50</v>
      </c>
      <c r="O1178" t="s">
        <v>4178</v>
      </c>
      <c r="P1178" t="s">
        <v>87</v>
      </c>
    </row>
    <row r="1179" spans="1:16" x14ac:dyDescent="0.35">
      <c r="A1179" t="s">
        <v>1532</v>
      </c>
      <c r="B1179" t="s">
        <v>1533</v>
      </c>
      <c r="C1179" t="s">
        <v>84</v>
      </c>
      <c r="D1179" t="s">
        <v>27</v>
      </c>
      <c r="E1179" t="s">
        <v>80</v>
      </c>
      <c r="F1179" s="1">
        <v>44532</v>
      </c>
      <c r="G1179">
        <v>2003</v>
      </c>
      <c r="H1179" t="s">
        <v>81</v>
      </c>
      <c r="I1179" t="s">
        <v>4224</v>
      </c>
      <c r="J1179" t="s">
        <v>30</v>
      </c>
      <c r="K1179">
        <v>8.9</v>
      </c>
      <c r="L1179">
        <v>6813107</v>
      </c>
      <c r="M1179">
        <v>3366952</v>
      </c>
      <c r="N1179">
        <v>46</v>
      </c>
      <c r="O1179" t="s">
        <v>4178</v>
      </c>
      <c r="P1179" t="s">
        <v>87</v>
      </c>
    </row>
    <row r="1180" spans="1:16" x14ac:dyDescent="0.35">
      <c r="A1180" t="s">
        <v>1596</v>
      </c>
      <c r="B1180" t="s">
        <v>1597</v>
      </c>
      <c r="C1180" t="s">
        <v>4178</v>
      </c>
      <c r="D1180" t="s">
        <v>156</v>
      </c>
      <c r="E1180" t="s">
        <v>99</v>
      </c>
      <c r="F1180" s="1">
        <v>44532</v>
      </c>
      <c r="G1180">
        <v>2024</v>
      </c>
      <c r="H1180" t="s">
        <v>114</v>
      </c>
      <c r="I1180" t="s">
        <v>71</v>
      </c>
      <c r="J1180" t="s">
        <v>72</v>
      </c>
      <c r="K1180">
        <v>5.0999999999999996</v>
      </c>
      <c r="L1180">
        <v>20140209</v>
      </c>
      <c r="M1180">
        <v>3183907</v>
      </c>
      <c r="N1180">
        <v>45</v>
      </c>
      <c r="O1180" t="s">
        <v>24</v>
      </c>
      <c r="P1180" t="s">
        <v>87</v>
      </c>
    </row>
    <row r="1181" spans="1:16" x14ac:dyDescent="0.35">
      <c r="A1181" t="s">
        <v>2938</v>
      </c>
      <c r="B1181" t="s">
        <v>2939</v>
      </c>
      <c r="C1181" t="s">
        <v>84</v>
      </c>
      <c r="D1181" t="s">
        <v>61</v>
      </c>
      <c r="E1181" t="s">
        <v>80</v>
      </c>
      <c r="F1181" s="1">
        <v>44535</v>
      </c>
      <c r="G1181">
        <v>2011</v>
      </c>
      <c r="H1181" t="s">
        <v>38</v>
      </c>
      <c r="I1181" t="s">
        <v>4313</v>
      </c>
      <c r="J1181" t="s">
        <v>4178</v>
      </c>
      <c r="K1181">
        <v>7.8</v>
      </c>
      <c r="L1181">
        <v>17414042</v>
      </c>
      <c r="M1181">
        <v>4066216</v>
      </c>
      <c r="N1181">
        <v>55</v>
      </c>
      <c r="O1181" t="s">
        <v>24</v>
      </c>
      <c r="P1181" t="s">
        <v>50</v>
      </c>
    </row>
    <row r="1182" spans="1:16" x14ac:dyDescent="0.35">
      <c r="A1182" t="s">
        <v>3359</v>
      </c>
      <c r="B1182" t="s">
        <v>3360</v>
      </c>
      <c r="C1182" t="s">
        <v>4178</v>
      </c>
      <c r="D1182" t="s">
        <v>4178</v>
      </c>
      <c r="E1182" t="s">
        <v>55</v>
      </c>
      <c r="F1182" s="1">
        <v>44535</v>
      </c>
      <c r="G1182">
        <v>2010</v>
      </c>
      <c r="H1182" t="s">
        <v>114</v>
      </c>
      <c r="I1182" t="s">
        <v>64</v>
      </c>
      <c r="J1182" t="s">
        <v>96</v>
      </c>
      <c r="K1182">
        <v>7.3</v>
      </c>
      <c r="L1182">
        <v>2491410</v>
      </c>
      <c r="M1182">
        <v>1784045</v>
      </c>
      <c r="N1182">
        <v>82</v>
      </c>
      <c r="O1182" t="s">
        <v>41</v>
      </c>
      <c r="P1182" t="s">
        <v>4178</v>
      </c>
    </row>
    <row r="1183" spans="1:16" x14ac:dyDescent="0.35">
      <c r="A1183" t="s">
        <v>1133</v>
      </c>
      <c r="B1183" t="s">
        <v>1134</v>
      </c>
      <c r="C1183" t="s">
        <v>53</v>
      </c>
      <c r="D1183" t="s">
        <v>19</v>
      </c>
      <c r="E1183" t="s">
        <v>99</v>
      </c>
      <c r="F1183" s="1">
        <v>44540</v>
      </c>
      <c r="G1183">
        <v>2019</v>
      </c>
      <c r="H1183" t="s">
        <v>4178</v>
      </c>
      <c r="I1183" t="s">
        <v>118</v>
      </c>
      <c r="J1183" t="s">
        <v>72</v>
      </c>
      <c r="K1183">
        <v>6.5</v>
      </c>
      <c r="L1183">
        <v>24024067</v>
      </c>
      <c r="M1183">
        <v>3731116</v>
      </c>
      <c r="N1183">
        <v>85</v>
      </c>
      <c r="O1183" t="s">
        <v>4178</v>
      </c>
      <c r="P1183" t="s">
        <v>87</v>
      </c>
    </row>
    <row r="1184" spans="1:16" x14ac:dyDescent="0.35">
      <c r="A1184" t="s">
        <v>1551</v>
      </c>
      <c r="B1184" t="s">
        <v>1552</v>
      </c>
      <c r="C1184" t="s">
        <v>53</v>
      </c>
      <c r="D1184" t="s">
        <v>61</v>
      </c>
      <c r="E1184" t="s">
        <v>69</v>
      </c>
      <c r="F1184" s="1">
        <v>44541</v>
      </c>
      <c r="G1184">
        <v>2007</v>
      </c>
      <c r="H1184" t="s">
        <v>107</v>
      </c>
      <c r="I1184" t="s">
        <v>162</v>
      </c>
      <c r="J1184" t="s">
        <v>153</v>
      </c>
      <c r="K1184">
        <v>6.2</v>
      </c>
      <c r="L1184">
        <v>894750</v>
      </c>
      <c r="M1184">
        <v>3552464</v>
      </c>
      <c r="N1184">
        <v>80</v>
      </c>
      <c r="O1184" t="s">
        <v>91</v>
      </c>
      <c r="P1184" t="s">
        <v>32</v>
      </c>
    </row>
    <row r="1185" spans="1:16" x14ac:dyDescent="0.35">
      <c r="A1185" t="s">
        <v>2546</v>
      </c>
      <c r="B1185" t="s">
        <v>2547</v>
      </c>
      <c r="C1185" t="s">
        <v>84</v>
      </c>
      <c r="D1185" t="s">
        <v>4178</v>
      </c>
      <c r="E1185" t="s">
        <v>99</v>
      </c>
      <c r="F1185" s="1">
        <v>44546</v>
      </c>
      <c r="G1185">
        <v>2024</v>
      </c>
      <c r="H1185" t="s">
        <v>107</v>
      </c>
      <c r="I1185" t="s">
        <v>4185</v>
      </c>
      <c r="J1185" t="s">
        <v>103</v>
      </c>
      <c r="K1185">
        <v>6</v>
      </c>
      <c r="L1185">
        <v>6761632</v>
      </c>
      <c r="M1185">
        <v>4396386</v>
      </c>
      <c r="N1185">
        <v>84</v>
      </c>
      <c r="O1185" t="s">
        <v>4178</v>
      </c>
      <c r="P1185" t="s">
        <v>4178</v>
      </c>
    </row>
    <row r="1186" spans="1:16" x14ac:dyDescent="0.35">
      <c r="A1186" t="s">
        <v>378</v>
      </c>
      <c r="B1186" t="s">
        <v>379</v>
      </c>
      <c r="C1186" t="s">
        <v>4178</v>
      </c>
      <c r="D1186" t="s">
        <v>75</v>
      </c>
      <c r="E1186" t="s">
        <v>4178</v>
      </c>
      <c r="F1186" s="1">
        <v>44547</v>
      </c>
      <c r="G1186">
        <v>2010</v>
      </c>
      <c r="H1186" t="s">
        <v>21</v>
      </c>
      <c r="I1186" t="s">
        <v>95</v>
      </c>
      <c r="J1186" t="s">
        <v>40</v>
      </c>
      <c r="K1186">
        <v>6.5</v>
      </c>
      <c r="L1186">
        <v>12400847</v>
      </c>
      <c r="M1186">
        <v>2127931</v>
      </c>
      <c r="N1186">
        <v>42</v>
      </c>
      <c r="O1186" t="s">
        <v>104</v>
      </c>
      <c r="P1186" t="s">
        <v>4178</v>
      </c>
    </row>
    <row r="1187" spans="1:16" x14ac:dyDescent="0.35">
      <c r="A1187" t="s">
        <v>357</v>
      </c>
      <c r="B1187" t="s">
        <v>358</v>
      </c>
      <c r="C1187" t="s">
        <v>53</v>
      </c>
      <c r="D1187" t="s">
        <v>4178</v>
      </c>
      <c r="E1187" t="s">
        <v>80</v>
      </c>
      <c r="F1187" s="1">
        <v>44550</v>
      </c>
      <c r="G1187">
        <v>2032</v>
      </c>
      <c r="H1187" t="s">
        <v>46</v>
      </c>
      <c r="I1187" t="s">
        <v>71</v>
      </c>
      <c r="J1187" t="s">
        <v>4178</v>
      </c>
      <c r="K1187">
        <v>6.2</v>
      </c>
      <c r="L1187">
        <v>3666135</v>
      </c>
      <c r="M1187">
        <v>572103</v>
      </c>
      <c r="N1187">
        <v>63</v>
      </c>
      <c r="O1187" t="s">
        <v>65</v>
      </c>
      <c r="P1187" t="s">
        <v>50</v>
      </c>
    </row>
    <row r="1188" spans="1:16" x14ac:dyDescent="0.35">
      <c r="A1188" t="s">
        <v>1015</v>
      </c>
      <c r="B1188" t="s">
        <v>1016</v>
      </c>
      <c r="C1188" t="s">
        <v>53</v>
      </c>
      <c r="D1188" t="s">
        <v>36</v>
      </c>
      <c r="E1188" t="s">
        <v>62</v>
      </c>
      <c r="F1188" s="1">
        <v>44551</v>
      </c>
      <c r="G1188">
        <v>2022</v>
      </c>
      <c r="H1188" t="s">
        <v>38</v>
      </c>
      <c r="I1188" t="s">
        <v>162</v>
      </c>
      <c r="J1188" t="s">
        <v>96</v>
      </c>
      <c r="K1188">
        <v>6.1</v>
      </c>
      <c r="L1188">
        <v>17538609</v>
      </c>
      <c r="M1188">
        <v>922525</v>
      </c>
      <c r="N1188">
        <v>60</v>
      </c>
      <c r="O1188" t="s">
        <v>91</v>
      </c>
      <c r="P1188" t="s">
        <v>32</v>
      </c>
    </row>
    <row r="1189" spans="1:16" x14ac:dyDescent="0.35">
      <c r="A1189" t="s">
        <v>1557</v>
      </c>
      <c r="B1189" t="s">
        <v>1558</v>
      </c>
      <c r="C1189" t="s">
        <v>84</v>
      </c>
      <c r="D1189" t="s">
        <v>68</v>
      </c>
      <c r="E1189" t="s">
        <v>113</v>
      </c>
      <c r="F1189" s="1">
        <v>44552</v>
      </c>
      <c r="G1189">
        <v>2003</v>
      </c>
      <c r="H1189" t="s">
        <v>81</v>
      </c>
      <c r="I1189" t="s">
        <v>4274</v>
      </c>
      <c r="J1189" t="s">
        <v>57</v>
      </c>
      <c r="K1189">
        <v>9.6</v>
      </c>
      <c r="L1189">
        <v>23863797</v>
      </c>
      <c r="M1189">
        <v>1416986</v>
      </c>
      <c r="N1189">
        <v>51</v>
      </c>
      <c r="O1189" t="s">
        <v>31</v>
      </c>
      <c r="P1189" t="s">
        <v>87</v>
      </c>
    </row>
    <row r="1190" spans="1:16" x14ac:dyDescent="0.35">
      <c r="A1190" t="s">
        <v>1958</v>
      </c>
      <c r="B1190" t="s">
        <v>1959</v>
      </c>
      <c r="C1190" t="s">
        <v>84</v>
      </c>
      <c r="D1190" t="s">
        <v>90</v>
      </c>
      <c r="E1190" t="s">
        <v>45</v>
      </c>
      <c r="F1190" s="1">
        <v>44554</v>
      </c>
      <c r="G1190">
        <v>2023</v>
      </c>
      <c r="H1190" t="s">
        <v>81</v>
      </c>
      <c r="I1190" t="s">
        <v>4277</v>
      </c>
      <c r="J1190" t="s">
        <v>72</v>
      </c>
      <c r="K1190">
        <v>9.8000000000000007</v>
      </c>
      <c r="L1190">
        <v>7162534</v>
      </c>
      <c r="M1190">
        <v>340291</v>
      </c>
      <c r="N1190">
        <v>64</v>
      </c>
      <c r="O1190" t="s">
        <v>65</v>
      </c>
      <c r="P1190" t="s">
        <v>4181</v>
      </c>
    </row>
    <row r="1191" spans="1:16" x14ac:dyDescent="0.35">
      <c r="A1191" t="s">
        <v>883</v>
      </c>
      <c r="B1191" t="s">
        <v>884</v>
      </c>
      <c r="C1191" t="s">
        <v>53</v>
      </c>
      <c r="D1191" t="s">
        <v>75</v>
      </c>
      <c r="E1191" t="s">
        <v>69</v>
      </c>
      <c r="F1191" s="1">
        <v>44555</v>
      </c>
      <c r="G1191">
        <v>2015</v>
      </c>
      <c r="H1191" t="s">
        <v>114</v>
      </c>
      <c r="I1191" t="s">
        <v>136</v>
      </c>
      <c r="J1191" t="s">
        <v>133</v>
      </c>
      <c r="K1191">
        <v>7.8</v>
      </c>
      <c r="L1191">
        <v>24236588</v>
      </c>
      <c r="M1191">
        <v>1050984</v>
      </c>
      <c r="N1191">
        <v>79</v>
      </c>
      <c r="O1191" t="s">
        <v>65</v>
      </c>
      <c r="P1191" t="s">
        <v>4181</v>
      </c>
    </row>
    <row r="1192" spans="1:16" x14ac:dyDescent="0.35">
      <c r="A1192" t="s">
        <v>1186</v>
      </c>
      <c r="B1192" t="s">
        <v>1187</v>
      </c>
      <c r="C1192" t="s">
        <v>4178</v>
      </c>
      <c r="D1192" t="s">
        <v>90</v>
      </c>
      <c r="E1192" t="s">
        <v>131</v>
      </c>
      <c r="F1192" s="1">
        <v>44555</v>
      </c>
      <c r="G1192">
        <v>2016</v>
      </c>
      <c r="H1192" t="s">
        <v>114</v>
      </c>
      <c r="I1192" t="s">
        <v>95</v>
      </c>
      <c r="J1192" t="s">
        <v>133</v>
      </c>
      <c r="K1192">
        <v>5.6</v>
      </c>
      <c r="L1192">
        <v>21247248</v>
      </c>
      <c r="M1192">
        <v>2118251</v>
      </c>
      <c r="N1192">
        <v>90</v>
      </c>
      <c r="O1192" t="s">
        <v>49</v>
      </c>
      <c r="P1192" t="s">
        <v>50</v>
      </c>
    </row>
    <row r="1193" spans="1:16" x14ac:dyDescent="0.35">
      <c r="A1193" t="s">
        <v>1547</v>
      </c>
      <c r="B1193" t="s">
        <v>1548</v>
      </c>
      <c r="C1193" t="s">
        <v>84</v>
      </c>
      <c r="D1193" t="s">
        <v>90</v>
      </c>
      <c r="E1193" t="s">
        <v>37</v>
      </c>
      <c r="F1193" s="1">
        <v>44558</v>
      </c>
      <c r="G1193">
        <v>2014</v>
      </c>
      <c r="H1193" t="s">
        <v>85</v>
      </c>
      <c r="I1193" t="s">
        <v>4212</v>
      </c>
      <c r="J1193" t="s">
        <v>23</v>
      </c>
      <c r="K1193">
        <v>9</v>
      </c>
      <c r="L1193">
        <v>4527930</v>
      </c>
      <c r="M1193">
        <v>3796351</v>
      </c>
      <c r="N1193">
        <v>96</v>
      </c>
      <c r="O1193" t="s">
        <v>4178</v>
      </c>
      <c r="P1193" t="s">
        <v>32</v>
      </c>
    </row>
    <row r="1194" spans="1:16" x14ac:dyDescent="0.35">
      <c r="A1194" t="s">
        <v>3679</v>
      </c>
      <c r="B1194" t="s">
        <v>3680</v>
      </c>
      <c r="C1194" t="s">
        <v>84</v>
      </c>
      <c r="D1194" t="s">
        <v>75</v>
      </c>
      <c r="E1194" t="s">
        <v>4196</v>
      </c>
      <c r="F1194" s="1">
        <v>44558</v>
      </c>
      <c r="G1194">
        <v>2002</v>
      </c>
      <c r="H1194" t="s">
        <v>121</v>
      </c>
      <c r="I1194" t="s">
        <v>4371</v>
      </c>
      <c r="J1194" t="s">
        <v>57</v>
      </c>
      <c r="K1194">
        <v>7.7</v>
      </c>
      <c r="L1194">
        <v>14976564</v>
      </c>
      <c r="M1194">
        <v>3036375</v>
      </c>
      <c r="N1194">
        <v>67</v>
      </c>
      <c r="O1194" t="s">
        <v>4178</v>
      </c>
      <c r="P1194" t="s">
        <v>4181</v>
      </c>
    </row>
    <row r="1195" spans="1:16" x14ac:dyDescent="0.35">
      <c r="A1195" t="s">
        <v>2050</v>
      </c>
      <c r="B1195" t="s">
        <v>2051</v>
      </c>
      <c r="C1195" t="s">
        <v>84</v>
      </c>
      <c r="D1195" t="s">
        <v>75</v>
      </c>
      <c r="E1195" t="s">
        <v>80</v>
      </c>
      <c r="F1195" s="1">
        <v>44561</v>
      </c>
      <c r="G1195">
        <v>2011</v>
      </c>
      <c r="H1195" t="s">
        <v>38</v>
      </c>
      <c r="I1195" t="s">
        <v>4256</v>
      </c>
      <c r="J1195" t="s">
        <v>40</v>
      </c>
      <c r="K1195">
        <v>6.8</v>
      </c>
      <c r="L1195">
        <v>394475</v>
      </c>
      <c r="M1195">
        <v>1952932</v>
      </c>
      <c r="N1195">
        <v>94</v>
      </c>
      <c r="O1195" t="s">
        <v>49</v>
      </c>
      <c r="P1195" t="s">
        <v>87</v>
      </c>
    </row>
    <row r="1196" spans="1:16" x14ac:dyDescent="0.35">
      <c r="A1196" t="s">
        <v>3557</v>
      </c>
      <c r="B1196" t="s">
        <v>3558</v>
      </c>
      <c r="C1196" t="s">
        <v>53</v>
      </c>
      <c r="D1196" t="s">
        <v>90</v>
      </c>
      <c r="E1196" t="s">
        <v>99</v>
      </c>
      <c r="F1196" s="1">
        <v>44563</v>
      </c>
      <c r="G1196">
        <v>2013</v>
      </c>
      <c r="H1196" t="s">
        <v>107</v>
      </c>
      <c r="I1196" t="s">
        <v>56</v>
      </c>
      <c r="J1196" t="s">
        <v>40</v>
      </c>
      <c r="K1196">
        <v>5.7</v>
      </c>
      <c r="L1196">
        <v>21114136</v>
      </c>
      <c r="M1196">
        <v>326712</v>
      </c>
      <c r="N1196">
        <v>94</v>
      </c>
      <c r="O1196" t="s">
        <v>123</v>
      </c>
      <c r="P1196" t="s">
        <v>50</v>
      </c>
    </row>
    <row r="1197" spans="1:16" x14ac:dyDescent="0.35">
      <c r="A1197" t="s">
        <v>2562</v>
      </c>
      <c r="B1197" t="s">
        <v>2563</v>
      </c>
      <c r="C1197" t="s">
        <v>53</v>
      </c>
      <c r="D1197" t="s">
        <v>156</v>
      </c>
      <c r="E1197" t="s">
        <v>55</v>
      </c>
      <c r="F1197" s="1">
        <v>44568</v>
      </c>
      <c r="G1197">
        <v>2016</v>
      </c>
      <c r="H1197" t="s">
        <v>121</v>
      </c>
      <c r="I1197" t="s">
        <v>162</v>
      </c>
      <c r="J1197" t="s">
        <v>40</v>
      </c>
      <c r="K1197">
        <v>9.1</v>
      </c>
      <c r="L1197">
        <v>7859155</v>
      </c>
      <c r="M1197">
        <v>1060246</v>
      </c>
      <c r="N1197">
        <v>72</v>
      </c>
      <c r="O1197" t="s">
        <v>31</v>
      </c>
      <c r="P1197" t="s">
        <v>87</v>
      </c>
    </row>
    <row r="1198" spans="1:16" x14ac:dyDescent="0.35">
      <c r="A1198" t="s">
        <v>3155</v>
      </c>
      <c r="B1198" t="s">
        <v>3156</v>
      </c>
      <c r="C1198" t="s">
        <v>84</v>
      </c>
      <c r="D1198" t="s">
        <v>36</v>
      </c>
      <c r="E1198" t="s">
        <v>4196</v>
      </c>
      <c r="F1198" s="1">
        <v>44578</v>
      </c>
      <c r="G1198">
        <v>2013</v>
      </c>
      <c r="H1198" t="s">
        <v>114</v>
      </c>
      <c r="I1198" t="s">
        <v>4275</v>
      </c>
      <c r="J1198" t="s">
        <v>133</v>
      </c>
      <c r="K1198">
        <v>7.6</v>
      </c>
      <c r="L1198">
        <v>-578</v>
      </c>
      <c r="M1198">
        <v>388343</v>
      </c>
      <c r="N1198">
        <v>73</v>
      </c>
      <c r="O1198" t="s">
        <v>4178</v>
      </c>
      <c r="P1198" t="s">
        <v>32</v>
      </c>
    </row>
    <row r="1199" spans="1:16" x14ac:dyDescent="0.35">
      <c r="A1199" t="s">
        <v>1367</v>
      </c>
      <c r="B1199" t="s">
        <v>1368</v>
      </c>
      <c r="C1199" t="s">
        <v>4178</v>
      </c>
      <c r="D1199" t="s">
        <v>19</v>
      </c>
      <c r="E1199" t="s">
        <v>131</v>
      </c>
      <c r="F1199" s="1">
        <v>44580</v>
      </c>
      <c r="G1199">
        <v>2010</v>
      </c>
      <c r="H1199" t="s">
        <v>63</v>
      </c>
      <c r="I1199" t="s">
        <v>136</v>
      </c>
      <c r="J1199" t="s">
        <v>153</v>
      </c>
      <c r="K1199">
        <v>6.9</v>
      </c>
      <c r="L1199">
        <v>22444884</v>
      </c>
      <c r="M1199">
        <v>2382364</v>
      </c>
      <c r="N1199">
        <v>42</v>
      </c>
      <c r="O1199" t="s">
        <v>58</v>
      </c>
      <c r="P1199" t="s">
        <v>50</v>
      </c>
    </row>
    <row r="1200" spans="1:16" x14ac:dyDescent="0.35">
      <c r="A1200" t="s">
        <v>590</v>
      </c>
      <c r="B1200" t="s">
        <v>591</v>
      </c>
      <c r="C1200" t="s">
        <v>53</v>
      </c>
      <c r="D1200" t="s">
        <v>4178</v>
      </c>
      <c r="E1200" t="s">
        <v>45</v>
      </c>
      <c r="F1200" s="1">
        <v>44582</v>
      </c>
      <c r="G1200">
        <v>2003</v>
      </c>
      <c r="H1200" t="s">
        <v>107</v>
      </c>
      <c r="I1200" t="s">
        <v>136</v>
      </c>
      <c r="J1200" t="s">
        <v>48</v>
      </c>
      <c r="K1200">
        <v>9</v>
      </c>
      <c r="L1200">
        <v>18718193</v>
      </c>
      <c r="M1200">
        <v>1082728</v>
      </c>
      <c r="N1200">
        <v>83</v>
      </c>
      <c r="O1200" t="s">
        <v>4178</v>
      </c>
      <c r="P1200" t="s">
        <v>87</v>
      </c>
    </row>
    <row r="1201" spans="1:16" x14ac:dyDescent="0.35">
      <c r="A1201" t="s">
        <v>2280</v>
      </c>
      <c r="B1201" t="s">
        <v>2281</v>
      </c>
      <c r="C1201" t="s">
        <v>53</v>
      </c>
      <c r="D1201" t="s">
        <v>36</v>
      </c>
      <c r="E1201" t="s">
        <v>20</v>
      </c>
      <c r="F1201" s="1">
        <v>44582</v>
      </c>
      <c r="G1201">
        <v>2032</v>
      </c>
      <c r="H1201" t="s">
        <v>114</v>
      </c>
      <c r="I1201" t="s">
        <v>71</v>
      </c>
      <c r="J1201" t="s">
        <v>23</v>
      </c>
      <c r="K1201">
        <v>5.2</v>
      </c>
      <c r="L1201">
        <v>3514435</v>
      </c>
      <c r="M1201">
        <v>2522096</v>
      </c>
      <c r="N1201">
        <v>58</v>
      </c>
      <c r="O1201" t="s">
        <v>58</v>
      </c>
      <c r="P1201" t="s">
        <v>4178</v>
      </c>
    </row>
    <row r="1202" spans="1:16" x14ac:dyDescent="0.35">
      <c r="A1202" t="s">
        <v>4055</v>
      </c>
      <c r="B1202" t="s">
        <v>4056</v>
      </c>
      <c r="C1202" t="s">
        <v>84</v>
      </c>
      <c r="D1202" t="s">
        <v>27</v>
      </c>
      <c r="E1202" t="s">
        <v>131</v>
      </c>
      <c r="F1202" s="1">
        <v>44583</v>
      </c>
      <c r="G1202">
        <v>2000</v>
      </c>
      <c r="H1202" t="s">
        <v>81</v>
      </c>
      <c r="I1202" t="s">
        <v>4208</v>
      </c>
      <c r="J1202" t="s">
        <v>72</v>
      </c>
      <c r="K1202">
        <v>7.9</v>
      </c>
      <c r="L1202">
        <v>13121377</v>
      </c>
      <c r="M1202">
        <v>2153363</v>
      </c>
      <c r="N1202">
        <v>120</v>
      </c>
      <c r="O1202" t="s">
        <v>123</v>
      </c>
      <c r="P1202" t="s">
        <v>32</v>
      </c>
    </row>
    <row r="1203" spans="1:16" x14ac:dyDescent="0.35">
      <c r="A1203" t="s">
        <v>1784</v>
      </c>
      <c r="B1203" t="s">
        <v>1785</v>
      </c>
      <c r="C1203" t="s">
        <v>4178</v>
      </c>
      <c r="D1203" t="s">
        <v>19</v>
      </c>
      <c r="E1203" t="s">
        <v>28</v>
      </c>
      <c r="F1203" s="1">
        <v>44584</v>
      </c>
      <c r="G1203">
        <v>2005</v>
      </c>
      <c r="H1203" t="s">
        <v>114</v>
      </c>
      <c r="I1203" t="s">
        <v>118</v>
      </c>
      <c r="J1203" t="s">
        <v>133</v>
      </c>
      <c r="K1203">
        <v>7.6</v>
      </c>
      <c r="L1203">
        <v>16567061</v>
      </c>
      <c r="M1203">
        <v>1821153</v>
      </c>
      <c r="N1203">
        <v>86</v>
      </c>
      <c r="O1203" t="s">
        <v>58</v>
      </c>
      <c r="P1203" t="s">
        <v>4181</v>
      </c>
    </row>
    <row r="1204" spans="1:16" x14ac:dyDescent="0.35">
      <c r="A1204" t="s">
        <v>3743</v>
      </c>
      <c r="B1204" t="s">
        <v>3744</v>
      </c>
      <c r="C1204" t="s">
        <v>84</v>
      </c>
      <c r="D1204" t="s">
        <v>68</v>
      </c>
      <c r="E1204" t="s">
        <v>28</v>
      </c>
      <c r="F1204" s="1">
        <v>44584</v>
      </c>
      <c r="G1204">
        <v>2020</v>
      </c>
      <c r="H1204" t="s">
        <v>4178</v>
      </c>
      <c r="I1204" t="s">
        <v>4215</v>
      </c>
      <c r="J1204" t="s">
        <v>133</v>
      </c>
      <c r="K1204">
        <v>5.4</v>
      </c>
      <c r="L1204">
        <v>21028372</v>
      </c>
      <c r="M1204">
        <v>2358491</v>
      </c>
      <c r="N1204">
        <v>120</v>
      </c>
      <c r="O1204" t="s">
        <v>31</v>
      </c>
      <c r="P1204" t="s">
        <v>87</v>
      </c>
    </row>
    <row r="1205" spans="1:16" x14ac:dyDescent="0.35">
      <c r="A1205" t="s">
        <v>793</v>
      </c>
      <c r="B1205" t="s">
        <v>792</v>
      </c>
      <c r="C1205" t="s">
        <v>84</v>
      </c>
      <c r="D1205" t="s">
        <v>90</v>
      </c>
      <c r="E1205" t="s">
        <v>4196</v>
      </c>
      <c r="F1205" s="1">
        <v>44585</v>
      </c>
      <c r="G1205">
        <v>2013</v>
      </c>
      <c r="H1205" t="s">
        <v>4178</v>
      </c>
      <c r="I1205" t="s">
        <v>4276</v>
      </c>
      <c r="J1205" t="s">
        <v>4178</v>
      </c>
      <c r="K1205">
        <v>9.6999999999999993</v>
      </c>
      <c r="L1205">
        <v>7328646</v>
      </c>
      <c r="M1205">
        <v>2737238</v>
      </c>
      <c r="N1205">
        <v>40</v>
      </c>
      <c r="O1205" t="s">
        <v>123</v>
      </c>
      <c r="P1205" t="s">
        <v>50</v>
      </c>
    </row>
    <row r="1206" spans="1:16" x14ac:dyDescent="0.35">
      <c r="A1206" t="s">
        <v>1001</v>
      </c>
      <c r="B1206" t="s">
        <v>4291</v>
      </c>
      <c r="C1206" t="s">
        <v>53</v>
      </c>
      <c r="D1206" t="s">
        <v>36</v>
      </c>
      <c r="E1206" t="s">
        <v>80</v>
      </c>
      <c r="F1206" s="1">
        <v>44589</v>
      </c>
      <c r="G1206">
        <v>2018</v>
      </c>
      <c r="H1206" t="s">
        <v>114</v>
      </c>
      <c r="I1206" t="s">
        <v>95</v>
      </c>
      <c r="J1206" t="s">
        <v>153</v>
      </c>
      <c r="K1206">
        <v>7.7</v>
      </c>
      <c r="L1206">
        <v>10410076</v>
      </c>
      <c r="M1206">
        <v>3536835</v>
      </c>
      <c r="N1206">
        <v>81</v>
      </c>
      <c r="O1206" t="s">
        <v>104</v>
      </c>
      <c r="P1206" t="s">
        <v>4181</v>
      </c>
    </row>
    <row r="1207" spans="1:16" x14ac:dyDescent="0.35">
      <c r="A1207" t="s">
        <v>2568</v>
      </c>
      <c r="B1207" t="s">
        <v>2569</v>
      </c>
      <c r="C1207" t="s">
        <v>53</v>
      </c>
      <c r="D1207" t="s">
        <v>4178</v>
      </c>
      <c r="E1207" t="s">
        <v>69</v>
      </c>
      <c r="F1207" s="1">
        <v>44595</v>
      </c>
      <c r="G1207">
        <v>2001</v>
      </c>
      <c r="H1207" t="s">
        <v>63</v>
      </c>
      <c r="I1207" t="s">
        <v>162</v>
      </c>
      <c r="J1207" t="s">
        <v>4178</v>
      </c>
      <c r="K1207">
        <v>6.5</v>
      </c>
      <c r="L1207">
        <v>2106023</v>
      </c>
      <c r="M1207">
        <v>2933811</v>
      </c>
      <c r="N1207">
        <v>92</v>
      </c>
      <c r="O1207" t="s">
        <v>58</v>
      </c>
      <c r="P1207" t="s">
        <v>4178</v>
      </c>
    </row>
    <row r="1208" spans="1:16" x14ac:dyDescent="0.35">
      <c r="A1208" t="s">
        <v>177</v>
      </c>
      <c r="B1208" t="s">
        <v>178</v>
      </c>
      <c r="C1208" t="s">
        <v>84</v>
      </c>
      <c r="D1208" t="s">
        <v>94</v>
      </c>
      <c r="E1208" t="s">
        <v>55</v>
      </c>
      <c r="F1208" s="1">
        <v>44597</v>
      </c>
      <c r="G1208">
        <v>2009</v>
      </c>
      <c r="H1208" t="s">
        <v>114</v>
      </c>
      <c r="I1208" t="s">
        <v>4198</v>
      </c>
      <c r="J1208" t="s">
        <v>30</v>
      </c>
      <c r="K1208">
        <v>7.9</v>
      </c>
      <c r="L1208">
        <v>823919</v>
      </c>
      <c r="M1208">
        <v>1962812</v>
      </c>
      <c r="N1208">
        <v>85</v>
      </c>
      <c r="O1208" t="s">
        <v>49</v>
      </c>
      <c r="P1208" t="s">
        <v>32</v>
      </c>
    </row>
    <row r="1209" spans="1:16" x14ac:dyDescent="0.35">
      <c r="A1209" t="s">
        <v>1075</v>
      </c>
      <c r="B1209" t="s">
        <v>1076</v>
      </c>
      <c r="C1209" t="s">
        <v>84</v>
      </c>
      <c r="D1209" t="s">
        <v>36</v>
      </c>
      <c r="E1209" t="s">
        <v>4178</v>
      </c>
      <c r="F1209" s="1">
        <v>44601</v>
      </c>
      <c r="G1209">
        <v>2032</v>
      </c>
      <c r="H1209" t="s">
        <v>46</v>
      </c>
      <c r="I1209" t="s">
        <v>4259</v>
      </c>
      <c r="J1209" t="s">
        <v>30</v>
      </c>
      <c r="K1209">
        <v>7.6</v>
      </c>
      <c r="L1209">
        <v>13196688</v>
      </c>
      <c r="M1209">
        <v>3063155</v>
      </c>
      <c r="N1209">
        <v>52</v>
      </c>
      <c r="O1209" t="s">
        <v>58</v>
      </c>
      <c r="P1209" t="s">
        <v>4178</v>
      </c>
    </row>
    <row r="1210" spans="1:16" x14ac:dyDescent="0.35">
      <c r="A1210" t="s">
        <v>1769</v>
      </c>
      <c r="B1210" t="s">
        <v>1770</v>
      </c>
      <c r="C1210" t="s">
        <v>53</v>
      </c>
      <c r="D1210" t="s">
        <v>90</v>
      </c>
      <c r="E1210" t="s">
        <v>69</v>
      </c>
      <c r="F1210" s="1">
        <v>44601</v>
      </c>
      <c r="G1210">
        <v>2010</v>
      </c>
      <c r="H1210" t="s">
        <v>63</v>
      </c>
      <c r="I1210" t="s">
        <v>71</v>
      </c>
      <c r="J1210" t="s">
        <v>96</v>
      </c>
      <c r="K1210">
        <v>7.3</v>
      </c>
      <c r="L1210">
        <v>17733177</v>
      </c>
      <c r="M1210">
        <v>2691968</v>
      </c>
      <c r="N1210">
        <v>41</v>
      </c>
      <c r="O1210" t="s">
        <v>123</v>
      </c>
      <c r="P1210" t="s">
        <v>50</v>
      </c>
    </row>
    <row r="1211" spans="1:16" x14ac:dyDescent="0.35">
      <c r="A1211" t="s">
        <v>3763</v>
      </c>
      <c r="B1211" t="s">
        <v>3764</v>
      </c>
      <c r="C1211" t="s">
        <v>84</v>
      </c>
      <c r="D1211" t="s">
        <v>90</v>
      </c>
      <c r="E1211" t="s">
        <v>55</v>
      </c>
      <c r="F1211" s="1">
        <v>44603</v>
      </c>
      <c r="G1211">
        <v>2012</v>
      </c>
      <c r="H1211" t="s">
        <v>21</v>
      </c>
      <c r="I1211" t="s">
        <v>4189</v>
      </c>
      <c r="J1211" t="s">
        <v>48</v>
      </c>
      <c r="K1211">
        <v>9.5</v>
      </c>
      <c r="L1211">
        <v>274200</v>
      </c>
      <c r="M1211">
        <v>228372</v>
      </c>
      <c r="N1211">
        <v>68</v>
      </c>
      <c r="O1211" t="s">
        <v>65</v>
      </c>
      <c r="P1211" t="s">
        <v>50</v>
      </c>
    </row>
    <row r="1212" spans="1:16" x14ac:dyDescent="0.35">
      <c r="A1212" t="s">
        <v>599</v>
      </c>
      <c r="B1212" t="s">
        <v>4257</v>
      </c>
      <c r="C1212" t="s">
        <v>84</v>
      </c>
      <c r="D1212" t="s">
        <v>61</v>
      </c>
      <c r="E1212" t="s">
        <v>45</v>
      </c>
      <c r="F1212" s="1">
        <v>44608</v>
      </c>
      <c r="G1212">
        <v>2008</v>
      </c>
      <c r="H1212" t="s">
        <v>85</v>
      </c>
      <c r="I1212" t="s">
        <v>4258</v>
      </c>
      <c r="J1212" t="s">
        <v>30</v>
      </c>
      <c r="K1212">
        <v>6.5</v>
      </c>
      <c r="L1212">
        <v>7631651</v>
      </c>
      <c r="M1212">
        <v>106621</v>
      </c>
      <c r="N1212">
        <v>66</v>
      </c>
      <c r="O1212" t="s">
        <v>4178</v>
      </c>
      <c r="P1212" t="s">
        <v>4181</v>
      </c>
    </row>
    <row r="1213" spans="1:16" x14ac:dyDescent="0.35">
      <c r="A1213" t="s">
        <v>3129</v>
      </c>
      <c r="B1213" t="s">
        <v>3130</v>
      </c>
      <c r="C1213" t="s">
        <v>84</v>
      </c>
      <c r="D1213" t="s">
        <v>4178</v>
      </c>
      <c r="E1213" t="s">
        <v>80</v>
      </c>
      <c r="F1213" s="1">
        <v>44612</v>
      </c>
      <c r="G1213">
        <v>2008</v>
      </c>
      <c r="H1213" t="s">
        <v>107</v>
      </c>
      <c r="I1213" t="s">
        <v>4259</v>
      </c>
      <c r="J1213" t="s">
        <v>72</v>
      </c>
      <c r="K1213">
        <v>9.4</v>
      </c>
      <c r="L1213">
        <v>13978724</v>
      </c>
      <c r="M1213">
        <v>3534230</v>
      </c>
      <c r="N1213">
        <v>50</v>
      </c>
      <c r="O1213" t="s">
        <v>4178</v>
      </c>
      <c r="P1213" t="s">
        <v>32</v>
      </c>
    </row>
    <row r="1214" spans="1:16" x14ac:dyDescent="0.35">
      <c r="A1214" t="s">
        <v>111</v>
      </c>
      <c r="B1214" t="s">
        <v>112</v>
      </c>
      <c r="C1214" t="s">
        <v>84</v>
      </c>
      <c r="D1214" t="s">
        <v>19</v>
      </c>
      <c r="E1214" t="s">
        <v>113</v>
      </c>
      <c r="F1214" s="1">
        <v>44614</v>
      </c>
      <c r="G1214">
        <v>2011</v>
      </c>
      <c r="H1214" t="s">
        <v>114</v>
      </c>
      <c r="I1214" t="s">
        <v>4189</v>
      </c>
      <c r="J1214" t="s">
        <v>57</v>
      </c>
      <c r="K1214">
        <v>4.5999999999999996</v>
      </c>
      <c r="L1214">
        <v>20945518</v>
      </c>
      <c r="M1214">
        <v>2479448</v>
      </c>
      <c r="N1214">
        <v>44</v>
      </c>
      <c r="O1214" t="s">
        <v>104</v>
      </c>
      <c r="P1214" t="s">
        <v>4181</v>
      </c>
    </row>
    <row r="1215" spans="1:16" x14ac:dyDescent="0.35">
      <c r="A1215" t="s">
        <v>1415</v>
      </c>
      <c r="B1215" t="s">
        <v>1416</v>
      </c>
      <c r="C1215" t="s">
        <v>84</v>
      </c>
      <c r="D1215" t="s">
        <v>19</v>
      </c>
      <c r="E1215" t="s">
        <v>69</v>
      </c>
      <c r="F1215" s="1">
        <v>44616</v>
      </c>
      <c r="G1215">
        <v>2017</v>
      </c>
      <c r="H1215" t="s">
        <v>21</v>
      </c>
      <c r="I1215" t="s">
        <v>4248</v>
      </c>
      <c r="J1215" t="s">
        <v>96</v>
      </c>
      <c r="K1215">
        <v>8.4</v>
      </c>
      <c r="L1215">
        <v>3495875</v>
      </c>
      <c r="M1215">
        <v>3170920</v>
      </c>
      <c r="N1215">
        <v>95</v>
      </c>
      <c r="O1215" t="s">
        <v>41</v>
      </c>
      <c r="P1215" t="s">
        <v>87</v>
      </c>
    </row>
    <row r="1216" spans="1:16" x14ac:dyDescent="0.35">
      <c r="A1216" t="s">
        <v>2860</v>
      </c>
      <c r="B1216" t="s">
        <v>2861</v>
      </c>
      <c r="C1216" t="s">
        <v>84</v>
      </c>
      <c r="D1216" t="s">
        <v>54</v>
      </c>
      <c r="E1216" t="s">
        <v>20</v>
      </c>
      <c r="F1216" s="1">
        <v>44616</v>
      </c>
      <c r="G1216">
        <v>2026</v>
      </c>
      <c r="H1216" t="s">
        <v>4178</v>
      </c>
      <c r="I1216" t="s">
        <v>4247</v>
      </c>
      <c r="J1216" t="s">
        <v>57</v>
      </c>
      <c r="K1216">
        <v>7.4</v>
      </c>
      <c r="L1216">
        <v>15162991</v>
      </c>
      <c r="M1216">
        <v>1420082</v>
      </c>
      <c r="N1216">
        <v>92</v>
      </c>
      <c r="O1216" t="s">
        <v>104</v>
      </c>
      <c r="P1216" t="s">
        <v>4178</v>
      </c>
    </row>
    <row r="1217" spans="1:16" x14ac:dyDescent="0.35">
      <c r="A1217" t="s">
        <v>1350</v>
      </c>
      <c r="B1217" t="s">
        <v>1351</v>
      </c>
      <c r="C1217" t="s">
        <v>53</v>
      </c>
      <c r="D1217" t="s">
        <v>75</v>
      </c>
      <c r="E1217" t="s">
        <v>99</v>
      </c>
      <c r="F1217" s="1">
        <v>44617</v>
      </c>
      <c r="G1217">
        <v>2020</v>
      </c>
      <c r="H1217" t="s">
        <v>114</v>
      </c>
      <c r="I1217" t="s">
        <v>64</v>
      </c>
      <c r="J1217" t="s">
        <v>23</v>
      </c>
      <c r="K1217">
        <v>5.4</v>
      </c>
      <c r="L1217">
        <v>15772046</v>
      </c>
      <c r="M1217">
        <v>2854448</v>
      </c>
      <c r="N1217">
        <v>84</v>
      </c>
      <c r="O1217" t="s">
        <v>41</v>
      </c>
      <c r="P1217" t="s">
        <v>4181</v>
      </c>
    </row>
    <row r="1218" spans="1:16" x14ac:dyDescent="0.35">
      <c r="A1218" t="s">
        <v>3325</v>
      </c>
      <c r="B1218" t="s">
        <v>3326</v>
      </c>
      <c r="C1218" t="s">
        <v>84</v>
      </c>
      <c r="D1218" t="s">
        <v>75</v>
      </c>
      <c r="E1218" t="s">
        <v>99</v>
      </c>
      <c r="F1218" s="1">
        <v>44622</v>
      </c>
      <c r="G1218">
        <v>2018</v>
      </c>
      <c r="H1218" t="s">
        <v>107</v>
      </c>
      <c r="I1218" t="s">
        <v>4246</v>
      </c>
      <c r="J1218" t="s">
        <v>133</v>
      </c>
      <c r="K1218">
        <v>9.4</v>
      </c>
      <c r="L1218">
        <v>16714768</v>
      </c>
      <c r="M1218">
        <v>1592816</v>
      </c>
      <c r="N1218">
        <v>49</v>
      </c>
      <c r="O1218" t="s">
        <v>104</v>
      </c>
      <c r="P1218" t="s">
        <v>4181</v>
      </c>
    </row>
    <row r="1219" spans="1:16" x14ac:dyDescent="0.35">
      <c r="A1219" t="s">
        <v>2121</v>
      </c>
      <c r="B1219" t="s">
        <v>2122</v>
      </c>
      <c r="C1219" t="s">
        <v>53</v>
      </c>
      <c r="D1219" t="s">
        <v>75</v>
      </c>
      <c r="E1219" t="s">
        <v>99</v>
      </c>
      <c r="F1219" s="1">
        <v>44624</v>
      </c>
      <c r="G1219">
        <v>2010</v>
      </c>
      <c r="H1219" t="s">
        <v>63</v>
      </c>
      <c r="I1219" t="s">
        <v>64</v>
      </c>
      <c r="J1219" t="s">
        <v>23</v>
      </c>
      <c r="K1219">
        <v>7.1</v>
      </c>
      <c r="L1219">
        <v>608700</v>
      </c>
      <c r="M1219">
        <v>2990355</v>
      </c>
      <c r="N1219">
        <v>99</v>
      </c>
      <c r="O1219" t="s">
        <v>104</v>
      </c>
      <c r="P1219" t="s">
        <v>32</v>
      </c>
    </row>
    <row r="1220" spans="1:16" x14ac:dyDescent="0.35">
      <c r="A1220" t="s">
        <v>617</v>
      </c>
      <c r="B1220" t="s">
        <v>618</v>
      </c>
      <c r="C1220" t="s">
        <v>84</v>
      </c>
      <c r="D1220" t="s">
        <v>156</v>
      </c>
      <c r="E1220" t="s">
        <v>4196</v>
      </c>
      <c r="F1220" s="1">
        <v>44625</v>
      </c>
      <c r="G1220">
        <v>2020</v>
      </c>
      <c r="H1220" t="s">
        <v>81</v>
      </c>
      <c r="I1220" t="s">
        <v>4208</v>
      </c>
      <c r="J1220" t="s">
        <v>40</v>
      </c>
      <c r="K1220">
        <v>8.3000000000000007</v>
      </c>
      <c r="L1220">
        <v>7649576</v>
      </c>
      <c r="M1220">
        <v>1353469</v>
      </c>
      <c r="N1220">
        <v>62</v>
      </c>
      <c r="O1220" t="s">
        <v>4178</v>
      </c>
      <c r="P1220" t="s">
        <v>32</v>
      </c>
    </row>
    <row r="1221" spans="1:16" x14ac:dyDescent="0.35">
      <c r="A1221" t="s">
        <v>1150</v>
      </c>
      <c r="B1221" t="s">
        <v>1151</v>
      </c>
      <c r="C1221" t="s">
        <v>4178</v>
      </c>
      <c r="D1221" t="s">
        <v>36</v>
      </c>
      <c r="E1221" t="s">
        <v>113</v>
      </c>
      <c r="F1221" s="1">
        <v>44629</v>
      </c>
      <c r="G1221">
        <v>2016</v>
      </c>
      <c r="H1221" t="s">
        <v>4178</v>
      </c>
      <c r="I1221" t="s">
        <v>71</v>
      </c>
      <c r="J1221" t="s">
        <v>4178</v>
      </c>
      <c r="K1221">
        <v>6.5</v>
      </c>
      <c r="L1221">
        <v>13643465</v>
      </c>
      <c r="M1221">
        <v>3648546</v>
      </c>
      <c r="N1221">
        <v>59</v>
      </c>
      <c r="O1221" t="s">
        <v>24</v>
      </c>
      <c r="P1221" t="s">
        <v>50</v>
      </c>
    </row>
    <row r="1222" spans="1:16" x14ac:dyDescent="0.35">
      <c r="A1222" t="s">
        <v>2838</v>
      </c>
      <c r="B1222" t="s">
        <v>2839</v>
      </c>
      <c r="C1222" t="s">
        <v>4178</v>
      </c>
      <c r="D1222" t="s">
        <v>36</v>
      </c>
      <c r="E1222" t="s">
        <v>4178</v>
      </c>
      <c r="F1222" s="1">
        <v>44630</v>
      </c>
      <c r="G1222">
        <v>2017</v>
      </c>
      <c r="H1222" t="s">
        <v>85</v>
      </c>
      <c r="I1222" t="s">
        <v>64</v>
      </c>
      <c r="J1222" t="s">
        <v>153</v>
      </c>
      <c r="K1222">
        <v>9.3000000000000007</v>
      </c>
      <c r="L1222">
        <v>5967787</v>
      </c>
      <c r="M1222">
        <v>3022425</v>
      </c>
      <c r="N1222">
        <v>61</v>
      </c>
      <c r="O1222" t="s">
        <v>123</v>
      </c>
      <c r="P1222" t="s">
        <v>4178</v>
      </c>
    </row>
    <row r="1223" spans="1:16" x14ac:dyDescent="0.35">
      <c r="A1223" t="s">
        <v>2852</v>
      </c>
      <c r="B1223" t="s">
        <v>2853</v>
      </c>
      <c r="C1223" t="s">
        <v>4178</v>
      </c>
      <c r="D1223" t="s">
        <v>19</v>
      </c>
      <c r="E1223" t="s">
        <v>99</v>
      </c>
      <c r="F1223" s="1">
        <v>44631</v>
      </c>
      <c r="G1223">
        <v>2010</v>
      </c>
      <c r="H1223" t="s">
        <v>114</v>
      </c>
      <c r="I1223" t="s">
        <v>39</v>
      </c>
      <c r="J1223" t="s">
        <v>57</v>
      </c>
      <c r="K1223">
        <v>6.2</v>
      </c>
      <c r="L1223">
        <v>8401445</v>
      </c>
      <c r="M1223">
        <v>16670</v>
      </c>
      <c r="N1223">
        <v>96</v>
      </c>
      <c r="O1223" t="s">
        <v>104</v>
      </c>
      <c r="P1223" t="s">
        <v>4178</v>
      </c>
    </row>
    <row r="1224" spans="1:16" x14ac:dyDescent="0.35">
      <c r="A1224" t="s">
        <v>936</v>
      </c>
      <c r="B1224" t="s">
        <v>937</v>
      </c>
      <c r="C1224" t="s">
        <v>84</v>
      </c>
      <c r="D1224" t="s">
        <v>75</v>
      </c>
      <c r="E1224" t="s">
        <v>69</v>
      </c>
      <c r="F1224" s="1">
        <v>44632</v>
      </c>
      <c r="G1224">
        <v>2022</v>
      </c>
      <c r="H1224" t="s">
        <v>107</v>
      </c>
      <c r="I1224" t="s">
        <v>4193</v>
      </c>
      <c r="J1224" t="s">
        <v>4178</v>
      </c>
      <c r="K1224">
        <v>7.3</v>
      </c>
      <c r="L1224">
        <v>23347074</v>
      </c>
      <c r="M1224">
        <v>3951468</v>
      </c>
      <c r="N1224">
        <v>59</v>
      </c>
      <c r="O1224" t="s">
        <v>123</v>
      </c>
      <c r="P1224" t="s">
        <v>87</v>
      </c>
    </row>
    <row r="1225" spans="1:16" x14ac:dyDescent="0.35">
      <c r="A1225" t="s">
        <v>1812</v>
      </c>
      <c r="B1225" t="s">
        <v>1813</v>
      </c>
      <c r="C1225" t="s">
        <v>84</v>
      </c>
      <c r="D1225" t="s">
        <v>75</v>
      </c>
      <c r="E1225" t="s">
        <v>99</v>
      </c>
      <c r="F1225" s="1">
        <v>44632</v>
      </c>
      <c r="G1225">
        <v>2004</v>
      </c>
      <c r="H1225" t="s">
        <v>81</v>
      </c>
      <c r="I1225" t="s">
        <v>4210</v>
      </c>
      <c r="J1225" t="s">
        <v>103</v>
      </c>
      <c r="K1225">
        <v>6.7</v>
      </c>
      <c r="L1225">
        <v>14552762</v>
      </c>
      <c r="M1225">
        <v>3863701</v>
      </c>
      <c r="N1225">
        <v>44</v>
      </c>
      <c r="O1225" t="s">
        <v>123</v>
      </c>
      <c r="P1225" t="s">
        <v>4178</v>
      </c>
    </row>
    <row r="1226" spans="1:16" x14ac:dyDescent="0.35">
      <c r="A1226" t="s">
        <v>2004</v>
      </c>
      <c r="B1226" t="s">
        <v>2005</v>
      </c>
      <c r="C1226" t="s">
        <v>84</v>
      </c>
      <c r="D1226" t="s">
        <v>4178</v>
      </c>
      <c r="E1226" t="s">
        <v>45</v>
      </c>
      <c r="F1226" s="1">
        <v>44633</v>
      </c>
      <c r="G1226">
        <v>2017</v>
      </c>
      <c r="H1226" t="s">
        <v>121</v>
      </c>
      <c r="I1226" t="s">
        <v>4223</v>
      </c>
      <c r="J1226" t="s">
        <v>40</v>
      </c>
      <c r="K1226">
        <v>6</v>
      </c>
      <c r="L1226">
        <v>10037193</v>
      </c>
      <c r="M1226">
        <v>2755457</v>
      </c>
      <c r="N1226">
        <v>98</v>
      </c>
      <c r="O1226" t="s">
        <v>4178</v>
      </c>
      <c r="P1226" t="s">
        <v>50</v>
      </c>
    </row>
    <row r="1227" spans="1:16" x14ac:dyDescent="0.35">
      <c r="A1227" t="s">
        <v>313</v>
      </c>
      <c r="B1227" t="s">
        <v>314</v>
      </c>
      <c r="C1227" t="s">
        <v>84</v>
      </c>
      <c r="D1227" t="s">
        <v>75</v>
      </c>
      <c r="E1227" t="s">
        <v>45</v>
      </c>
      <c r="F1227" s="1">
        <v>44634</v>
      </c>
      <c r="G1227">
        <v>2012</v>
      </c>
      <c r="H1227" t="s">
        <v>107</v>
      </c>
      <c r="I1227" t="s">
        <v>4224</v>
      </c>
      <c r="J1227" t="s">
        <v>72</v>
      </c>
      <c r="K1227">
        <v>5.0999999999999996</v>
      </c>
      <c r="L1227">
        <v>14990002</v>
      </c>
      <c r="M1227">
        <v>4306990</v>
      </c>
      <c r="N1227">
        <v>120</v>
      </c>
      <c r="O1227" t="s">
        <v>65</v>
      </c>
      <c r="P1227" t="s">
        <v>4181</v>
      </c>
    </row>
    <row r="1228" spans="1:16" x14ac:dyDescent="0.35">
      <c r="A1228" t="s">
        <v>1223</v>
      </c>
      <c r="B1228" t="s">
        <v>1224</v>
      </c>
      <c r="C1228" t="s">
        <v>84</v>
      </c>
      <c r="D1228" t="s">
        <v>90</v>
      </c>
      <c r="E1228" t="s">
        <v>4178</v>
      </c>
      <c r="F1228" s="1">
        <v>44638</v>
      </c>
      <c r="G1228">
        <v>2013</v>
      </c>
      <c r="H1228" t="s">
        <v>38</v>
      </c>
      <c r="I1228" t="s">
        <v>4303</v>
      </c>
      <c r="J1228" t="s">
        <v>57</v>
      </c>
      <c r="K1228">
        <v>7.2</v>
      </c>
      <c r="L1228">
        <v>4170125</v>
      </c>
      <c r="M1228">
        <v>2328227</v>
      </c>
      <c r="N1228">
        <v>58</v>
      </c>
      <c r="O1228" t="s">
        <v>65</v>
      </c>
      <c r="P1228" t="s">
        <v>50</v>
      </c>
    </row>
    <row r="1229" spans="1:16" x14ac:dyDescent="0.35">
      <c r="A1229" t="s">
        <v>3886</v>
      </c>
      <c r="B1229" t="s">
        <v>3887</v>
      </c>
      <c r="C1229" t="s">
        <v>53</v>
      </c>
      <c r="D1229" t="s">
        <v>27</v>
      </c>
      <c r="E1229" t="s">
        <v>55</v>
      </c>
      <c r="F1229" s="1">
        <v>44640</v>
      </c>
      <c r="G1229">
        <v>2001</v>
      </c>
      <c r="H1229" t="s">
        <v>114</v>
      </c>
      <c r="I1229" t="s">
        <v>162</v>
      </c>
      <c r="J1229" t="s">
        <v>40</v>
      </c>
      <c r="K1229">
        <v>5.9</v>
      </c>
      <c r="L1229">
        <v>4755600</v>
      </c>
      <c r="M1229">
        <v>3320459</v>
      </c>
      <c r="N1229">
        <v>89</v>
      </c>
      <c r="O1229" t="s">
        <v>58</v>
      </c>
      <c r="P1229" t="s">
        <v>50</v>
      </c>
    </row>
    <row r="1230" spans="1:16" x14ac:dyDescent="0.35">
      <c r="A1230" t="s">
        <v>2395</v>
      </c>
      <c r="B1230" t="s">
        <v>2396</v>
      </c>
      <c r="C1230" t="s">
        <v>4178</v>
      </c>
      <c r="D1230" t="s">
        <v>4178</v>
      </c>
      <c r="E1230" t="s">
        <v>4178</v>
      </c>
      <c r="F1230" s="1">
        <v>44641</v>
      </c>
      <c r="G1230">
        <v>2021</v>
      </c>
      <c r="H1230" t="s">
        <v>121</v>
      </c>
      <c r="I1230" t="s">
        <v>162</v>
      </c>
      <c r="J1230" t="s">
        <v>153</v>
      </c>
      <c r="K1230">
        <v>11.2</v>
      </c>
      <c r="L1230">
        <v>7132630</v>
      </c>
      <c r="M1230">
        <v>290736</v>
      </c>
      <c r="N1230">
        <v>49</v>
      </c>
      <c r="O1230" t="s">
        <v>104</v>
      </c>
      <c r="P1230" t="s">
        <v>4181</v>
      </c>
    </row>
    <row r="1231" spans="1:16" x14ac:dyDescent="0.35">
      <c r="A1231" t="s">
        <v>686</v>
      </c>
      <c r="B1231" t="s">
        <v>687</v>
      </c>
      <c r="C1231" t="s">
        <v>53</v>
      </c>
      <c r="D1231" t="s">
        <v>54</v>
      </c>
      <c r="E1231" t="s">
        <v>20</v>
      </c>
      <c r="F1231" s="1">
        <v>44642</v>
      </c>
      <c r="G1231">
        <v>2018</v>
      </c>
      <c r="H1231" t="s">
        <v>85</v>
      </c>
      <c r="I1231" t="s">
        <v>64</v>
      </c>
      <c r="J1231" t="s">
        <v>30</v>
      </c>
      <c r="K1231">
        <v>6.9</v>
      </c>
      <c r="L1231">
        <v>14791001</v>
      </c>
      <c r="M1231">
        <v>2612598</v>
      </c>
      <c r="N1231">
        <v>98</v>
      </c>
      <c r="O1231" t="s">
        <v>41</v>
      </c>
      <c r="P1231" t="s">
        <v>87</v>
      </c>
    </row>
    <row r="1232" spans="1:16" x14ac:dyDescent="0.35">
      <c r="A1232" t="s">
        <v>3956</v>
      </c>
      <c r="B1232" t="s">
        <v>3957</v>
      </c>
      <c r="C1232" t="s">
        <v>4178</v>
      </c>
      <c r="D1232" t="s">
        <v>156</v>
      </c>
      <c r="E1232" t="s">
        <v>69</v>
      </c>
      <c r="F1232" s="1">
        <v>44644</v>
      </c>
      <c r="G1232">
        <v>2025</v>
      </c>
      <c r="H1232" t="s">
        <v>38</v>
      </c>
      <c r="I1232" t="s">
        <v>162</v>
      </c>
      <c r="J1232" t="s">
        <v>72</v>
      </c>
      <c r="K1232">
        <v>7</v>
      </c>
      <c r="L1232">
        <v>9126528</v>
      </c>
      <c r="M1232">
        <v>2336714</v>
      </c>
      <c r="N1232">
        <v>54</v>
      </c>
      <c r="O1232" t="s">
        <v>41</v>
      </c>
      <c r="P1232" t="s">
        <v>4178</v>
      </c>
    </row>
    <row r="1233" spans="1:16" x14ac:dyDescent="0.35">
      <c r="A1233" t="s">
        <v>1190</v>
      </c>
      <c r="B1233" t="s">
        <v>1191</v>
      </c>
      <c r="C1233" t="s">
        <v>53</v>
      </c>
      <c r="D1233" t="s">
        <v>94</v>
      </c>
      <c r="E1233" t="s">
        <v>4196</v>
      </c>
      <c r="F1233" s="1">
        <v>44647</v>
      </c>
      <c r="G1233">
        <v>2024</v>
      </c>
      <c r="H1233" t="s">
        <v>21</v>
      </c>
      <c r="I1233" t="s">
        <v>162</v>
      </c>
      <c r="J1233" t="s">
        <v>30</v>
      </c>
      <c r="K1233">
        <v>7.6</v>
      </c>
      <c r="L1233">
        <v>18465299</v>
      </c>
      <c r="M1233">
        <v>2557238</v>
      </c>
      <c r="N1233">
        <v>50</v>
      </c>
      <c r="O1233" t="s">
        <v>4178</v>
      </c>
      <c r="P1233" t="s">
        <v>32</v>
      </c>
    </row>
    <row r="1234" spans="1:16" x14ac:dyDescent="0.35">
      <c r="A1234" t="s">
        <v>3267</v>
      </c>
      <c r="B1234" t="s">
        <v>3268</v>
      </c>
      <c r="C1234" t="s">
        <v>84</v>
      </c>
      <c r="D1234" t="s">
        <v>4178</v>
      </c>
      <c r="E1234" t="s">
        <v>37</v>
      </c>
      <c r="F1234" s="1">
        <v>44651</v>
      </c>
      <c r="G1234">
        <v>2015</v>
      </c>
      <c r="H1234" t="s">
        <v>46</v>
      </c>
      <c r="I1234" t="s">
        <v>4241</v>
      </c>
      <c r="J1234" t="s">
        <v>4178</v>
      </c>
      <c r="K1234">
        <v>6</v>
      </c>
      <c r="L1234">
        <v>18740698</v>
      </c>
      <c r="M1234">
        <v>3345192</v>
      </c>
      <c r="N1234">
        <v>70</v>
      </c>
      <c r="O1234" t="s">
        <v>58</v>
      </c>
      <c r="P1234" t="s">
        <v>50</v>
      </c>
    </row>
    <row r="1235" spans="1:16" x14ac:dyDescent="0.35">
      <c r="A1235" t="s">
        <v>2143</v>
      </c>
      <c r="B1235" t="s">
        <v>2144</v>
      </c>
      <c r="C1235" t="s">
        <v>84</v>
      </c>
      <c r="D1235" t="s">
        <v>61</v>
      </c>
      <c r="E1235" t="s">
        <v>113</v>
      </c>
      <c r="F1235" s="1">
        <v>44653</v>
      </c>
      <c r="G1235">
        <v>2022</v>
      </c>
      <c r="H1235" t="s">
        <v>107</v>
      </c>
      <c r="I1235" t="s">
        <v>4199</v>
      </c>
      <c r="J1235" t="s">
        <v>4178</v>
      </c>
      <c r="K1235">
        <v>4.5</v>
      </c>
      <c r="L1235">
        <v>1998007</v>
      </c>
      <c r="M1235">
        <v>1037038</v>
      </c>
      <c r="N1235">
        <v>43</v>
      </c>
      <c r="O1235" t="s">
        <v>123</v>
      </c>
      <c r="P1235" t="s">
        <v>50</v>
      </c>
    </row>
    <row r="1236" spans="1:16" x14ac:dyDescent="0.35">
      <c r="A1236" t="s">
        <v>1255</v>
      </c>
      <c r="B1236" t="s">
        <v>1256</v>
      </c>
      <c r="C1236" t="s">
        <v>84</v>
      </c>
      <c r="D1236" t="s">
        <v>36</v>
      </c>
      <c r="E1236" t="s">
        <v>4196</v>
      </c>
      <c r="F1236" s="1">
        <v>44655</v>
      </c>
      <c r="G1236">
        <v>2018</v>
      </c>
      <c r="H1236" t="s">
        <v>21</v>
      </c>
      <c r="I1236" t="s">
        <v>4236</v>
      </c>
      <c r="J1236" t="s">
        <v>30</v>
      </c>
      <c r="K1236">
        <v>8.8000000000000007</v>
      </c>
      <c r="L1236">
        <v>12918627</v>
      </c>
      <c r="M1236">
        <v>4651475</v>
      </c>
      <c r="N1236">
        <v>73</v>
      </c>
      <c r="O1236" t="s">
        <v>49</v>
      </c>
      <c r="P1236" t="s">
        <v>87</v>
      </c>
    </row>
    <row r="1237" spans="1:16" x14ac:dyDescent="0.35">
      <c r="A1237" t="s">
        <v>1998</v>
      </c>
      <c r="B1237" t="s">
        <v>1999</v>
      </c>
      <c r="C1237" t="s">
        <v>53</v>
      </c>
      <c r="D1237" t="s">
        <v>61</v>
      </c>
      <c r="E1237" t="s">
        <v>4178</v>
      </c>
      <c r="F1237" s="1">
        <v>44655</v>
      </c>
      <c r="G1237">
        <v>2024</v>
      </c>
      <c r="H1237" t="s">
        <v>85</v>
      </c>
      <c r="I1237" t="s">
        <v>162</v>
      </c>
      <c r="J1237" t="s">
        <v>72</v>
      </c>
      <c r="K1237">
        <v>5.3</v>
      </c>
      <c r="L1237">
        <v>2883530</v>
      </c>
      <c r="M1237">
        <v>4130147</v>
      </c>
      <c r="N1237">
        <v>71</v>
      </c>
      <c r="O1237" t="s">
        <v>24</v>
      </c>
      <c r="P1237" t="s">
        <v>50</v>
      </c>
    </row>
    <row r="1238" spans="1:16" x14ac:dyDescent="0.35">
      <c r="A1238" t="s">
        <v>822</v>
      </c>
      <c r="B1238" t="s">
        <v>4279</v>
      </c>
      <c r="C1238" t="s">
        <v>53</v>
      </c>
      <c r="D1238" t="s">
        <v>4178</v>
      </c>
      <c r="E1238" t="s">
        <v>28</v>
      </c>
      <c r="F1238" s="1">
        <v>44657</v>
      </c>
      <c r="G1238">
        <v>2007</v>
      </c>
      <c r="H1238" t="s">
        <v>4178</v>
      </c>
      <c r="I1238" t="s">
        <v>71</v>
      </c>
      <c r="J1238" t="s">
        <v>48</v>
      </c>
      <c r="K1238">
        <v>9.1</v>
      </c>
      <c r="L1238">
        <v>14919264</v>
      </c>
      <c r="M1238">
        <v>3251204</v>
      </c>
      <c r="N1238">
        <v>51</v>
      </c>
      <c r="O1238" t="s">
        <v>41</v>
      </c>
      <c r="P1238" t="s">
        <v>87</v>
      </c>
    </row>
    <row r="1239" spans="1:16" x14ac:dyDescent="0.35">
      <c r="A1239" t="s">
        <v>1880</v>
      </c>
      <c r="B1239" t="s">
        <v>1881</v>
      </c>
      <c r="C1239" t="s">
        <v>84</v>
      </c>
      <c r="D1239" t="s">
        <v>94</v>
      </c>
      <c r="E1239" t="s">
        <v>131</v>
      </c>
      <c r="F1239" s="1">
        <v>44658</v>
      </c>
      <c r="G1239">
        <v>2016</v>
      </c>
      <c r="H1239" t="s">
        <v>46</v>
      </c>
      <c r="I1239" t="s">
        <v>4296</v>
      </c>
      <c r="J1239" t="s">
        <v>72</v>
      </c>
      <c r="K1239">
        <v>4.7</v>
      </c>
      <c r="L1239">
        <v>13590096</v>
      </c>
      <c r="M1239">
        <v>183846</v>
      </c>
      <c r="N1239">
        <v>55</v>
      </c>
      <c r="O1239" t="s">
        <v>91</v>
      </c>
      <c r="P1239" t="s">
        <v>32</v>
      </c>
    </row>
    <row r="1240" spans="1:16" x14ac:dyDescent="0.35">
      <c r="A1240" t="s">
        <v>3860</v>
      </c>
      <c r="B1240" t="s">
        <v>3861</v>
      </c>
      <c r="C1240" t="s">
        <v>53</v>
      </c>
      <c r="D1240" t="s">
        <v>90</v>
      </c>
      <c r="E1240" t="s">
        <v>62</v>
      </c>
      <c r="F1240" s="1">
        <v>44658</v>
      </c>
      <c r="G1240">
        <v>2006</v>
      </c>
      <c r="H1240" t="s">
        <v>121</v>
      </c>
      <c r="I1240" t="s">
        <v>95</v>
      </c>
      <c r="J1240" t="s">
        <v>72</v>
      </c>
      <c r="K1240">
        <v>9.6999999999999993</v>
      </c>
      <c r="L1240">
        <v>1634448</v>
      </c>
      <c r="M1240">
        <v>735306</v>
      </c>
      <c r="N1240">
        <v>94</v>
      </c>
      <c r="O1240" t="s">
        <v>31</v>
      </c>
      <c r="P1240" t="s">
        <v>4178</v>
      </c>
    </row>
    <row r="1241" spans="1:16" x14ac:dyDescent="0.35">
      <c r="A1241" t="s">
        <v>1792</v>
      </c>
      <c r="B1241" t="s">
        <v>1793</v>
      </c>
      <c r="C1241" t="s">
        <v>84</v>
      </c>
      <c r="D1241" t="s">
        <v>4178</v>
      </c>
      <c r="E1241" t="s">
        <v>4178</v>
      </c>
      <c r="F1241" s="1">
        <v>44659</v>
      </c>
      <c r="G1241">
        <v>2011</v>
      </c>
      <c r="H1241" t="s">
        <v>4178</v>
      </c>
      <c r="I1241" t="s">
        <v>4223</v>
      </c>
      <c r="J1241" t="s">
        <v>23</v>
      </c>
      <c r="K1241">
        <v>8.4</v>
      </c>
      <c r="L1241">
        <v>22626772</v>
      </c>
      <c r="M1241">
        <v>358818</v>
      </c>
      <c r="N1241">
        <v>71</v>
      </c>
      <c r="O1241" t="s">
        <v>24</v>
      </c>
      <c r="P1241" t="s">
        <v>32</v>
      </c>
    </row>
    <row r="1242" spans="1:16" x14ac:dyDescent="0.35">
      <c r="A1242" t="s">
        <v>3580</v>
      </c>
      <c r="B1242" t="s">
        <v>3581</v>
      </c>
      <c r="C1242" t="s">
        <v>84</v>
      </c>
      <c r="D1242" t="s">
        <v>94</v>
      </c>
      <c r="E1242" t="s">
        <v>28</v>
      </c>
      <c r="F1242" s="1">
        <v>44667</v>
      </c>
      <c r="G1242">
        <v>2002</v>
      </c>
      <c r="H1242" t="s">
        <v>21</v>
      </c>
      <c r="I1242" t="s">
        <v>4260</v>
      </c>
      <c r="J1242" t="s">
        <v>30</v>
      </c>
      <c r="K1242">
        <v>5.7</v>
      </c>
      <c r="L1242">
        <v>11934150</v>
      </c>
      <c r="M1242">
        <v>2272298</v>
      </c>
      <c r="N1242">
        <v>51</v>
      </c>
      <c r="O1242" t="s">
        <v>24</v>
      </c>
      <c r="P1242" t="s">
        <v>4178</v>
      </c>
    </row>
    <row r="1243" spans="1:16" x14ac:dyDescent="0.35">
      <c r="A1243" t="s">
        <v>625</v>
      </c>
      <c r="B1243" t="s">
        <v>626</v>
      </c>
      <c r="C1243" t="s">
        <v>84</v>
      </c>
      <c r="D1243" t="s">
        <v>19</v>
      </c>
      <c r="E1243" t="s">
        <v>99</v>
      </c>
      <c r="F1243" s="1">
        <v>44668</v>
      </c>
      <c r="G1243">
        <v>2015</v>
      </c>
      <c r="H1243" t="s">
        <v>46</v>
      </c>
      <c r="I1243" t="s">
        <v>4260</v>
      </c>
      <c r="J1243" t="s">
        <v>153</v>
      </c>
      <c r="K1243">
        <v>7.5</v>
      </c>
      <c r="L1243">
        <v>572291</v>
      </c>
      <c r="M1243">
        <v>3108852</v>
      </c>
      <c r="N1243">
        <v>44</v>
      </c>
      <c r="O1243" t="s">
        <v>41</v>
      </c>
      <c r="P1243" t="s">
        <v>4178</v>
      </c>
    </row>
    <row r="1244" spans="1:16" x14ac:dyDescent="0.35">
      <c r="A1244" t="s">
        <v>3890</v>
      </c>
      <c r="B1244" t="s">
        <v>3889</v>
      </c>
      <c r="C1244" t="s">
        <v>84</v>
      </c>
      <c r="D1244" t="s">
        <v>36</v>
      </c>
      <c r="E1244" t="s">
        <v>131</v>
      </c>
      <c r="F1244" s="1">
        <v>44668</v>
      </c>
      <c r="G1244">
        <v>2025</v>
      </c>
      <c r="H1244" t="s">
        <v>121</v>
      </c>
      <c r="I1244" t="s">
        <v>4321</v>
      </c>
      <c r="J1244" t="s">
        <v>103</v>
      </c>
      <c r="K1244">
        <v>6.7</v>
      </c>
      <c r="L1244">
        <v>23913360</v>
      </c>
      <c r="M1244">
        <v>3670726</v>
      </c>
      <c r="N1244">
        <v>95</v>
      </c>
      <c r="O1244" t="s">
        <v>4178</v>
      </c>
      <c r="P1244" t="s">
        <v>87</v>
      </c>
    </row>
    <row r="1245" spans="1:16" x14ac:dyDescent="0.35">
      <c r="A1245" t="s">
        <v>3482</v>
      </c>
      <c r="B1245" t="s">
        <v>3483</v>
      </c>
      <c r="C1245" t="s">
        <v>84</v>
      </c>
      <c r="D1245" t="s">
        <v>36</v>
      </c>
      <c r="E1245" t="s">
        <v>4196</v>
      </c>
      <c r="F1245" s="1">
        <v>44670</v>
      </c>
      <c r="G1245">
        <v>2007</v>
      </c>
      <c r="H1245" t="s">
        <v>21</v>
      </c>
      <c r="I1245" t="s">
        <v>4301</v>
      </c>
      <c r="J1245" t="s">
        <v>30</v>
      </c>
      <c r="K1245">
        <v>8.1</v>
      </c>
      <c r="L1245">
        <v>10687857</v>
      </c>
      <c r="M1245">
        <v>4289848</v>
      </c>
      <c r="N1245">
        <v>62</v>
      </c>
      <c r="O1245" t="s">
        <v>123</v>
      </c>
      <c r="P1245" t="s">
        <v>4178</v>
      </c>
    </row>
    <row r="1246" spans="1:16" x14ac:dyDescent="0.35">
      <c r="A1246" t="s">
        <v>3638</v>
      </c>
      <c r="B1246" t="s">
        <v>3639</v>
      </c>
      <c r="C1246" t="s">
        <v>53</v>
      </c>
      <c r="D1246" t="s">
        <v>94</v>
      </c>
      <c r="E1246" t="s">
        <v>4178</v>
      </c>
      <c r="F1246" s="1">
        <v>44670</v>
      </c>
      <c r="G1246">
        <v>2006</v>
      </c>
      <c r="H1246" t="s">
        <v>107</v>
      </c>
      <c r="I1246" t="s">
        <v>162</v>
      </c>
      <c r="J1246" t="s">
        <v>40</v>
      </c>
      <c r="K1246">
        <v>7.6</v>
      </c>
      <c r="L1246">
        <v>21436429</v>
      </c>
      <c r="M1246">
        <v>3465696</v>
      </c>
      <c r="N1246">
        <v>74</v>
      </c>
      <c r="O1246" t="s">
        <v>104</v>
      </c>
      <c r="P1246" t="s">
        <v>87</v>
      </c>
    </row>
    <row r="1247" spans="1:16" x14ac:dyDescent="0.35">
      <c r="A1247" t="s">
        <v>3968</v>
      </c>
      <c r="B1247" t="s">
        <v>3969</v>
      </c>
      <c r="C1247" t="s">
        <v>84</v>
      </c>
      <c r="D1247" t="s">
        <v>36</v>
      </c>
      <c r="E1247" t="s">
        <v>55</v>
      </c>
      <c r="F1247" s="1">
        <v>44676</v>
      </c>
      <c r="G1247">
        <v>2009</v>
      </c>
      <c r="H1247" t="s">
        <v>4178</v>
      </c>
      <c r="I1247" t="s">
        <v>4185</v>
      </c>
      <c r="J1247" t="s">
        <v>4178</v>
      </c>
      <c r="K1247">
        <v>7.9</v>
      </c>
      <c r="L1247">
        <v>17070320</v>
      </c>
      <c r="M1247">
        <v>390714</v>
      </c>
      <c r="N1247">
        <v>78</v>
      </c>
      <c r="O1247" t="s">
        <v>65</v>
      </c>
      <c r="P1247" t="s">
        <v>87</v>
      </c>
    </row>
    <row r="1248" spans="1:16" x14ac:dyDescent="0.35">
      <c r="A1248" t="s">
        <v>2874</v>
      </c>
      <c r="B1248" t="s">
        <v>2875</v>
      </c>
      <c r="C1248" t="s">
        <v>4178</v>
      </c>
      <c r="D1248" t="s">
        <v>156</v>
      </c>
      <c r="E1248" t="s">
        <v>131</v>
      </c>
      <c r="F1248" s="1">
        <v>44683</v>
      </c>
      <c r="G1248">
        <v>2017</v>
      </c>
      <c r="H1248" t="s">
        <v>46</v>
      </c>
      <c r="I1248" t="s">
        <v>64</v>
      </c>
      <c r="J1248" t="s">
        <v>96</v>
      </c>
      <c r="K1248">
        <v>7.1</v>
      </c>
      <c r="L1248">
        <v>9563655</v>
      </c>
      <c r="M1248">
        <v>1409098</v>
      </c>
      <c r="N1248">
        <v>89</v>
      </c>
      <c r="O1248" t="s">
        <v>91</v>
      </c>
      <c r="P1248" t="s">
        <v>32</v>
      </c>
    </row>
    <row r="1249" spans="1:16" x14ac:dyDescent="0.35">
      <c r="A1249" t="s">
        <v>3037</v>
      </c>
      <c r="B1249" t="s">
        <v>3038</v>
      </c>
      <c r="C1249" t="s">
        <v>53</v>
      </c>
      <c r="D1249" t="s">
        <v>19</v>
      </c>
      <c r="E1249" t="s">
        <v>113</v>
      </c>
      <c r="F1249" s="1">
        <v>44683</v>
      </c>
      <c r="G1249">
        <v>2026</v>
      </c>
      <c r="H1249" t="s">
        <v>107</v>
      </c>
      <c r="I1249" t="s">
        <v>118</v>
      </c>
      <c r="J1249" t="s">
        <v>133</v>
      </c>
      <c r="K1249">
        <v>7.5</v>
      </c>
      <c r="L1249">
        <v>1573776</v>
      </c>
      <c r="M1249">
        <v>3020378</v>
      </c>
      <c r="N1249">
        <v>56</v>
      </c>
      <c r="O1249" t="s">
        <v>104</v>
      </c>
      <c r="P1249" t="s">
        <v>87</v>
      </c>
    </row>
    <row r="1250" spans="1:16" x14ac:dyDescent="0.35">
      <c r="A1250" t="s">
        <v>1471</v>
      </c>
      <c r="B1250" t="s">
        <v>1472</v>
      </c>
      <c r="C1250" t="s">
        <v>84</v>
      </c>
      <c r="D1250" t="s">
        <v>68</v>
      </c>
      <c r="E1250" t="s">
        <v>4196</v>
      </c>
      <c r="F1250" s="1">
        <v>44684</v>
      </c>
      <c r="G1250">
        <v>2007</v>
      </c>
      <c r="H1250" t="s">
        <v>63</v>
      </c>
      <c r="I1250" t="s">
        <v>4299</v>
      </c>
      <c r="J1250" t="s">
        <v>23</v>
      </c>
      <c r="K1250">
        <v>8.8000000000000007</v>
      </c>
      <c r="L1250">
        <v>1344546</v>
      </c>
      <c r="M1250">
        <v>2700575</v>
      </c>
      <c r="N1250">
        <v>80</v>
      </c>
      <c r="O1250" t="s">
        <v>123</v>
      </c>
      <c r="P1250" t="s">
        <v>87</v>
      </c>
    </row>
    <row r="1251" spans="1:16" x14ac:dyDescent="0.35">
      <c r="A1251" t="s">
        <v>1872</v>
      </c>
      <c r="B1251" t="s">
        <v>1873</v>
      </c>
      <c r="C1251" t="s">
        <v>84</v>
      </c>
      <c r="D1251" t="s">
        <v>27</v>
      </c>
      <c r="E1251" t="s">
        <v>99</v>
      </c>
      <c r="F1251" s="1">
        <v>44687</v>
      </c>
      <c r="G1251">
        <v>2006</v>
      </c>
      <c r="H1251" t="s">
        <v>114</v>
      </c>
      <c r="I1251" t="s">
        <v>4203</v>
      </c>
      <c r="J1251" t="s">
        <v>30</v>
      </c>
      <c r="K1251">
        <v>9.8000000000000007</v>
      </c>
      <c r="L1251">
        <v>1812380</v>
      </c>
      <c r="M1251">
        <v>4445429</v>
      </c>
      <c r="N1251">
        <v>93</v>
      </c>
      <c r="O1251" t="s">
        <v>31</v>
      </c>
      <c r="P1251" t="s">
        <v>50</v>
      </c>
    </row>
    <row r="1252" spans="1:16" x14ac:dyDescent="0.35">
      <c r="A1252" t="s">
        <v>770</v>
      </c>
      <c r="B1252" t="s">
        <v>769</v>
      </c>
      <c r="C1252" t="s">
        <v>84</v>
      </c>
      <c r="D1252" t="s">
        <v>27</v>
      </c>
      <c r="E1252" t="s">
        <v>4178</v>
      </c>
      <c r="F1252" s="1">
        <v>44690</v>
      </c>
      <c r="G1252">
        <v>2004</v>
      </c>
      <c r="H1252" t="s">
        <v>63</v>
      </c>
      <c r="I1252" t="s">
        <v>4177</v>
      </c>
      <c r="J1252" t="s">
        <v>72</v>
      </c>
      <c r="K1252">
        <v>5.3</v>
      </c>
      <c r="L1252">
        <v>15042802</v>
      </c>
      <c r="M1252">
        <v>2313201</v>
      </c>
      <c r="N1252">
        <v>78</v>
      </c>
      <c r="O1252" t="s">
        <v>65</v>
      </c>
      <c r="P1252" t="s">
        <v>4181</v>
      </c>
    </row>
    <row r="1253" spans="1:16" x14ac:dyDescent="0.35">
      <c r="A1253" t="s">
        <v>2930</v>
      </c>
      <c r="B1253" t="s">
        <v>2931</v>
      </c>
      <c r="C1253" t="s">
        <v>84</v>
      </c>
      <c r="D1253" t="s">
        <v>61</v>
      </c>
      <c r="E1253" t="s">
        <v>4178</v>
      </c>
      <c r="F1253" s="1">
        <v>44691</v>
      </c>
      <c r="G1253">
        <v>2017</v>
      </c>
      <c r="H1253" t="s">
        <v>107</v>
      </c>
      <c r="I1253" t="s">
        <v>4248</v>
      </c>
      <c r="J1253" t="s">
        <v>103</v>
      </c>
      <c r="K1253">
        <v>5.6</v>
      </c>
      <c r="L1253">
        <v>8483353</v>
      </c>
      <c r="M1253">
        <v>4057253</v>
      </c>
      <c r="N1253">
        <v>96</v>
      </c>
      <c r="O1253" t="s">
        <v>123</v>
      </c>
      <c r="P1253" t="s">
        <v>50</v>
      </c>
    </row>
    <row r="1254" spans="1:16" x14ac:dyDescent="0.35">
      <c r="A1254" t="s">
        <v>1469</v>
      </c>
      <c r="B1254" t="s">
        <v>1470</v>
      </c>
      <c r="C1254" t="s">
        <v>4178</v>
      </c>
      <c r="D1254" t="s">
        <v>4178</v>
      </c>
      <c r="E1254" t="s">
        <v>62</v>
      </c>
      <c r="F1254" s="1">
        <v>44697</v>
      </c>
      <c r="G1254">
        <v>2017</v>
      </c>
      <c r="H1254" t="s">
        <v>4178</v>
      </c>
      <c r="I1254" t="s">
        <v>162</v>
      </c>
      <c r="J1254" t="s">
        <v>57</v>
      </c>
      <c r="K1254">
        <v>5.4</v>
      </c>
      <c r="L1254">
        <v>3027577</v>
      </c>
      <c r="M1254">
        <v>4401519</v>
      </c>
      <c r="N1254">
        <v>63</v>
      </c>
      <c r="O1254" t="s">
        <v>123</v>
      </c>
      <c r="P1254" t="s">
        <v>87</v>
      </c>
    </row>
    <row r="1255" spans="1:16" x14ac:dyDescent="0.35">
      <c r="A1255" t="s">
        <v>1051</v>
      </c>
      <c r="B1255" t="s">
        <v>1052</v>
      </c>
      <c r="C1255" t="s">
        <v>53</v>
      </c>
      <c r="D1255" t="s">
        <v>19</v>
      </c>
      <c r="E1255" t="s">
        <v>45</v>
      </c>
      <c r="F1255" s="1">
        <v>44699</v>
      </c>
      <c r="G1255">
        <v>2032</v>
      </c>
      <c r="H1255" t="s">
        <v>81</v>
      </c>
      <c r="I1255" t="s">
        <v>118</v>
      </c>
      <c r="J1255" t="s">
        <v>72</v>
      </c>
      <c r="K1255">
        <v>5</v>
      </c>
      <c r="L1255">
        <v>8280221</v>
      </c>
      <c r="M1255">
        <v>425342</v>
      </c>
      <c r="N1255">
        <v>66</v>
      </c>
      <c r="O1255" t="s">
        <v>31</v>
      </c>
      <c r="P1255" t="s">
        <v>4181</v>
      </c>
    </row>
    <row r="1256" spans="1:16" x14ac:dyDescent="0.35">
      <c r="A1256" t="s">
        <v>3466</v>
      </c>
      <c r="B1256" t="s">
        <v>3467</v>
      </c>
      <c r="C1256" t="s">
        <v>53</v>
      </c>
      <c r="D1256" t="s">
        <v>4178</v>
      </c>
      <c r="E1256" t="s">
        <v>55</v>
      </c>
      <c r="F1256" s="1">
        <v>44699</v>
      </c>
      <c r="G1256">
        <v>2005</v>
      </c>
      <c r="H1256" t="s">
        <v>85</v>
      </c>
      <c r="I1256" t="s">
        <v>56</v>
      </c>
      <c r="J1256" t="s">
        <v>23</v>
      </c>
      <c r="K1256">
        <v>7</v>
      </c>
      <c r="L1256">
        <v>8684392</v>
      </c>
      <c r="M1256">
        <v>4676947</v>
      </c>
      <c r="N1256">
        <v>53</v>
      </c>
      <c r="O1256" t="s">
        <v>4178</v>
      </c>
      <c r="P1256" t="s">
        <v>87</v>
      </c>
    </row>
    <row r="1257" spans="1:16" x14ac:dyDescent="0.35">
      <c r="A1257" t="s">
        <v>3781</v>
      </c>
      <c r="B1257" t="s">
        <v>3782</v>
      </c>
      <c r="C1257" t="s">
        <v>53</v>
      </c>
      <c r="D1257" t="s">
        <v>36</v>
      </c>
      <c r="E1257" t="s">
        <v>4196</v>
      </c>
      <c r="F1257" s="1">
        <v>44700</v>
      </c>
      <c r="G1257">
        <v>2007</v>
      </c>
      <c r="H1257" t="s">
        <v>46</v>
      </c>
      <c r="I1257" t="s">
        <v>162</v>
      </c>
      <c r="J1257" t="s">
        <v>57</v>
      </c>
      <c r="K1257">
        <v>8.3000000000000007</v>
      </c>
      <c r="L1257">
        <v>11252152</v>
      </c>
      <c r="M1257">
        <v>2659686</v>
      </c>
      <c r="N1257">
        <v>52</v>
      </c>
      <c r="O1257" t="s">
        <v>49</v>
      </c>
      <c r="P1257" t="s">
        <v>87</v>
      </c>
    </row>
    <row r="1258" spans="1:16" x14ac:dyDescent="0.35">
      <c r="A1258" t="s">
        <v>2471</v>
      </c>
      <c r="B1258" t="s">
        <v>2472</v>
      </c>
      <c r="C1258" t="s">
        <v>4178</v>
      </c>
      <c r="D1258" t="s">
        <v>156</v>
      </c>
      <c r="E1258" t="s">
        <v>99</v>
      </c>
      <c r="F1258" s="1">
        <v>44706</v>
      </c>
      <c r="G1258">
        <v>2021</v>
      </c>
      <c r="H1258" t="s">
        <v>114</v>
      </c>
      <c r="I1258" t="s">
        <v>64</v>
      </c>
      <c r="J1258" t="s">
        <v>72</v>
      </c>
      <c r="K1258">
        <v>8</v>
      </c>
      <c r="L1258">
        <v>19576886</v>
      </c>
      <c r="M1258">
        <v>2243969</v>
      </c>
      <c r="N1258">
        <v>87</v>
      </c>
      <c r="O1258" t="s">
        <v>31</v>
      </c>
      <c r="P1258" t="s">
        <v>32</v>
      </c>
    </row>
    <row r="1259" spans="1:16" x14ac:dyDescent="0.35">
      <c r="A1259" t="s">
        <v>2304</v>
      </c>
      <c r="B1259" t="s">
        <v>2305</v>
      </c>
      <c r="C1259" t="s">
        <v>4178</v>
      </c>
      <c r="D1259" t="s">
        <v>68</v>
      </c>
      <c r="E1259" t="s">
        <v>4196</v>
      </c>
      <c r="F1259" s="1">
        <v>44709</v>
      </c>
      <c r="G1259">
        <v>2021</v>
      </c>
      <c r="H1259" t="s">
        <v>46</v>
      </c>
      <c r="I1259" t="s">
        <v>118</v>
      </c>
      <c r="J1259" t="s">
        <v>57</v>
      </c>
      <c r="K1259">
        <v>6.4</v>
      </c>
      <c r="L1259">
        <v>2367023</v>
      </c>
      <c r="M1259">
        <v>3075407</v>
      </c>
      <c r="N1259">
        <v>62</v>
      </c>
      <c r="O1259" t="s">
        <v>4178</v>
      </c>
      <c r="P1259" t="s">
        <v>50</v>
      </c>
    </row>
    <row r="1260" spans="1:16" x14ac:dyDescent="0.35">
      <c r="A1260" t="s">
        <v>2880</v>
      </c>
      <c r="B1260" t="s">
        <v>2881</v>
      </c>
      <c r="C1260" t="s">
        <v>84</v>
      </c>
      <c r="D1260" t="s">
        <v>90</v>
      </c>
      <c r="E1260" t="s">
        <v>4178</v>
      </c>
      <c r="F1260" s="1">
        <v>44709</v>
      </c>
      <c r="G1260">
        <v>2008</v>
      </c>
      <c r="H1260" t="s">
        <v>81</v>
      </c>
      <c r="I1260" t="s">
        <v>4315</v>
      </c>
      <c r="J1260" t="s">
        <v>30</v>
      </c>
      <c r="K1260">
        <v>6.2</v>
      </c>
      <c r="L1260">
        <v>3057791</v>
      </c>
      <c r="M1260">
        <v>526414</v>
      </c>
      <c r="N1260">
        <v>71</v>
      </c>
      <c r="O1260" t="s">
        <v>65</v>
      </c>
      <c r="P1260" t="s">
        <v>87</v>
      </c>
    </row>
    <row r="1261" spans="1:16" x14ac:dyDescent="0.35">
      <c r="A1261" t="s">
        <v>1622</v>
      </c>
      <c r="B1261" t="s">
        <v>1623</v>
      </c>
      <c r="C1261" t="s">
        <v>84</v>
      </c>
      <c r="D1261" t="s">
        <v>90</v>
      </c>
      <c r="E1261" t="s">
        <v>4196</v>
      </c>
      <c r="F1261" s="1">
        <v>44710</v>
      </c>
      <c r="G1261">
        <v>2001</v>
      </c>
      <c r="H1261" t="s">
        <v>114</v>
      </c>
      <c r="I1261" t="s">
        <v>4248</v>
      </c>
      <c r="J1261" t="s">
        <v>72</v>
      </c>
      <c r="K1261">
        <v>5.5</v>
      </c>
      <c r="L1261">
        <v>13114035</v>
      </c>
      <c r="M1261">
        <v>476035</v>
      </c>
      <c r="N1261">
        <v>90</v>
      </c>
      <c r="O1261" t="s">
        <v>104</v>
      </c>
      <c r="P1261" t="s">
        <v>32</v>
      </c>
    </row>
    <row r="1262" spans="1:16" x14ac:dyDescent="0.35">
      <c r="A1262" t="s">
        <v>1157</v>
      </c>
      <c r="B1262" t="s">
        <v>1158</v>
      </c>
      <c r="C1262" t="s">
        <v>84</v>
      </c>
      <c r="D1262" t="s">
        <v>4178</v>
      </c>
      <c r="E1262" t="s">
        <v>4178</v>
      </c>
      <c r="F1262" s="1">
        <v>44712</v>
      </c>
      <c r="G1262">
        <v>2022</v>
      </c>
      <c r="H1262" t="s">
        <v>63</v>
      </c>
      <c r="I1262" t="s">
        <v>4266</v>
      </c>
      <c r="J1262" t="s">
        <v>30</v>
      </c>
      <c r="K1262">
        <v>6</v>
      </c>
      <c r="L1262">
        <v>16921348</v>
      </c>
      <c r="M1262">
        <v>299249</v>
      </c>
      <c r="N1262">
        <v>95</v>
      </c>
      <c r="O1262" t="s">
        <v>91</v>
      </c>
      <c r="P1262" t="s">
        <v>4178</v>
      </c>
    </row>
    <row r="1263" spans="1:16" x14ac:dyDescent="0.35">
      <c r="A1263" t="s">
        <v>1519</v>
      </c>
      <c r="B1263" t="s">
        <v>1520</v>
      </c>
      <c r="C1263" t="s">
        <v>84</v>
      </c>
      <c r="D1263" t="s">
        <v>68</v>
      </c>
      <c r="E1263" t="s">
        <v>28</v>
      </c>
      <c r="F1263" s="1">
        <v>44716</v>
      </c>
      <c r="G1263">
        <v>2002</v>
      </c>
      <c r="H1263" t="s">
        <v>121</v>
      </c>
      <c r="I1263" t="s">
        <v>4274</v>
      </c>
      <c r="J1263" t="s">
        <v>40</v>
      </c>
      <c r="K1263">
        <v>5.0999999999999996</v>
      </c>
      <c r="L1263">
        <v>9414656</v>
      </c>
      <c r="M1263">
        <v>2170659</v>
      </c>
      <c r="N1263">
        <v>42</v>
      </c>
      <c r="O1263" t="s">
        <v>49</v>
      </c>
      <c r="P1263" t="s">
        <v>32</v>
      </c>
    </row>
    <row r="1264" spans="1:16" x14ac:dyDescent="0.35">
      <c r="A1264" t="s">
        <v>3341</v>
      </c>
      <c r="B1264" t="s">
        <v>3342</v>
      </c>
      <c r="C1264" t="s">
        <v>84</v>
      </c>
      <c r="D1264" t="s">
        <v>90</v>
      </c>
      <c r="E1264" t="s">
        <v>113</v>
      </c>
      <c r="F1264" s="1">
        <v>44717</v>
      </c>
      <c r="G1264">
        <v>2019</v>
      </c>
      <c r="H1264" t="s">
        <v>114</v>
      </c>
      <c r="I1264" t="s">
        <v>4230</v>
      </c>
      <c r="J1264" t="s">
        <v>153</v>
      </c>
      <c r="K1264">
        <v>6.5</v>
      </c>
      <c r="L1264">
        <v>15552941</v>
      </c>
      <c r="M1264">
        <v>1287192</v>
      </c>
      <c r="N1264">
        <v>50</v>
      </c>
      <c r="O1264" t="s">
        <v>65</v>
      </c>
      <c r="P1264" t="s">
        <v>50</v>
      </c>
    </row>
    <row r="1265" spans="1:16" x14ac:dyDescent="0.35">
      <c r="A1265" t="s">
        <v>3009</v>
      </c>
      <c r="B1265" t="s">
        <v>3010</v>
      </c>
      <c r="C1265" t="s">
        <v>84</v>
      </c>
      <c r="D1265" t="s">
        <v>54</v>
      </c>
      <c r="E1265" t="s">
        <v>113</v>
      </c>
      <c r="F1265" s="1">
        <v>44718</v>
      </c>
      <c r="G1265">
        <v>2017</v>
      </c>
      <c r="H1265" t="s">
        <v>85</v>
      </c>
      <c r="I1265" t="s">
        <v>4178</v>
      </c>
      <c r="J1265" t="s">
        <v>133</v>
      </c>
      <c r="K1265">
        <v>4.5</v>
      </c>
      <c r="L1265">
        <v>9705220</v>
      </c>
      <c r="M1265">
        <v>1251161</v>
      </c>
      <c r="N1265">
        <v>65</v>
      </c>
      <c r="O1265" t="s">
        <v>65</v>
      </c>
      <c r="P1265" t="s">
        <v>32</v>
      </c>
    </row>
    <row r="1266" spans="1:16" x14ac:dyDescent="0.35">
      <c r="A1266" t="s">
        <v>1390</v>
      </c>
      <c r="B1266" t="s">
        <v>1391</v>
      </c>
      <c r="C1266" t="s">
        <v>84</v>
      </c>
      <c r="D1266" t="s">
        <v>94</v>
      </c>
      <c r="E1266" t="s">
        <v>62</v>
      </c>
      <c r="F1266" s="1">
        <v>44719</v>
      </c>
      <c r="G1266">
        <v>2017</v>
      </c>
      <c r="H1266" t="s">
        <v>63</v>
      </c>
      <c r="I1266" t="s">
        <v>4311</v>
      </c>
      <c r="J1266" t="s">
        <v>30</v>
      </c>
      <c r="K1266">
        <v>8.9</v>
      </c>
      <c r="L1266">
        <v>6373219</v>
      </c>
      <c r="M1266">
        <v>3777998</v>
      </c>
      <c r="N1266">
        <v>99</v>
      </c>
      <c r="O1266" t="s">
        <v>58</v>
      </c>
      <c r="P1266" t="s">
        <v>87</v>
      </c>
    </row>
    <row r="1267" spans="1:16" x14ac:dyDescent="0.35">
      <c r="A1267" t="s">
        <v>2525</v>
      </c>
      <c r="B1267" t="s">
        <v>2526</v>
      </c>
      <c r="C1267" t="s">
        <v>4178</v>
      </c>
      <c r="D1267" t="s">
        <v>4178</v>
      </c>
      <c r="E1267" t="s">
        <v>113</v>
      </c>
      <c r="F1267" s="1">
        <v>44719</v>
      </c>
      <c r="G1267">
        <v>2014</v>
      </c>
      <c r="H1267" t="s">
        <v>38</v>
      </c>
      <c r="I1267" t="s">
        <v>118</v>
      </c>
      <c r="J1267" t="s">
        <v>72</v>
      </c>
      <c r="K1267">
        <v>9.1</v>
      </c>
      <c r="L1267">
        <v>24262031</v>
      </c>
      <c r="M1267">
        <v>762111</v>
      </c>
      <c r="N1267">
        <v>85</v>
      </c>
      <c r="O1267" t="s">
        <v>24</v>
      </c>
      <c r="P1267" t="s">
        <v>87</v>
      </c>
    </row>
    <row r="1268" spans="1:16" x14ac:dyDescent="0.35">
      <c r="A1268" t="s">
        <v>3966</v>
      </c>
      <c r="B1268" t="s">
        <v>4400</v>
      </c>
      <c r="C1268" t="s">
        <v>53</v>
      </c>
      <c r="D1268" t="s">
        <v>75</v>
      </c>
      <c r="E1268" t="s">
        <v>62</v>
      </c>
      <c r="F1268" s="1">
        <v>44726</v>
      </c>
      <c r="G1268">
        <v>2007</v>
      </c>
      <c r="H1268" t="s">
        <v>4178</v>
      </c>
      <c r="I1268" t="s">
        <v>118</v>
      </c>
      <c r="J1268" t="s">
        <v>48</v>
      </c>
      <c r="K1268">
        <v>4.5999999999999996</v>
      </c>
      <c r="L1268">
        <v>19997185</v>
      </c>
      <c r="M1268">
        <v>2566936</v>
      </c>
      <c r="N1268">
        <v>95</v>
      </c>
      <c r="O1268" t="s">
        <v>4178</v>
      </c>
      <c r="P1268" t="s">
        <v>87</v>
      </c>
    </row>
    <row r="1269" spans="1:16" x14ac:dyDescent="0.35">
      <c r="A1269" t="s">
        <v>2062</v>
      </c>
      <c r="B1269" t="s">
        <v>2063</v>
      </c>
      <c r="C1269" t="s">
        <v>84</v>
      </c>
      <c r="D1269" t="s">
        <v>19</v>
      </c>
      <c r="E1269" t="s">
        <v>4196</v>
      </c>
      <c r="F1269" s="1">
        <v>44727</v>
      </c>
      <c r="G1269">
        <v>2018</v>
      </c>
      <c r="H1269" t="s">
        <v>107</v>
      </c>
      <c r="I1269" t="s">
        <v>4283</v>
      </c>
      <c r="J1269" t="s">
        <v>103</v>
      </c>
      <c r="K1269">
        <v>6.3</v>
      </c>
      <c r="L1269">
        <v>5568723</v>
      </c>
      <c r="M1269">
        <v>19166</v>
      </c>
      <c r="N1269">
        <v>89</v>
      </c>
      <c r="O1269" t="s">
        <v>104</v>
      </c>
      <c r="P1269" t="s">
        <v>32</v>
      </c>
    </row>
    <row r="1270" spans="1:16" x14ac:dyDescent="0.35">
      <c r="A1270" t="s">
        <v>2412</v>
      </c>
      <c r="B1270" t="s">
        <v>2413</v>
      </c>
      <c r="C1270" t="s">
        <v>84</v>
      </c>
      <c r="D1270" t="s">
        <v>90</v>
      </c>
      <c r="E1270" t="s">
        <v>4178</v>
      </c>
      <c r="F1270" s="1">
        <v>44727</v>
      </c>
      <c r="G1270">
        <v>2019</v>
      </c>
      <c r="H1270" t="s">
        <v>85</v>
      </c>
      <c r="I1270" t="s">
        <v>4262</v>
      </c>
      <c r="J1270" t="s">
        <v>72</v>
      </c>
      <c r="K1270">
        <v>9.3000000000000007</v>
      </c>
      <c r="L1270">
        <v>21417673</v>
      </c>
      <c r="M1270">
        <v>1812941</v>
      </c>
      <c r="N1270">
        <v>89</v>
      </c>
      <c r="O1270" t="s">
        <v>49</v>
      </c>
      <c r="P1270" t="s">
        <v>32</v>
      </c>
    </row>
    <row r="1271" spans="1:16" x14ac:dyDescent="0.35">
      <c r="A1271" t="s">
        <v>3524</v>
      </c>
      <c r="B1271" t="s">
        <v>3525</v>
      </c>
      <c r="C1271" t="s">
        <v>84</v>
      </c>
      <c r="D1271" t="s">
        <v>61</v>
      </c>
      <c r="E1271" t="s">
        <v>69</v>
      </c>
      <c r="F1271" s="1">
        <v>44729</v>
      </c>
      <c r="G1271">
        <v>2015</v>
      </c>
      <c r="H1271" t="s">
        <v>46</v>
      </c>
      <c r="I1271" t="s">
        <v>4214</v>
      </c>
      <c r="J1271" t="s">
        <v>23</v>
      </c>
      <c r="K1271">
        <v>9</v>
      </c>
      <c r="L1271">
        <v>24135530</v>
      </c>
      <c r="M1271">
        <v>2476645</v>
      </c>
      <c r="N1271">
        <v>92</v>
      </c>
      <c r="O1271" t="s">
        <v>41</v>
      </c>
      <c r="P1271" t="s">
        <v>50</v>
      </c>
    </row>
    <row r="1272" spans="1:16" x14ac:dyDescent="0.35">
      <c r="A1272" t="s">
        <v>1298</v>
      </c>
      <c r="B1272" t="s">
        <v>1299</v>
      </c>
      <c r="C1272" t="s">
        <v>4178</v>
      </c>
      <c r="D1272" t="s">
        <v>94</v>
      </c>
      <c r="E1272" t="s">
        <v>20</v>
      </c>
      <c r="F1272" s="1">
        <v>44733</v>
      </c>
      <c r="G1272">
        <v>2014</v>
      </c>
      <c r="H1272" t="s">
        <v>121</v>
      </c>
      <c r="I1272" t="s">
        <v>39</v>
      </c>
      <c r="J1272" t="s">
        <v>23</v>
      </c>
      <c r="K1272">
        <v>7.6</v>
      </c>
      <c r="L1272">
        <v>3550425</v>
      </c>
      <c r="M1272">
        <v>1181033</v>
      </c>
      <c r="N1272">
        <v>92</v>
      </c>
      <c r="O1272" t="s">
        <v>104</v>
      </c>
      <c r="P1272" t="s">
        <v>87</v>
      </c>
    </row>
    <row r="1273" spans="1:16" x14ac:dyDescent="0.35">
      <c r="A1273" t="s">
        <v>2962</v>
      </c>
      <c r="B1273" t="s">
        <v>2961</v>
      </c>
      <c r="C1273" t="s">
        <v>84</v>
      </c>
      <c r="D1273" t="s">
        <v>75</v>
      </c>
      <c r="E1273" t="s">
        <v>37</v>
      </c>
      <c r="F1273" s="1">
        <v>44733</v>
      </c>
      <c r="G1273">
        <v>2020</v>
      </c>
      <c r="H1273" t="s">
        <v>63</v>
      </c>
      <c r="I1273" t="s">
        <v>4222</v>
      </c>
      <c r="J1273" t="s">
        <v>4178</v>
      </c>
      <c r="K1273">
        <v>9.1999999999999993</v>
      </c>
      <c r="L1273">
        <v>17408488</v>
      </c>
      <c r="M1273">
        <v>1181844</v>
      </c>
      <c r="N1273">
        <v>71</v>
      </c>
      <c r="O1273" t="s">
        <v>58</v>
      </c>
      <c r="P1273" t="s">
        <v>32</v>
      </c>
    </row>
    <row r="1274" spans="1:16" x14ac:dyDescent="0.35">
      <c r="A1274" t="s">
        <v>2375</v>
      </c>
      <c r="B1274" t="s">
        <v>2376</v>
      </c>
      <c r="C1274" t="s">
        <v>84</v>
      </c>
      <c r="D1274" t="s">
        <v>68</v>
      </c>
      <c r="E1274" t="s">
        <v>4196</v>
      </c>
      <c r="F1274" s="1">
        <v>44734</v>
      </c>
      <c r="G1274">
        <v>2010</v>
      </c>
      <c r="H1274" t="s">
        <v>114</v>
      </c>
      <c r="I1274" t="s">
        <v>4207</v>
      </c>
      <c r="J1274" t="s">
        <v>72</v>
      </c>
      <c r="K1274">
        <v>9.3000000000000007</v>
      </c>
      <c r="L1274">
        <v>19745943</v>
      </c>
      <c r="M1274">
        <v>4532206</v>
      </c>
      <c r="N1274">
        <v>48</v>
      </c>
      <c r="O1274" t="s">
        <v>24</v>
      </c>
      <c r="P1274" t="s">
        <v>50</v>
      </c>
    </row>
    <row r="1275" spans="1:16" x14ac:dyDescent="0.35">
      <c r="A1275" t="s">
        <v>3948</v>
      </c>
      <c r="B1275" t="s">
        <v>3949</v>
      </c>
      <c r="C1275" t="s">
        <v>4178</v>
      </c>
      <c r="D1275" t="s">
        <v>94</v>
      </c>
      <c r="E1275" t="s">
        <v>37</v>
      </c>
      <c r="F1275" s="1">
        <v>44735</v>
      </c>
      <c r="G1275">
        <v>2015</v>
      </c>
      <c r="H1275" t="s">
        <v>107</v>
      </c>
      <c r="I1275" t="s">
        <v>95</v>
      </c>
      <c r="J1275" t="s">
        <v>30</v>
      </c>
      <c r="K1275">
        <v>5.0999999999999996</v>
      </c>
      <c r="L1275">
        <v>11968875</v>
      </c>
      <c r="M1275">
        <v>3017553</v>
      </c>
      <c r="N1275">
        <v>62</v>
      </c>
      <c r="O1275" t="s">
        <v>104</v>
      </c>
      <c r="P1275" t="s">
        <v>87</v>
      </c>
    </row>
    <row r="1276" spans="1:16" x14ac:dyDescent="0.35">
      <c r="A1276" t="s">
        <v>2225</v>
      </c>
      <c r="B1276" t="s">
        <v>2226</v>
      </c>
      <c r="C1276" t="s">
        <v>84</v>
      </c>
      <c r="D1276" t="s">
        <v>68</v>
      </c>
      <c r="E1276" t="s">
        <v>4178</v>
      </c>
      <c r="F1276" s="1">
        <v>44741</v>
      </c>
      <c r="G1276">
        <v>2006</v>
      </c>
      <c r="H1276" t="s">
        <v>121</v>
      </c>
      <c r="I1276" t="s">
        <v>4193</v>
      </c>
      <c r="J1276" t="s">
        <v>72</v>
      </c>
      <c r="K1276">
        <v>4.7</v>
      </c>
      <c r="L1276">
        <v>3201337</v>
      </c>
      <c r="M1276">
        <v>2055043</v>
      </c>
      <c r="N1276">
        <v>59</v>
      </c>
      <c r="O1276" t="s">
        <v>31</v>
      </c>
      <c r="P1276" t="s">
        <v>32</v>
      </c>
    </row>
    <row r="1277" spans="1:16" x14ac:dyDescent="0.35">
      <c r="A1277" t="s">
        <v>1340</v>
      </c>
      <c r="B1277" t="s">
        <v>1341</v>
      </c>
      <c r="C1277" t="s">
        <v>84</v>
      </c>
      <c r="D1277" t="s">
        <v>19</v>
      </c>
      <c r="E1277" t="s">
        <v>28</v>
      </c>
      <c r="F1277" s="1">
        <v>44745</v>
      </c>
      <c r="G1277">
        <v>2032</v>
      </c>
      <c r="H1277" t="s">
        <v>4178</v>
      </c>
      <c r="I1277" t="s">
        <v>4192</v>
      </c>
      <c r="J1277" t="s">
        <v>72</v>
      </c>
      <c r="K1277">
        <v>8.1999999999999993</v>
      </c>
      <c r="L1277">
        <v>830899</v>
      </c>
      <c r="M1277">
        <v>1554565</v>
      </c>
      <c r="N1277">
        <v>77</v>
      </c>
      <c r="O1277" t="s">
        <v>123</v>
      </c>
      <c r="P1277" t="s">
        <v>50</v>
      </c>
    </row>
    <row r="1278" spans="1:16" x14ac:dyDescent="0.35">
      <c r="A1278" t="s">
        <v>1800</v>
      </c>
      <c r="B1278" t="s">
        <v>1801</v>
      </c>
      <c r="C1278" t="s">
        <v>53</v>
      </c>
      <c r="D1278" t="s">
        <v>27</v>
      </c>
      <c r="E1278" t="s">
        <v>62</v>
      </c>
      <c r="F1278" s="1">
        <v>44749</v>
      </c>
      <c r="G1278">
        <v>2016</v>
      </c>
      <c r="H1278" t="s">
        <v>46</v>
      </c>
      <c r="I1278" t="s">
        <v>118</v>
      </c>
      <c r="J1278" t="s">
        <v>72</v>
      </c>
      <c r="K1278">
        <v>7.3</v>
      </c>
      <c r="L1278">
        <v>10478272</v>
      </c>
      <c r="M1278">
        <v>2433173</v>
      </c>
      <c r="N1278">
        <v>86</v>
      </c>
      <c r="O1278" t="s">
        <v>91</v>
      </c>
      <c r="P1278" t="s">
        <v>4178</v>
      </c>
    </row>
    <row r="1279" spans="1:16" x14ac:dyDescent="0.35">
      <c r="A1279" t="s">
        <v>3569</v>
      </c>
      <c r="B1279" t="s">
        <v>3570</v>
      </c>
      <c r="C1279" t="s">
        <v>53</v>
      </c>
      <c r="D1279" t="s">
        <v>68</v>
      </c>
      <c r="E1279" t="s">
        <v>99</v>
      </c>
      <c r="F1279" s="1">
        <v>44750</v>
      </c>
      <c r="G1279">
        <v>2006</v>
      </c>
      <c r="H1279" t="s">
        <v>63</v>
      </c>
      <c r="I1279" t="s">
        <v>162</v>
      </c>
      <c r="J1279" t="s">
        <v>96</v>
      </c>
      <c r="K1279">
        <v>5.2</v>
      </c>
      <c r="L1279">
        <v>10349421</v>
      </c>
      <c r="M1279">
        <v>1557242</v>
      </c>
      <c r="N1279">
        <v>67</v>
      </c>
      <c r="O1279" t="s">
        <v>104</v>
      </c>
      <c r="P1279" t="s">
        <v>32</v>
      </c>
    </row>
    <row r="1280" spans="1:16" x14ac:dyDescent="0.35">
      <c r="A1280" t="s">
        <v>430</v>
      </c>
      <c r="B1280" t="s">
        <v>431</v>
      </c>
      <c r="C1280" t="s">
        <v>84</v>
      </c>
      <c r="D1280" t="s">
        <v>4178</v>
      </c>
      <c r="E1280" t="s">
        <v>80</v>
      </c>
      <c r="F1280" s="1">
        <v>44754</v>
      </c>
      <c r="G1280">
        <v>2001</v>
      </c>
      <c r="H1280" t="s">
        <v>107</v>
      </c>
      <c r="I1280" t="s">
        <v>4185</v>
      </c>
      <c r="J1280" t="s">
        <v>4178</v>
      </c>
      <c r="K1280">
        <v>4.5999999999999996</v>
      </c>
      <c r="L1280">
        <v>19980919</v>
      </c>
      <c r="M1280">
        <v>1944042</v>
      </c>
      <c r="N1280">
        <v>84</v>
      </c>
      <c r="O1280" t="s">
        <v>104</v>
      </c>
      <c r="P1280" t="s">
        <v>87</v>
      </c>
    </row>
    <row r="1281" spans="1:16" x14ac:dyDescent="0.35">
      <c r="A1281" t="s">
        <v>455</v>
      </c>
      <c r="B1281" t="s">
        <v>456</v>
      </c>
      <c r="C1281" t="s">
        <v>53</v>
      </c>
      <c r="D1281" t="s">
        <v>61</v>
      </c>
      <c r="E1281" t="s">
        <v>4178</v>
      </c>
      <c r="F1281" s="1">
        <v>44754</v>
      </c>
      <c r="G1281">
        <v>2001</v>
      </c>
      <c r="H1281" t="s">
        <v>38</v>
      </c>
      <c r="I1281" t="s">
        <v>162</v>
      </c>
      <c r="J1281" t="s">
        <v>153</v>
      </c>
      <c r="K1281">
        <v>5.2</v>
      </c>
      <c r="L1281">
        <v>1690922</v>
      </c>
      <c r="M1281">
        <v>1221747</v>
      </c>
      <c r="N1281">
        <v>52</v>
      </c>
      <c r="O1281" t="s">
        <v>65</v>
      </c>
      <c r="P1281" t="s">
        <v>87</v>
      </c>
    </row>
    <row r="1282" spans="1:16" x14ac:dyDescent="0.35">
      <c r="A1282" t="s">
        <v>1639</v>
      </c>
      <c r="B1282" t="s">
        <v>1640</v>
      </c>
      <c r="C1282" t="s">
        <v>53</v>
      </c>
      <c r="D1282" t="s">
        <v>54</v>
      </c>
      <c r="E1282" t="s">
        <v>131</v>
      </c>
      <c r="F1282" s="1">
        <v>44754</v>
      </c>
      <c r="G1282">
        <v>2019</v>
      </c>
      <c r="H1282" t="s">
        <v>81</v>
      </c>
      <c r="I1282" t="s">
        <v>136</v>
      </c>
      <c r="J1282" t="s">
        <v>133</v>
      </c>
      <c r="K1282">
        <v>6.3</v>
      </c>
      <c r="L1282">
        <v>24945841</v>
      </c>
      <c r="M1282">
        <v>3041699</v>
      </c>
      <c r="N1282">
        <v>100</v>
      </c>
      <c r="O1282" t="s">
        <v>123</v>
      </c>
      <c r="P1282" t="s">
        <v>50</v>
      </c>
    </row>
    <row r="1283" spans="1:16" x14ac:dyDescent="0.35">
      <c r="A1283" t="s">
        <v>1288</v>
      </c>
      <c r="B1283" t="s">
        <v>1289</v>
      </c>
      <c r="C1283" t="s">
        <v>53</v>
      </c>
      <c r="D1283" t="s">
        <v>90</v>
      </c>
      <c r="E1283" t="s">
        <v>37</v>
      </c>
      <c r="F1283" s="1">
        <v>44758</v>
      </c>
      <c r="G1283">
        <v>2018</v>
      </c>
      <c r="H1283" t="s">
        <v>121</v>
      </c>
      <c r="I1283" t="s">
        <v>162</v>
      </c>
      <c r="J1283" t="s">
        <v>153</v>
      </c>
      <c r="K1283">
        <v>8.1</v>
      </c>
      <c r="L1283">
        <v>11047295</v>
      </c>
      <c r="M1283">
        <v>4629577</v>
      </c>
      <c r="N1283">
        <v>41</v>
      </c>
      <c r="O1283" t="s">
        <v>31</v>
      </c>
      <c r="P1283" t="s">
        <v>4178</v>
      </c>
    </row>
    <row r="1284" spans="1:16" x14ac:dyDescent="0.35">
      <c r="A1284" t="s">
        <v>2270</v>
      </c>
      <c r="B1284" t="s">
        <v>2271</v>
      </c>
      <c r="C1284" t="s">
        <v>84</v>
      </c>
      <c r="D1284" t="s">
        <v>54</v>
      </c>
      <c r="E1284" t="s">
        <v>113</v>
      </c>
      <c r="F1284" s="1">
        <v>44760</v>
      </c>
      <c r="G1284">
        <v>2023</v>
      </c>
      <c r="H1284" t="s">
        <v>38</v>
      </c>
      <c r="I1284" t="s">
        <v>4205</v>
      </c>
      <c r="J1284" t="s">
        <v>23</v>
      </c>
      <c r="K1284">
        <v>6.1</v>
      </c>
      <c r="L1284">
        <v>4094227</v>
      </c>
      <c r="M1284">
        <v>4521991</v>
      </c>
      <c r="N1284">
        <v>97</v>
      </c>
      <c r="O1284" t="s">
        <v>41</v>
      </c>
      <c r="P1284" t="s">
        <v>50</v>
      </c>
    </row>
    <row r="1285" spans="1:16" x14ac:dyDescent="0.35">
      <c r="A1285" t="s">
        <v>1794</v>
      </c>
      <c r="B1285" t="s">
        <v>1795</v>
      </c>
      <c r="C1285" t="s">
        <v>53</v>
      </c>
      <c r="D1285" t="s">
        <v>61</v>
      </c>
      <c r="E1285" t="s">
        <v>37</v>
      </c>
      <c r="F1285" s="1">
        <v>44763</v>
      </c>
      <c r="G1285">
        <v>2014</v>
      </c>
      <c r="H1285" t="s">
        <v>4178</v>
      </c>
      <c r="I1285" t="s">
        <v>95</v>
      </c>
      <c r="J1285" t="s">
        <v>103</v>
      </c>
      <c r="K1285">
        <v>7.8</v>
      </c>
      <c r="L1285">
        <v>21524238</v>
      </c>
      <c r="M1285">
        <v>2882943</v>
      </c>
      <c r="N1285">
        <v>65</v>
      </c>
      <c r="O1285" t="s">
        <v>123</v>
      </c>
      <c r="P1285" t="s">
        <v>4178</v>
      </c>
    </row>
    <row r="1286" spans="1:16" x14ac:dyDescent="0.35">
      <c r="A1286" t="s">
        <v>634</v>
      </c>
      <c r="B1286" t="s">
        <v>635</v>
      </c>
      <c r="C1286" t="s">
        <v>53</v>
      </c>
      <c r="D1286" t="s">
        <v>54</v>
      </c>
      <c r="E1286" t="s">
        <v>62</v>
      </c>
      <c r="F1286" s="1">
        <v>44765</v>
      </c>
      <c r="G1286">
        <v>2016</v>
      </c>
      <c r="H1286" t="s">
        <v>63</v>
      </c>
      <c r="I1286" t="s">
        <v>71</v>
      </c>
      <c r="J1286" t="s">
        <v>4178</v>
      </c>
      <c r="K1286">
        <v>5.3</v>
      </c>
      <c r="L1286">
        <v>12871922</v>
      </c>
      <c r="M1286">
        <v>1314859</v>
      </c>
      <c r="N1286">
        <v>40</v>
      </c>
      <c r="O1286" t="s">
        <v>65</v>
      </c>
      <c r="P1286" t="s">
        <v>4178</v>
      </c>
    </row>
    <row r="1287" spans="1:16" x14ac:dyDescent="0.35">
      <c r="A1287" t="s">
        <v>1196</v>
      </c>
      <c r="B1287" t="s">
        <v>1197</v>
      </c>
      <c r="C1287" t="s">
        <v>53</v>
      </c>
      <c r="D1287" t="s">
        <v>19</v>
      </c>
      <c r="E1287" t="s">
        <v>4196</v>
      </c>
      <c r="F1287" s="1">
        <v>44768</v>
      </c>
      <c r="G1287">
        <v>2001</v>
      </c>
      <c r="H1287" t="s">
        <v>4178</v>
      </c>
      <c r="I1287" t="s">
        <v>71</v>
      </c>
      <c r="J1287" t="s">
        <v>133</v>
      </c>
      <c r="K1287">
        <v>8.8000000000000007</v>
      </c>
      <c r="L1287">
        <v>2942965</v>
      </c>
      <c r="M1287">
        <v>1872071</v>
      </c>
      <c r="N1287">
        <v>70</v>
      </c>
      <c r="O1287" t="s">
        <v>104</v>
      </c>
      <c r="P1287" t="s">
        <v>50</v>
      </c>
    </row>
    <row r="1288" spans="1:16" x14ac:dyDescent="0.35">
      <c r="A1288" t="s">
        <v>414</v>
      </c>
      <c r="B1288" t="s">
        <v>415</v>
      </c>
      <c r="C1288" t="s">
        <v>84</v>
      </c>
      <c r="D1288" t="s">
        <v>54</v>
      </c>
      <c r="E1288" t="s">
        <v>113</v>
      </c>
      <c r="F1288" s="1">
        <v>44772</v>
      </c>
      <c r="G1288">
        <v>2013</v>
      </c>
      <c r="H1288" t="s">
        <v>114</v>
      </c>
      <c r="I1288" t="s">
        <v>4205</v>
      </c>
      <c r="J1288" t="s">
        <v>30</v>
      </c>
      <c r="K1288">
        <v>7.1</v>
      </c>
      <c r="L1288">
        <v>8634071</v>
      </c>
      <c r="M1288">
        <v>3888097</v>
      </c>
      <c r="N1288">
        <v>41</v>
      </c>
      <c r="O1288" t="s">
        <v>41</v>
      </c>
      <c r="P1288" t="s">
        <v>4178</v>
      </c>
    </row>
    <row r="1289" spans="1:16" x14ac:dyDescent="0.35">
      <c r="A1289" t="s">
        <v>971</v>
      </c>
      <c r="B1289" t="s">
        <v>972</v>
      </c>
      <c r="C1289" t="s">
        <v>84</v>
      </c>
      <c r="D1289" t="s">
        <v>61</v>
      </c>
      <c r="E1289" t="s">
        <v>69</v>
      </c>
      <c r="F1289" s="1">
        <v>44775</v>
      </c>
      <c r="G1289">
        <v>2000</v>
      </c>
      <c r="H1289" t="s">
        <v>4178</v>
      </c>
      <c r="I1289" t="s">
        <v>4228</v>
      </c>
      <c r="J1289" t="s">
        <v>30</v>
      </c>
      <c r="K1289">
        <v>6.9</v>
      </c>
      <c r="L1289">
        <v>14513684</v>
      </c>
      <c r="M1289">
        <v>4527375</v>
      </c>
      <c r="N1289">
        <v>53</v>
      </c>
      <c r="O1289" t="s">
        <v>24</v>
      </c>
      <c r="P1289" t="s">
        <v>87</v>
      </c>
    </row>
    <row r="1290" spans="1:16" x14ac:dyDescent="0.35">
      <c r="A1290" t="s">
        <v>3614</v>
      </c>
      <c r="B1290" t="s">
        <v>3615</v>
      </c>
      <c r="C1290" t="s">
        <v>53</v>
      </c>
      <c r="D1290" t="s">
        <v>36</v>
      </c>
      <c r="E1290" t="s">
        <v>55</v>
      </c>
      <c r="F1290" s="1">
        <v>44776</v>
      </c>
      <c r="G1290">
        <v>2013</v>
      </c>
      <c r="H1290" t="s">
        <v>46</v>
      </c>
      <c r="I1290" t="s">
        <v>118</v>
      </c>
      <c r="J1290" t="s">
        <v>40</v>
      </c>
      <c r="K1290">
        <v>8.5</v>
      </c>
      <c r="L1290">
        <v>9874034</v>
      </c>
      <c r="M1290">
        <v>4239953</v>
      </c>
      <c r="N1290">
        <v>40</v>
      </c>
      <c r="O1290" t="s">
        <v>91</v>
      </c>
      <c r="P1290" t="s">
        <v>32</v>
      </c>
    </row>
    <row r="1291" spans="1:16" x14ac:dyDescent="0.35">
      <c r="A1291" t="s">
        <v>2392</v>
      </c>
      <c r="B1291" t="s">
        <v>2393</v>
      </c>
      <c r="C1291" t="s">
        <v>84</v>
      </c>
      <c r="D1291" t="s">
        <v>94</v>
      </c>
      <c r="E1291" t="s">
        <v>62</v>
      </c>
      <c r="F1291" s="1">
        <v>44779</v>
      </c>
      <c r="G1291">
        <v>2001</v>
      </c>
      <c r="H1291" t="s">
        <v>46</v>
      </c>
      <c r="I1291" t="s">
        <v>4354</v>
      </c>
      <c r="J1291" t="s">
        <v>103</v>
      </c>
      <c r="K1291">
        <v>8.3000000000000007</v>
      </c>
      <c r="L1291">
        <v>18556594</v>
      </c>
      <c r="M1291">
        <v>490573</v>
      </c>
      <c r="N1291">
        <v>120</v>
      </c>
      <c r="O1291" t="s">
        <v>58</v>
      </c>
      <c r="P1291" t="s">
        <v>32</v>
      </c>
    </row>
    <row r="1292" spans="1:16" x14ac:dyDescent="0.35">
      <c r="A1292" t="s">
        <v>3910</v>
      </c>
      <c r="B1292" t="s">
        <v>3911</v>
      </c>
      <c r="C1292" t="s">
        <v>84</v>
      </c>
      <c r="D1292" t="s">
        <v>4178</v>
      </c>
      <c r="E1292" t="s">
        <v>4196</v>
      </c>
      <c r="F1292" s="1">
        <v>44779</v>
      </c>
      <c r="G1292">
        <v>2004</v>
      </c>
      <c r="H1292" t="s">
        <v>121</v>
      </c>
      <c r="I1292" t="s">
        <v>4234</v>
      </c>
      <c r="J1292" t="s">
        <v>40</v>
      </c>
      <c r="K1292">
        <v>6.3</v>
      </c>
      <c r="L1292">
        <v>-920</v>
      </c>
      <c r="M1292">
        <v>2695784</v>
      </c>
      <c r="N1292">
        <v>98</v>
      </c>
      <c r="O1292" t="s">
        <v>4178</v>
      </c>
      <c r="P1292" t="s">
        <v>32</v>
      </c>
    </row>
    <row r="1293" spans="1:16" x14ac:dyDescent="0.35">
      <c r="A1293" t="s">
        <v>1079</v>
      </c>
      <c r="B1293" t="s">
        <v>1078</v>
      </c>
      <c r="C1293" t="s">
        <v>84</v>
      </c>
      <c r="D1293" t="s">
        <v>61</v>
      </c>
      <c r="E1293" t="s">
        <v>4196</v>
      </c>
      <c r="F1293" s="1">
        <v>44784</v>
      </c>
      <c r="G1293">
        <v>2002</v>
      </c>
      <c r="H1293" t="s">
        <v>63</v>
      </c>
      <c r="I1293" t="s">
        <v>4186</v>
      </c>
      <c r="J1293" t="s">
        <v>4178</v>
      </c>
      <c r="K1293">
        <v>8.5</v>
      </c>
      <c r="L1293">
        <v>14248355</v>
      </c>
      <c r="M1293">
        <v>4148235</v>
      </c>
      <c r="N1293">
        <v>76</v>
      </c>
      <c r="O1293" t="s">
        <v>49</v>
      </c>
      <c r="P1293" t="s">
        <v>32</v>
      </c>
    </row>
    <row r="1294" spans="1:16" x14ac:dyDescent="0.35">
      <c r="A1294" t="s">
        <v>3918</v>
      </c>
      <c r="B1294" t="s">
        <v>3919</v>
      </c>
      <c r="C1294" t="s">
        <v>53</v>
      </c>
      <c r="D1294" t="s">
        <v>54</v>
      </c>
      <c r="E1294" t="s">
        <v>69</v>
      </c>
      <c r="F1294" s="1">
        <v>44786</v>
      </c>
      <c r="G1294">
        <v>2019</v>
      </c>
      <c r="H1294" t="s">
        <v>4178</v>
      </c>
      <c r="I1294" t="s">
        <v>162</v>
      </c>
      <c r="J1294" t="s">
        <v>133</v>
      </c>
      <c r="K1294">
        <v>6</v>
      </c>
      <c r="L1294">
        <v>16139892</v>
      </c>
      <c r="M1294">
        <v>421387</v>
      </c>
      <c r="N1294">
        <v>95</v>
      </c>
      <c r="O1294" t="s">
        <v>104</v>
      </c>
      <c r="P1294" t="s">
        <v>4181</v>
      </c>
    </row>
    <row r="1295" spans="1:16" x14ac:dyDescent="0.35">
      <c r="A1295" t="s">
        <v>4031</v>
      </c>
      <c r="B1295" t="s">
        <v>4032</v>
      </c>
      <c r="C1295" t="s">
        <v>84</v>
      </c>
      <c r="D1295" t="s">
        <v>27</v>
      </c>
      <c r="E1295" t="s">
        <v>37</v>
      </c>
      <c r="F1295" s="1">
        <v>44786</v>
      </c>
      <c r="G1295">
        <v>2009</v>
      </c>
      <c r="H1295" t="s">
        <v>107</v>
      </c>
      <c r="I1295" t="s">
        <v>4245</v>
      </c>
      <c r="J1295" t="s">
        <v>30</v>
      </c>
      <c r="K1295">
        <v>5.7</v>
      </c>
      <c r="L1295">
        <v>14182711</v>
      </c>
      <c r="M1295">
        <v>3060778</v>
      </c>
      <c r="N1295">
        <v>97</v>
      </c>
      <c r="O1295" t="s">
        <v>41</v>
      </c>
      <c r="P1295" t="s">
        <v>32</v>
      </c>
    </row>
    <row r="1296" spans="1:16" x14ac:dyDescent="0.35">
      <c r="A1296" t="s">
        <v>2521</v>
      </c>
      <c r="B1296" t="s">
        <v>2522</v>
      </c>
      <c r="C1296" t="s">
        <v>84</v>
      </c>
      <c r="D1296" t="s">
        <v>19</v>
      </c>
      <c r="E1296" t="s">
        <v>37</v>
      </c>
      <c r="F1296" s="1">
        <v>44787</v>
      </c>
      <c r="G1296">
        <v>2005</v>
      </c>
      <c r="H1296" t="s">
        <v>107</v>
      </c>
      <c r="I1296" t="s">
        <v>4210</v>
      </c>
      <c r="J1296" t="s">
        <v>4178</v>
      </c>
      <c r="K1296">
        <v>8.5</v>
      </c>
      <c r="L1296">
        <v>12260605</v>
      </c>
      <c r="M1296">
        <v>3924122</v>
      </c>
      <c r="N1296">
        <v>63</v>
      </c>
      <c r="O1296" t="s">
        <v>24</v>
      </c>
      <c r="P1296" t="s">
        <v>87</v>
      </c>
    </row>
    <row r="1297" spans="1:16" x14ac:dyDescent="0.35">
      <c r="A1297" t="s">
        <v>2461</v>
      </c>
      <c r="B1297" t="s">
        <v>2462</v>
      </c>
      <c r="C1297" t="s">
        <v>84</v>
      </c>
      <c r="D1297" t="s">
        <v>54</v>
      </c>
      <c r="E1297" t="s">
        <v>37</v>
      </c>
      <c r="F1297" s="1">
        <v>44793</v>
      </c>
      <c r="G1297">
        <v>2013</v>
      </c>
      <c r="H1297" t="s">
        <v>107</v>
      </c>
      <c r="I1297" t="s">
        <v>4178</v>
      </c>
      <c r="J1297" t="s">
        <v>30</v>
      </c>
      <c r="K1297">
        <v>5.3</v>
      </c>
      <c r="L1297">
        <v>869072</v>
      </c>
      <c r="M1297">
        <v>3582689</v>
      </c>
      <c r="N1297">
        <v>61</v>
      </c>
      <c r="O1297" t="s">
        <v>123</v>
      </c>
      <c r="P1297" t="s">
        <v>87</v>
      </c>
    </row>
    <row r="1298" spans="1:16" x14ac:dyDescent="0.35">
      <c r="A1298" t="s">
        <v>353</v>
      </c>
      <c r="B1298" t="s">
        <v>354</v>
      </c>
      <c r="C1298" t="s">
        <v>53</v>
      </c>
      <c r="D1298" t="s">
        <v>61</v>
      </c>
      <c r="E1298" t="s">
        <v>28</v>
      </c>
      <c r="F1298" s="1">
        <v>44801</v>
      </c>
      <c r="G1298">
        <v>2007</v>
      </c>
      <c r="H1298" t="s">
        <v>63</v>
      </c>
      <c r="I1298" t="s">
        <v>136</v>
      </c>
      <c r="J1298" t="s">
        <v>48</v>
      </c>
      <c r="K1298">
        <v>8.6999999999999993</v>
      </c>
      <c r="L1298">
        <v>15681692</v>
      </c>
      <c r="M1298">
        <v>2015812</v>
      </c>
      <c r="N1298">
        <v>62</v>
      </c>
      <c r="O1298" t="s">
        <v>31</v>
      </c>
      <c r="P1298" t="s">
        <v>32</v>
      </c>
    </row>
    <row r="1299" spans="1:16" x14ac:dyDescent="0.35">
      <c r="A1299" t="s">
        <v>393</v>
      </c>
      <c r="B1299" t="s">
        <v>394</v>
      </c>
      <c r="C1299" t="s">
        <v>84</v>
      </c>
      <c r="D1299" t="s">
        <v>19</v>
      </c>
      <c r="E1299" t="s">
        <v>131</v>
      </c>
      <c r="F1299" s="1">
        <v>44801</v>
      </c>
      <c r="G1299">
        <v>2023</v>
      </c>
      <c r="H1299" t="s">
        <v>4178</v>
      </c>
      <c r="I1299" t="s">
        <v>4178</v>
      </c>
      <c r="J1299" t="s">
        <v>48</v>
      </c>
      <c r="K1299">
        <v>6.5</v>
      </c>
      <c r="L1299">
        <v>11987583</v>
      </c>
      <c r="M1299">
        <v>4102928</v>
      </c>
      <c r="N1299">
        <v>78</v>
      </c>
      <c r="O1299" t="s">
        <v>41</v>
      </c>
      <c r="P1299" t="s">
        <v>87</v>
      </c>
    </row>
    <row r="1300" spans="1:16" x14ac:dyDescent="0.35">
      <c r="A1300" t="s">
        <v>405</v>
      </c>
      <c r="B1300" t="s">
        <v>406</v>
      </c>
      <c r="C1300" t="s">
        <v>53</v>
      </c>
      <c r="D1300" t="s">
        <v>4178</v>
      </c>
      <c r="E1300" t="s">
        <v>69</v>
      </c>
      <c r="F1300" s="1">
        <v>44802</v>
      </c>
      <c r="G1300">
        <v>2016</v>
      </c>
      <c r="H1300" t="s">
        <v>4178</v>
      </c>
      <c r="I1300" t="s">
        <v>95</v>
      </c>
      <c r="J1300" t="s">
        <v>103</v>
      </c>
      <c r="K1300">
        <v>6.3</v>
      </c>
      <c r="L1300">
        <v>22550293</v>
      </c>
      <c r="M1300">
        <v>2712197</v>
      </c>
      <c r="N1300">
        <v>90</v>
      </c>
      <c r="O1300" t="s">
        <v>49</v>
      </c>
      <c r="P1300" t="s">
        <v>4178</v>
      </c>
    </row>
    <row r="1301" spans="1:16" x14ac:dyDescent="0.35">
      <c r="A1301" t="s">
        <v>511</v>
      </c>
      <c r="B1301" t="s">
        <v>512</v>
      </c>
      <c r="C1301" t="s">
        <v>4178</v>
      </c>
      <c r="D1301" t="s">
        <v>90</v>
      </c>
      <c r="E1301" t="s">
        <v>113</v>
      </c>
      <c r="F1301" s="1">
        <v>44804</v>
      </c>
      <c r="G1301">
        <v>2015</v>
      </c>
      <c r="H1301" t="s">
        <v>85</v>
      </c>
      <c r="I1301" t="s">
        <v>56</v>
      </c>
      <c r="J1301" t="s">
        <v>96</v>
      </c>
      <c r="K1301">
        <v>5.3</v>
      </c>
      <c r="L1301">
        <v>13889449</v>
      </c>
      <c r="M1301">
        <v>2423150</v>
      </c>
      <c r="N1301">
        <v>61</v>
      </c>
      <c r="O1301" t="s">
        <v>104</v>
      </c>
      <c r="P1301" t="s">
        <v>32</v>
      </c>
    </row>
    <row r="1302" spans="1:16" x14ac:dyDescent="0.35">
      <c r="A1302" t="s">
        <v>1675</v>
      </c>
      <c r="B1302" t="s">
        <v>1676</v>
      </c>
      <c r="C1302" t="s">
        <v>84</v>
      </c>
      <c r="D1302" t="s">
        <v>54</v>
      </c>
      <c r="E1302" t="s">
        <v>28</v>
      </c>
      <c r="F1302" s="1">
        <v>44805</v>
      </c>
      <c r="G1302">
        <v>2005</v>
      </c>
      <c r="H1302" t="s">
        <v>107</v>
      </c>
      <c r="I1302" t="s">
        <v>4191</v>
      </c>
      <c r="J1302" t="s">
        <v>133</v>
      </c>
      <c r="K1302">
        <v>8.1999999999999993</v>
      </c>
      <c r="L1302">
        <v>22545004</v>
      </c>
      <c r="M1302">
        <v>2842260</v>
      </c>
      <c r="N1302">
        <v>51</v>
      </c>
      <c r="O1302" t="s">
        <v>65</v>
      </c>
      <c r="P1302" t="s">
        <v>4181</v>
      </c>
    </row>
    <row r="1303" spans="1:16" x14ac:dyDescent="0.35">
      <c r="A1303" t="s">
        <v>3271</v>
      </c>
      <c r="B1303" t="s">
        <v>3272</v>
      </c>
      <c r="C1303" t="s">
        <v>84</v>
      </c>
      <c r="D1303" t="s">
        <v>19</v>
      </c>
      <c r="E1303" t="s">
        <v>45</v>
      </c>
      <c r="F1303" s="1">
        <v>44808</v>
      </c>
      <c r="G1303">
        <v>2016</v>
      </c>
      <c r="H1303" t="s">
        <v>121</v>
      </c>
      <c r="I1303" t="s">
        <v>4224</v>
      </c>
      <c r="J1303" t="s">
        <v>72</v>
      </c>
      <c r="K1303">
        <v>6.7</v>
      </c>
      <c r="L1303">
        <v>4788478</v>
      </c>
      <c r="M1303">
        <v>4475336</v>
      </c>
      <c r="N1303">
        <v>58</v>
      </c>
      <c r="O1303" t="s">
        <v>91</v>
      </c>
      <c r="P1303" t="s">
        <v>4181</v>
      </c>
    </row>
    <row r="1304" spans="1:16" x14ac:dyDescent="0.35">
      <c r="A1304" t="s">
        <v>342</v>
      </c>
      <c r="B1304" t="s">
        <v>343</v>
      </c>
      <c r="C1304" t="s">
        <v>53</v>
      </c>
      <c r="D1304" t="s">
        <v>54</v>
      </c>
      <c r="E1304" t="s">
        <v>4178</v>
      </c>
      <c r="F1304" s="1">
        <v>44817</v>
      </c>
      <c r="G1304">
        <v>2023</v>
      </c>
      <c r="H1304" t="s">
        <v>46</v>
      </c>
      <c r="I1304" t="s">
        <v>136</v>
      </c>
      <c r="J1304" t="s">
        <v>40</v>
      </c>
      <c r="K1304">
        <v>4.9000000000000004</v>
      </c>
      <c r="L1304">
        <v>5901682</v>
      </c>
      <c r="M1304">
        <v>928039</v>
      </c>
      <c r="N1304">
        <v>58</v>
      </c>
      <c r="O1304" t="s">
        <v>41</v>
      </c>
      <c r="P1304" t="s">
        <v>4178</v>
      </c>
    </row>
    <row r="1305" spans="1:16" x14ac:dyDescent="0.35">
      <c r="A1305" t="s">
        <v>3492</v>
      </c>
      <c r="B1305" t="s">
        <v>3493</v>
      </c>
      <c r="C1305" t="s">
        <v>84</v>
      </c>
      <c r="D1305" t="s">
        <v>94</v>
      </c>
      <c r="E1305" t="s">
        <v>28</v>
      </c>
      <c r="F1305" s="1">
        <v>44818</v>
      </c>
      <c r="G1305">
        <v>2007</v>
      </c>
      <c r="H1305" t="s">
        <v>38</v>
      </c>
      <c r="I1305" t="s">
        <v>4231</v>
      </c>
      <c r="J1305" t="s">
        <v>96</v>
      </c>
      <c r="K1305">
        <v>8.8000000000000007</v>
      </c>
      <c r="L1305">
        <v>11693025</v>
      </c>
      <c r="M1305">
        <v>4539349</v>
      </c>
      <c r="N1305">
        <v>40</v>
      </c>
      <c r="O1305" t="s">
        <v>31</v>
      </c>
      <c r="P1305" t="s">
        <v>4178</v>
      </c>
    </row>
    <row r="1306" spans="1:16" x14ac:dyDescent="0.35">
      <c r="A1306" t="s">
        <v>2243</v>
      </c>
      <c r="B1306" t="s">
        <v>2244</v>
      </c>
      <c r="C1306" t="s">
        <v>53</v>
      </c>
      <c r="D1306" t="s">
        <v>19</v>
      </c>
      <c r="E1306" t="s">
        <v>37</v>
      </c>
      <c r="F1306" s="1">
        <v>44819</v>
      </c>
      <c r="G1306">
        <v>2013</v>
      </c>
      <c r="H1306" t="s">
        <v>114</v>
      </c>
      <c r="I1306" t="s">
        <v>39</v>
      </c>
      <c r="J1306" t="s">
        <v>153</v>
      </c>
      <c r="K1306">
        <v>9.6</v>
      </c>
      <c r="L1306">
        <v>19739690</v>
      </c>
      <c r="M1306">
        <v>1718990</v>
      </c>
      <c r="N1306">
        <v>43</v>
      </c>
      <c r="O1306" t="s">
        <v>24</v>
      </c>
      <c r="P1306" t="s">
        <v>4178</v>
      </c>
    </row>
    <row r="1307" spans="1:16" x14ac:dyDescent="0.35">
      <c r="A1307" t="s">
        <v>2326</v>
      </c>
      <c r="B1307" t="s">
        <v>2327</v>
      </c>
      <c r="C1307" t="s">
        <v>84</v>
      </c>
      <c r="D1307" t="s">
        <v>4178</v>
      </c>
      <c r="E1307" t="s">
        <v>99</v>
      </c>
      <c r="F1307" s="1">
        <v>44821</v>
      </c>
      <c r="G1307">
        <v>2024</v>
      </c>
      <c r="H1307" t="s">
        <v>85</v>
      </c>
      <c r="I1307" t="s">
        <v>4265</v>
      </c>
      <c r="J1307" t="s">
        <v>30</v>
      </c>
      <c r="K1307">
        <v>11.2</v>
      </c>
      <c r="L1307">
        <v>12805734</v>
      </c>
      <c r="M1307">
        <v>1385935</v>
      </c>
      <c r="N1307">
        <v>80</v>
      </c>
      <c r="O1307" t="s">
        <v>31</v>
      </c>
      <c r="P1307" t="s">
        <v>87</v>
      </c>
    </row>
    <row r="1308" spans="1:16" x14ac:dyDescent="0.35">
      <c r="A1308" t="s">
        <v>3045</v>
      </c>
      <c r="B1308" t="s">
        <v>3044</v>
      </c>
      <c r="C1308" t="s">
        <v>84</v>
      </c>
      <c r="D1308" t="s">
        <v>90</v>
      </c>
      <c r="E1308" t="s">
        <v>28</v>
      </c>
      <c r="F1308" s="1">
        <v>44822</v>
      </c>
      <c r="G1308">
        <v>2022</v>
      </c>
      <c r="H1308" t="s">
        <v>107</v>
      </c>
      <c r="I1308" t="s">
        <v>4293</v>
      </c>
      <c r="J1308" t="s">
        <v>133</v>
      </c>
      <c r="K1308">
        <v>8.1999999999999993</v>
      </c>
      <c r="L1308">
        <v>-528</v>
      </c>
      <c r="M1308">
        <v>3128107</v>
      </c>
      <c r="N1308">
        <v>91</v>
      </c>
      <c r="O1308" t="s">
        <v>58</v>
      </c>
      <c r="P1308" t="s">
        <v>4178</v>
      </c>
    </row>
    <row r="1309" spans="1:16" x14ac:dyDescent="0.35">
      <c r="A1309" t="s">
        <v>83</v>
      </c>
      <c r="B1309" t="s">
        <v>78</v>
      </c>
      <c r="C1309" t="s">
        <v>84</v>
      </c>
      <c r="D1309" t="s">
        <v>36</v>
      </c>
      <c r="E1309" t="s">
        <v>62</v>
      </c>
      <c r="F1309" s="1">
        <v>44825</v>
      </c>
      <c r="G1309">
        <v>2023</v>
      </c>
      <c r="H1309" t="s">
        <v>85</v>
      </c>
      <c r="I1309" t="s">
        <v>4186</v>
      </c>
      <c r="J1309" t="s">
        <v>40</v>
      </c>
      <c r="K1309">
        <v>5</v>
      </c>
      <c r="L1309">
        <v>11342589</v>
      </c>
      <c r="M1309">
        <v>1715408</v>
      </c>
      <c r="N1309">
        <v>97</v>
      </c>
      <c r="O1309" t="s">
        <v>4178</v>
      </c>
      <c r="P1309" t="s">
        <v>87</v>
      </c>
    </row>
    <row r="1310" spans="1:16" x14ac:dyDescent="0.35">
      <c r="A1310" t="s">
        <v>1145</v>
      </c>
      <c r="B1310" t="s">
        <v>1144</v>
      </c>
      <c r="C1310" t="s">
        <v>84</v>
      </c>
      <c r="D1310" t="s">
        <v>4178</v>
      </c>
      <c r="E1310" t="s">
        <v>62</v>
      </c>
      <c r="F1310" s="1">
        <v>44825</v>
      </c>
      <c r="G1310">
        <v>2018</v>
      </c>
      <c r="H1310" t="s">
        <v>46</v>
      </c>
      <c r="I1310" t="s">
        <v>4264</v>
      </c>
      <c r="J1310" t="s">
        <v>48</v>
      </c>
      <c r="K1310">
        <v>4.9000000000000004</v>
      </c>
      <c r="L1310">
        <v>24653950</v>
      </c>
      <c r="M1310">
        <v>834890</v>
      </c>
      <c r="N1310">
        <v>44</v>
      </c>
      <c r="O1310" t="s">
        <v>31</v>
      </c>
      <c r="P1310" t="s">
        <v>50</v>
      </c>
    </row>
    <row r="1311" spans="1:16" x14ac:dyDescent="0.35">
      <c r="A1311" t="s">
        <v>2229</v>
      </c>
      <c r="B1311" t="s">
        <v>2230</v>
      </c>
      <c r="C1311" t="s">
        <v>53</v>
      </c>
      <c r="D1311" t="s">
        <v>36</v>
      </c>
      <c r="E1311" t="s">
        <v>131</v>
      </c>
      <c r="F1311" s="1">
        <v>44825</v>
      </c>
      <c r="G1311">
        <v>2026</v>
      </c>
      <c r="H1311" t="s">
        <v>81</v>
      </c>
      <c r="I1311" t="s">
        <v>71</v>
      </c>
      <c r="J1311" t="s">
        <v>103</v>
      </c>
      <c r="K1311">
        <v>8.8000000000000007</v>
      </c>
      <c r="L1311">
        <v>19560631</v>
      </c>
      <c r="M1311">
        <v>4805860</v>
      </c>
      <c r="N1311">
        <v>90</v>
      </c>
      <c r="O1311" t="s">
        <v>123</v>
      </c>
      <c r="P1311" t="s">
        <v>4178</v>
      </c>
    </row>
    <row r="1312" spans="1:16" x14ac:dyDescent="0.35">
      <c r="A1312" t="s">
        <v>1178</v>
      </c>
      <c r="B1312" t="s">
        <v>1179</v>
      </c>
      <c r="C1312" t="s">
        <v>84</v>
      </c>
      <c r="D1312" t="s">
        <v>75</v>
      </c>
      <c r="E1312" t="s">
        <v>37</v>
      </c>
      <c r="F1312" s="1">
        <v>44827</v>
      </c>
      <c r="G1312">
        <v>2017</v>
      </c>
      <c r="H1312" t="s">
        <v>81</v>
      </c>
      <c r="I1312" t="s">
        <v>4256</v>
      </c>
      <c r="J1312" t="s">
        <v>57</v>
      </c>
      <c r="K1312">
        <v>5.8</v>
      </c>
      <c r="L1312">
        <v>636155</v>
      </c>
      <c r="M1312">
        <v>3616678</v>
      </c>
      <c r="N1312">
        <v>66</v>
      </c>
      <c r="O1312" t="s">
        <v>58</v>
      </c>
      <c r="P1312" t="s">
        <v>50</v>
      </c>
    </row>
    <row r="1313" spans="1:16" x14ac:dyDescent="0.35">
      <c r="A1313" t="s">
        <v>2430</v>
      </c>
      <c r="B1313" t="s">
        <v>2431</v>
      </c>
      <c r="C1313" t="s">
        <v>84</v>
      </c>
      <c r="D1313" t="s">
        <v>90</v>
      </c>
      <c r="E1313" t="s">
        <v>4178</v>
      </c>
      <c r="F1313" s="1">
        <v>44827</v>
      </c>
      <c r="G1313">
        <v>2006</v>
      </c>
      <c r="H1313" t="s">
        <v>121</v>
      </c>
      <c r="I1313" t="s">
        <v>4272</v>
      </c>
      <c r="J1313" t="s">
        <v>30</v>
      </c>
      <c r="K1313">
        <v>9.6999999999999993</v>
      </c>
      <c r="L1313">
        <v>10335568</v>
      </c>
      <c r="M1313">
        <v>1573252</v>
      </c>
      <c r="N1313">
        <v>43</v>
      </c>
      <c r="O1313" t="s">
        <v>123</v>
      </c>
      <c r="P1313" t="s">
        <v>4181</v>
      </c>
    </row>
    <row r="1314" spans="1:16" x14ac:dyDescent="0.35">
      <c r="A1314" t="s">
        <v>1481</v>
      </c>
      <c r="B1314" t="s">
        <v>1482</v>
      </c>
      <c r="C1314" t="s">
        <v>84</v>
      </c>
      <c r="D1314" t="s">
        <v>4178</v>
      </c>
      <c r="E1314" t="s">
        <v>20</v>
      </c>
      <c r="F1314" s="1">
        <v>44829</v>
      </c>
      <c r="G1314">
        <v>2003</v>
      </c>
      <c r="H1314" t="s">
        <v>107</v>
      </c>
      <c r="I1314" t="s">
        <v>4250</v>
      </c>
      <c r="J1314" t="s">
        <v>30</v>
      </c>
      <c r="K1314">
        <v>7.3</v>
      </c>
      <c r="L1314">
        <v>12370428</v>
      </c>
      <c r="M1314">
        <v>3468494</v>
      </c>
      <c r="N1314">
        <v>72</v>
      </c>
      <c r="O1314" t="s">
        <v>91</v>
      </c>
      <c r="P1314" t="s">
        <v>4181</v>
      </c>
    </row>
    <row r="1315" spans="1:16" x14ac:dyDescent="0.35">
      <c r="A1315" t="s">
        <v>3685</v>
      </c>
      <c r="B1315" t="s">
        <v>3686</v>
      </c>
      <c r="C1315" t="s">
        <v>53</v>
      </c>
      <c r="D1315" t="s">
        <v>27</v>
      </c>
      <c r="E1315" t="s">
        <v>55</v>
      </c>
      <c r="F1315" s="1">
        <v>44830</v>
      </c>
      <c r="G1315">
        <v>2026</v>
      </c>
      <c r="H1315" t="s">
        <v>85</v>
      </c>
      <c r="I1315" t="s">
        <v>4178</v>
      </c>
      <c r="J1315" t="s">
        <v>30</v>
      </c>
      <c r="K1315">
        <v>4.5999999999999996</v>
      </c>
      <c r="L1315">
        <v>8806201</v>
      </c>
      <c r="M1315">
        <v>3737181</v>
      </c>
      <c r="N1315">
        <v>76</v>
      </c>
      <c r="O1315" t="s">
        <v>65</v>
      </c>
      <c r="P1315" t="s">
        <v>50</v>
      </c>
    </row>
    <row r="1316" spans="1:16" x14ac:dyDescent="0.35">
      <c r="A1316" t="s">
        <v>2449</v>
      </c>
      <c r="B1316" t="s">
        <v>2450</v>
      </c>
      <c r="C1316" t="s">
        <v>4178</v>
      </c>
      <c r="D1316" t="s">
        <v>27</v>
      </c>
      <c r="E1316" t="s">
        <v>113</v>
      </c>
      <c r="F1316" s="1">
        <v>44832</v>
      </c>
      <c r="G1316">
        <v>2012</v>
      </c>
      <c r="H1316" t="s">
        <v>114</v>
      </c>
      <c r="I1316" t="s">
        <v>136</v>
      </c>
      <c r="J1316" t="s">
        <v>103</v>
      </c>
      <c r="K1316">
        <v>7.1</v>
      </c>
      <c r="L1316">
        <v>9956860</v>
      </c>
      <c r="M1316">
        <v>3978763</v>
      </c>
      <c r="N1316">
        <v>96</v>
      </c>
      <c r="O1316" t="s">
        <v>123</v>
      </c>
      <c r="P1316" t="s">
        <v>4181</v>
      </c>
    </row>
    <row r="1317" spans="1:16" x14ac:dyDescent="0.35">
      <c r="A1317" t="s">
        <v>3512</v>
      </c>
      <c r="B1317" t="s">
        <v>3513</v>
      </c>
      <c r="C1317" t="s">
        <v>84</v>
      </c>
      <c r="D1317" t="s">
        <v>4178</v>
      </c>
      <c r="E1317" t="s">
        <v>37</v>
      </c>
      <c r="F1317" s="1">
        <v>44835</v>
      </c>
      <c r="G1317">
        <v>2000</v>
      </c>
      <c r="H1317" t="s">
        <v>114</v>
      </c>
      <c r="I1317" t="s">
        <v>4228</v>
      </c>
      <c r="J1317" t="s">
        <v>133</v>
      </c>
      <c r="K1317">
        <v>9.6</v>
      </c>
      <c r="L1317">
        <v>8086540</v>
      </c>
      <c r="M1317">
        <v>1004267</v>
      </c>
      <c r="N1317">
        <v>98</v>
      </c>
      <c r="O1317" t="s">
        <v>31</v>
      </c>
      <c r="P1317" t="s">
        <v>50</v>
      </c>
    </row>
    <row r="1318" spans="1:16" x14ac:dyDescent="0.35">
      <c r="A1318" t="s">
        <v>3522</v>
      </c>
      <c r="B1318" t="s">
        <v>3523</v>
      </c>
      <c r="C1318" t="s">
        <v>84</v>
      </c>
      <c r="D1318" t="s">
        <v>4178</v>
      </c>
      <c r="E1318" t="s">
        <v>28</v>
      </c>
      <c r="F1318" s="1">
        <v>44835</v>
      </c>
      <c r="G1318">
        <v>2015</v>
      </c>
      <c r="H1318" t="s">
        <v>21</v>
      </c>
      <c r="I1318" t="s">
        <v>4272</v>
      </c>
      <c r="J1318" t="s">
        <v>23</v>
      </c>
      <c r="K1318">
        <v>6.6</v>
      </c>
      <c r="L1318">
        <v>14510250</v>
      </c>
      <c r="M1318">
        <v>1714877</v>
      </c>
      <c r="N1318">
        <v>95</v>
      </c>
      <c r="O1318" t="s">
        <v>4178</v>
      </c>
      <c r="P1318" t="s">
        <v>4178</v>
      </c>
    </row>
    <row r="1319" spans="1:16" x14ac:dyDescent="0.35">
      <c r="A1319" t="s">
        <v>3904</v>
      </c>
      <c r="B1319" t="s">
        <v>4398</v>
      </c>
      <c r="C1319" t="s">
        <v>53</v>
      </c>
      <c r="D1319" t="s">
        <v>75</v>
      </c>
      <c r="E1319" t="s">
        <v>20</v>
      </c>
      <c r="F1319" s="1">
        <v>44836</v>
      </c>
      <c r="G1319">
        <v>2022</v>
      </c>
      <c r="H1319" t="s">
        <v>121</v>
      </c>
      <c r="I1319" t="s">
        <v>64</v>
      </c>
      <c r="J1319" t="s">
        <v>72</v>
      </c>
      <c r="K1319">
        <v>9</v>
      </c>
      <c r="L1319">
        <v>4464721</v>
      </c>
      <c r="M1319">
        <v>1553241</v>
      </c>
      <c r="N1319">
        <v>120</v>
      </c>
      <c r="O1319" t="s">
        <v>104</v>
      </c>
      <c r="P1319" t="s">
        <v>4178</v>
      </c>
    </row>
    <row r="1320" spans="1:16" x14ac:dyDescent="0.35">
      <c r="A1320" t="s">
        <v>1184</v>
      </c>
      <c r="B1320" t="s">
        <v>1185</v>
      </c>
      <c r="C1320" t="s">
        <v>53</v>
      </c>
      <c r="D1320" t="s">
        <v>61</v>
      </c>
      <c r="E1320" t="s">
        <v>4178</v>
      </c>
      <c r="F1320" s="1">
        <v>44837</v>
      </c>
      <c r="G1320">
        <v>2005</v>
      </c>
      <c r="H1320" t="s">
        <v>38</v>
      </c>
      <c r="I1320" t="s">
        <v>95</v>
      </c>
      <c r="J1320" t="s">
        <v>96</v>
      </c>
      <c r="K1320">
        <v>9.4</v>
      </c>
      <c r="L1320">
        <v>14651746</v>
      </c>
      <c r="M1320">
        <v>3539775</v>
      </c>
      <c r="N1320">
        <v>61</v>
      </c>
      <c r="O1320" t="s">
        <v>104</v>
      </c>
      <c r="P1320" t="s">
        <v>4181</v>
      </c>
    </row>
    <row r="1321" spans="1:16" x14ac:dyDescent="0.35">
      <c r="A1321" t="s">
        <v>985</v>
      </c>
      <c r="B1321" t="s">
        <v>4288</v>
      </c>
      <c r="C1321" t="s">
        <v>84</v>
      </c>
      <c r="D1321" t="s">
        <v>75</v>
      </c>
      <c r="E1321" t="s">
        <v>99</v>
      </c>
      <c r="F1321" s="1">
        <v>44840</v>
      </c>
      <c r="G1321">
        <v>2003</v>
      </c>
      <c r="H1321" t="s">
        <v>107</v>
      </c>
      <c r="I1321" t="s">
        <v>4289</v>
      </c>
      <c r="J1321" t="s">
        <v>103</v>
      </c>
      <c r="K1321">
        <v>5.4</v>
      </c>
      <c r="L1321">
        <v>7892053</v>
      </c>
      <c r="M1321">
        <v>4740421</v>
      </c>
      <c r="N1321">
        <v>50</v>
      </c>
      <c r="O1321" t="s">
        <v>91</v>
      </c>
      <c r="P1321" t="s">
        <v>4181</v>
      </c>
    </row>
    <row r="1322" spans="1:16" x14ac:dyDescent="0.35">
      <c r="A1322" t="s">
        <v>2940</v>
      </c>
      <c r="B1322" t="s">
        <v>2941</v>
      </c>
      <c r="C1322" t="s">
        <v>4178</v>
      </c>
      <c r="D1322" t="s">
        <v>27</v>
      </c>
      <c r="E1322" t="s">
        <v>4178</v>
      </c>
      <c r="F1322" s="1">
        <v>44841</v>
      </c>
      <c r="G1322">
        <v>2005</v>
      </c>
      <c r="H1322" t="s">
        <v>46</v>
      </c>
      <c r="I1322" t="s">
        <v>56</v>
      </c>
      <c r="J1322" t="s">
        <v>48</v>
      </c>
      <c r="K1322">
        <v>7.7</v>
      </c>
      <c r="L1322">
        <v>17997817</v>
      </c>
      <c r="M1322">
        <v>4011214</v>
      </c>
      <c r="N1322">
        <v>87</v>
      </c>
      <c r="O1322" t="s">
        <v>65</v>
      </c>
      <c r="P1322" t="s">
        <v>4178</v>
      </c>
    </row>
    <row r="1323" spans="1:16" x14ac:dyDescent="0.35">
      <c r="A1323" t="s">
        <v>4029</v>
      </c>
      <c r="B1323" t="s">
        <v>4030</v>
      </c>
      <c r="C1323" t="s">
        <v>84</v>
      </c>
      <c r="D1323" t="s">
        <v>54</v>
      </c>
      <c r="E1323" t="s">
        <v>62</v>
      </c>
      <c r="F1323" s="1">
        <v>44842</v>
      </c>
      <c r="G1323">
        <v>2025</v>
      </c>
      <c r="H1323" t="s">
        <v>81</v>
      </c>
      <c r="I1323" t="s">
        <v>4245</v>
      </c>
      <c r="J1323" t="s">
        <v>103</v>
      </c>
      <c r="K1323">
        <v>8.8000000000000007</v>
      </c>
      <c r="L1323">
        <v>13691438</v>
      </c>
      <c r="M1323">
        <v>2740766</v>
      </c>
      <c r="N1323">
        <v>57</v>
      </c>
      <c r="O1323" t="s">
        <v>41</v>
      </c>
      <c r="P1323" t="s">
        <v>87</v>
      </c>
    </row>
    <row r="1324" spans="1:16" x14ac:dyDescent="0.35">
      <c r="A1324" t="s">
        <v>4115</v>
      </c>
      <c r="B1324" t="s">
        <v>4116</v>
      </c>
      <c r="C1324" t="s">
        <v>84</v>
      </c>
      <c r="D1324" t="s">
        <v>90</v>
      </c>
      <c r="E1324" t="s">
        <v>131</v>
      </c>
      <c r="F1324" s="1">
        <v>44844</v>
      </c>
      <c r="G1324">
        <v>2016</v>
      </c>
      <c r="H1324" t="s">
        <v>4178</v>
      </c>
      <c r="I1324" t="s">
        <v>4350</v>
      </c>
      <c r="J1324" t="s">
        <v>103</v>
      </c>
      <c r="K1324">
        <v>8.1</v>
      </c>
      <c r="L1324">
        <v>9885035</v>
      </c>
      <c r="M1324">
        <v>1868502</v>
      </c>
      <c r="N1324">
        <v>66</v>
      </c>
      <c r="O1324" t="s">
        <v>123</v>
      </c>
      <c r="P1324" t="s">
        <v>4181</v>
      </c>
    </row>
    <row r="1325" spans="1:16" x14ac:dyDescent="0.35">
      <c r="A1325" t="s">
        <v>2170</v>
      </c>
      <c r="B1325" t="s">
        <v>2171</v>
      </c>
      <c r="C1325" t="s">
        <v>53</v>
      </c>
      <c r="D1325" t="s">
        <v>90</v>
      </c>
      <c r="E1325" t="s">
        <v>69</v>
      </c>
      <c r="F1325" s="1">
        <v>44845</v>
      </c>
      <c r="G1325">
        <v>2003</v>
      </c>
      <c r="H1325" t="s">
        <v>46</v>
      </c>
      <c r="I1325" t="s">
        <v>4178</v>
      </c>
      <c r="J1325" t="s">
        <v>153</v>
      </c>
      <c r="K1325">
        <v>7.4</v>
      </c>
      <c r="L1325">
        <v>21456590</v>
      </c>
      <c r="M1325">
        <v>628493</v>
      </c>
      <c r="N1325">
        <v>44</v>
      </c>
      <c r="O1325" t="s">
        <v>31</v>
      </c>
      <c r="P1325" t="s">
        <v>4181</v>
      </c>
    </row>
    <row r="1326" spans="1:16" x14ac:dyDescent="0.35">
      <c r="A1326" t="s">
        <v>952</v>
      </c>
      <c r="B1326" t="s">
        <v>953</v>
      </c>
      <c r="C1326" t="s">
        <v>53</v>
      </c>
      <c r="D1326" t="s">
        <v>68</v>
      </c>
      <c r="E1326" t="s">
        <v>80</v>
      </c>
      <c r="F1326" s="1">
        <v>44847</v>
      </c>
      <c r="G1326">
        <v>2011</v>
      </c>
      <c r="H1326" t="s">
        <v>63</v>
      </c>
      <c r="I1326" t="s">
        <v>39</v>
      </c>
      <c r="J1326" t="s">
        <v>48</v>
      </c>
      <c r="K1326">
        <v>5.6</v>
      </c>
      <c r="L1326">
        <v>4050652</v>
      </c>
      <c r="M1326">
        <v>2357646</v>
      </c>
      <c r="N1326">
        <v>71</v>
      </c>
      <c r="O1326" t="s">
        <v>58</v>
      </c>
      <c r="P1326" t="s">
        <v>50</v>
      </c>
    </row>
    <row r="1327" spans="1:16" x14ac:dyDescent="0.35">
      <c r="A1327" t="s">
        <v>1116</v>
      </c>
      <c r="B1327" t="s">
        <v>1117</v>
      </c>
      <c r="C1327" t="s">
        <v>84</v>
      </c>
      <c r="D1327" t="s">
        <v>90</v>
      </c>
      <c r="E1327" t="s">
        <v>69</v>
      </c>
      <c r="F1327" s="1">
        <v>44847</v>
      </c>
      <c r="G1327">
        <v>2000</v>
      </c>
      <c r="H1327" t="s">
        <v>21</v>
      </c>
      <c r="I1327" t="s">
        <v>4205</v>
      </c>
      <c r="J1327" t="s">
        <v>133</v>
      </c>
      <c r="K1327">
        <v>7.2</v>
      </c>
      <c r="L1327">
        <v>22941048</v>
      </c>
      <c r="M1327">
        <v>662911</v>
      </c>
      <c r="N1327">
        <v>88</v>
      </c>
      <c r="O1327" t="s">
        <v>24</v>
      </c>
      <c r="P1327" t="s">
        <v>87</v>
      </c>
    </row>
    <row r="1328" spans="1:16" x14ac:dyDescent="0.35">
      <c r="A1328" t="s">
        <v>369</v>
      </c>
      <c r="B1328" t="s">
        <v>370</v>
      </c>
      <c r="C1328" t="s">
        <v>53</v>
      </c>
      <c r="D1328" t="s">
        <v>68</v>
      </c>
      <c r="E1328" t="s">
        <v>55</v>
      </c>
      <c r="F1328" s="1">
        <v>44849</v>
      </c>
      <c r="G1328">
        <v>2006</v>
      </c>
      <c r="H1328" t="s">
        <v>4178</v>
      </c>
      <c r="I1328" t="s">
        <v>118</v>
      </c>
      <c r="J1328" t="s">
        <v>96</v>
      </c>
      <c r="K1328">
        <v>7.1</v>
      </c>
      <c r="L1328">
        <v>23686715</v>
      </c>
      <c r="M1328">
        <v>2028623</v>
      </c>
      <c r="N1328">
        <v>120</v>
      </c>
      <c r="O1328" t="s">
        <v>49</v>
      </c>
      <c r="P1328" t="s">
        <v>4181</v>
      </c>
    </row>
    <row r="1329" spans="1:16" x14ac:dyDescent="0.35">
      <c r="A1329" t="s">
        <v>3458</v>
      </c>
      <c r="B1329" t="s">
        <v>3459</v>
      </c>
      <c r="C1329" t="s">
        <v>53</v>
      </c>
      <c r="D1329" t="s">
        <v>54</v>
      </c>
      <c r="E1329" t="s">
        <v>113</v>
      </c>
      <c r="F1329" s="1">
        <v>44850</v>
      </c>
      <c r="G1329">
        <v>2032</v>
      </c>
      <c r="H1329" t="s">
        <v>107</v>
      </c>
      <c r="I1329" t="s">
        <v>39</v>
      </c>
      <c r="J1329" t="s">
        <v>48</v>
      </c>
      <c r="K1329">
        <v>6.1</v>
      </c>
      <c r="L1329">
        <v>9808730</v>
      </c>
      <c r="M1329">
        <v>3218767</v>
      </c>
      <c r="N1329">
        <v>42</v>
      </c>
      <c r="O1329" t="s">
        <v>41</v>
      </c>
      <c r="P1329" t="s">
        <v>4178</v>
      </c>
    </row>
    <row r="1330" spans="1:16" x14ac:dyDescent="0.35">
      <c r="A1330" t="s">
        <v>789</v>
      </c>
      <c r="B1330" t="s">
        <v>790</v>
      </c>
      <c r="C1330" t="s">
        <v>53</v>
      </c>
      <c r="D1330" t="s">
        <v>27</v>
      </c>
      <c r="E1330" t="s">
        <v>4178</v>
      </c>
      <c r="F1330" s="1">
        <v>44852</v>
      </c>
      <c r="G1330">
        <v>2004</v>
      </c>
      <c r="H1330" t="s">
        <v>107</v>
      </c>
      <c r="I1330" t="s">
        <v>95</v>
      </c>
      <c r="J1330" t="s">
        <v>4178</v>
      </c>
      <c r="K1330">
        <v>7.5</v>
      </c>
      <c r="L1330">
        <v>12176885</v>
      </c>
      <c r="M1330">
        <v>2295036</v>
      </c>
      <c r="N1330">
        <v>80</v>
      </c>
      <c r="O1330" t="s">
        <v>104</v>
      </c>
      <c r="P1330" t="s">
        <v>4178</v>
      </c>
    </row>
    <row r="1331" spans="1:16" x14ac:dyDescent="0.35">
      <c r="A1331" t="s">
        <v>3159</v>
      </c>
      <c r="B1331" t="s">
        <v>3158</v>
      </c>
      <c r="C1331" t="s">
        <v>53</v>
      </c>
      <c r="D1331" t="s">
        <v>54</v>
      </c>
      <c r="E1331" t="s">
        <v>69</v>
      </c>
      <c r="F1331" s="1">
        <v>44852</v>
      </c>
      <c r="G1331">
        <v>2026</v>
      </c>
      <c r="H1331" t="s">
        <v>38</v>
      </c>
      <c r="I1331" t="s">
        <v>95</v>
      </c>
      <c r="J1331" t="s">
        <v>72</v>
      </c>
      <c r="K1331">
        <v>8.6999999999999993</v>
      </c>
      <c r="L1331">
        <v>10159826</v>
      </c>
      <c r="M1331">
        <v>1390132</v>
      </c>
      <c r="N1331">
        <v>81</v>
      </c>
      <c r="O1331" t="s">
        <v>49</v>
      </c>
      <c r="P1331" t="s">
        <v>87</v>
      </c>
    </row>
    <row r="1332" spans="1:16" x14ac:dyDescent="0.35">
      <c r="A1332" t="s">
        <v>442</v>
      </c>
      <c r="B1332" t="s">
        <v>443</v>
      </c>
      <c r="C1332" t="s">
        <v>53</v>
      </c>
      <c r="D1332" t="s">
        <v>36</v>
      </c>
      <c r="E1332" t="s">
        <v>4178</v>
      </c>
      <c r="F1332" s="1">
        <v>44853</v>
      </c>
      <c r="G1332">
        <v>2015</v>
      </c>
      <c r="H1332" t="s">
        <v>107</v>
      </c>
      <c r="I1332" t="s">
        <v>118</v>
      </c>
      <c r="J1332" t="s">
        <v>96</v>
      </c>
      <c r="K1332">
        <v>8.5</v>
      </c>
      <c r="L1332">
        <v>6883338</v>
      </c>
      <c r="M1332">
        <v>4425774</v>
      </c>
      <c r="N1332">
        <v>63</v>
      </c>
      <c r="O1332" t="s">
        <v>31</v>
      </c>
      <c r="P1332" t="s">
        <v>4181</v>
      </c>
    </row>
    <row r="1333" spans="1:16" x14ac:dyDescent="0.35">
      <c r="A1333" t="s">
        <v>4081</v>
      </c>
      <c r="B1333" t="s">
        <v>4082</v>
      </c>
      <c r="C1333" t="s">
        <v>53</v>
      </c>
      <c r="D1333" t="s">
        <v>27</v>
      </c>
      <c r="E1333" t="s">
        <v>28</v>
      </c>
      <c r="F1333" s="1">
        <v>44861</v>
      </c>
      <c r="G1333">
        <v>2018</v>
      </c>
      <c r="H1333" t="s">
        <v>85</v>
      </c>
      <c r="I1333" t="s">
        <v>39</v>
      </c>
      <c r="J1333" t="s">
        <v>30</v>
      </c>
      <c r="K1333">
        <v>6.5</v>
      </c>
      <c r="L1333">
        <v>2095405</v>
      </c>
      <c r="M1333">
        <v>4364478</v>
      </c>
      <c r="N1333">
        <v>43</v>
      </c>
      <c r="O1333" t="s">
        <v>65</v>
      </c>
      <c r="P1333" t="s">
        <v>4181</v>
      </c>
    </row>
    <row r="1334" spans="1:16" x14ac:dyDescent="0.35">
      <c r="A1334" t="s">
        <v>858</v>
      </c>
      <c r="B1334" t="s">
        <v>859</v>
      </c>
      <c r="C1334" t="s">
        <v>84</v>
      </c>
      <c r="D1334" t="s">
        <v>19</v>
      </c>
      <c r="E1334" t="s">
        <v>55</v>
      </c>
      <c r="F1334" s="1">
        <v>44866</v>
      </c>
      <c r="G1334">
        <v>2024</v>
      </c>
      <c r="H1334" t="s">
        <v>46</v>
      </c>
      <c r="I1334" t="s">
        <v>4225</v>
      </c>
      <c r="J1334" t="s">
        <v>40</v>
      </c>
      <c r="K1334">
        <v>8.3000000000000007</v>
      </c>
      <c r="L1334">
        <v>4780753</v>
      </c>
      <c r="M1334">
        <v>1476042</v>
      </c>
      <c r="N1334">
        <v>41</v>
      </c>
      <c r="O1334" t="s">
        <v>4178</v>
      </c>
      <c r="P1334" t="s">
        <v>87</v>
      </c>
    </row>
    <row r="1335" spans="1:16" x14ac:dyDescent="0.35">
      <c r="A1335" t="s">
        <v>1139</v>
      </c>
      <c r="B1335" t="s">
        <v>1140</v>
      </c>
      <c r="C1335" t="s">
        <v>53</v>
      </c>
      <c r="D1335" t="s">
        <v>61</v>
      </c>
      <c r="E1335" t="s">
        <v>45</v>
      </c>
      <c r="F1335" s="1">
        <v>44867</v>
      </c>
      <c r="G1335">
        <v>2010</v>
      </c>
      <c r="H1335" t="s">
        <v>107</v>
      </c>
      <c r="I1335" t="s">
        <v>39</v>
      </c>
      <c r="J1335" t="s">
        <v>30</v>
      </c>
      <c r="K1335">
        <v>6.1</v>
      </c>
      <c r="L1335">
        <v>22549545</v>
      </c>
      <c r="M1335">
        <v>3915701</v>
      </c>
      <c r="N1335">
        <v>69</v>
      </c>
      <c r="O1335" t="s">
        <v>104</v>
      </c>
      <c r="P1335" t="s">
        <v>50</v>
      </c>
    </row>
    <row r="1336" spans="1:16" x14ac:dyDescent="0.35">
      <c r="A1336" t="s">
        <v>2987</v>
      </c>
      <c r="B1336" t="s">
        <v>2988</v>
      </c>
      <c r="C1336" t="s">
        <v>84</v>
      </c>
      <c r="D1336" t="s">
        <v>4178</v>
      </c>
      <c r="E1336" t="s">
        <v>69</v>
      </c>
      <c r="F1336" s="1">
        <v>44869</v>
      </c>
      <c r="G1336">
        <v>2011</v>
      </c>
      <c r="H1336" t="s">
        <v>81</v>
      </c>
      <c r="I1336" t="s">
        <v>4290</v>
      </c>
      <c r="J1336" t="s">
        <v>103</v>
      </c>
      <c r="K1336">
        <v>7.2</v>
      </c>
      <c r="L1336">
        <v>16370735</v>
      </c>
      <c r="M1336">
        <v>230901</v>
      </c>
      <c r="N1336">
        <v>68</v>
      </c>
      <c r="O1336" t="s">
        <v>123</v>
      </c>
      <c r="P1336" t="s">
        <v>4181</v>
      </c>
    </row>
    <row r="1337" spans="1:16" x14ac:dyDescent="0.35">
      <c r="A1337" t="s">
        <v>1978</v>
      </c>
      <c r="B1337" t="s">
        <v>1979</v>
      </c>
      <c r="C1337" t="s">
        <v>4178</v>
      </c>
      <c r="D1337" t="s">
        <v>19</v>
      </c>
      <c r="E1337" t="s">
        <v>55</v>
      </c>
      <c r="F1337" s="1">
        <v>44872</v>
      </c>
      <c r="G1337">
        <v>2010</v>
      </c>
      <c r="H1337" t="s">
        <v>4178</v>
      </c>
      <c r="I1337" t="s">
        <v>56</v>
      </c>
      <c r="J1337" t="s">
        <v>30</v>
      </c>
      <c r="K1337">
        <v>8.8000000000000007</v>
      </c>
      <c r="L1337">
        <v>6592081</v>
      </c>
      <c r="M1337">
        <v>3622052</v>
      </c>
      <c r="N1337">
        <v>75</v>
      </c>
      <c r="O1337" t="s">
        <v>31</v>
      </c>
      <c r="P1337" t="s">
        <v>4181</v>
      </c>
    </row>
    <row r="1338" spans="1:16" x14ac:dyDescent="0.35">
      <c r="A1338" t="s">
        <v>2653</v>
      </c>
      <c r="B1338" t="s">
        <v>2654</v>
      </c>
      <c r="C1338" t="s">
        <v>84</v>
      </c>
      <c r="D1338" t="s">
        <v>68</v>
      </c>
      <c r="E1338" t="s">
        <v>69</v>
      </c>
      <c r="F1338" s="1">
        <v>44885</v>
      </c>
      <c r="G1338">
        <v>2006</v>
      </c>
      <c r="H1338" t="s">
        <v>114</v>
      </c>
      <c r="I1338" t="s">
        <v>4272</v>
      </c>
      <c r="J1338" t="s">
        <v>72</v>
      </c>
      <c r="K1338">
        <v>5.5</v>
      </c>
      <c r="L1338">
        <v>24642150</v>
      </c>
      <c r="M1338">
        <v>4950440</v>
      </c>
      <c r="N1338">
        <v>81</v>
      </c>
      <c r="O1338" t="s">
        <v>24</v>
      </c>
      <c r="P1338" t="s">
        <v>4178</v>
      </c>
    </row>
    <row r="1339" spans="1:16" x14ac:dyDescent="0.35">
      <c r="A1339" t="s">
        <v>3994</v>
      </c>
      <c r="B1339" t="s">
        <v>3995</v>
      </c>
      <c r="C1339" t="s">
        <v>53</v>
      </c>
      <c r="D1339" t="s">
        <v>61</v>
      </c>
      <c r="E1339" t="s">
        <v>113</v>
      </c>
      <c r="F1339" s="1">
        <v>44886</v>
      </c>
      <c r="G1339">
        <v>2019</v>
      </c>
      <c r="H1339" t="s">
        <v>121</v>
      </c>
      <c r="I1339" t="s">
        <v>39</v>
      </c>
      <c r="J1339" t="s">
        <v>30</v>
      </c>
      <c r="K1339">
        <v>5.4</v>
      </c>
      <c r="L1339">
        <v>22156051</v>
      </c>
      <c r="M1339">
        <v>1447536</v>
      </c>
      <c r="N1339">
        <v>86</v>
      </c>
      <c r="O1339" t="s">
        <v>58</v>
      </c>
      <c r="P1339" t="s">
        <v>4181</v>
      </c>
    </row>
    <row r="1340" spans="1:16" x14ac:dyDescent="0.35">
      <c r="A1340" t="s">
        <v>252</v>
      </c>
      <c r="B1340" t="s">
        <v>253</v>
      </c>
      <c r="C1340" t="s">
        <v>84</v>
      </c>
      <c r="D1340" t="s">
        <v>75</v>
      </c>
      <c r="E1340" t="s">
        <v>113</v>
      </c>
      <c r="F1340" s="1">
        <v>44889</v>
      </c>
      <c r="G1340">
        <v>2003</v>
      </c>
      <c r="H1340" t="s">
        <v>81</v>
      </c>
      <c r="I1340" t="s">
        <v>4213</v>
      </c>
      <c r="J1340" t="s">
        <v>153</v>
      </c>
      <c r="K1340">
        <v>7.3</v>
      </c>
      <c r="L1340">
        <v>13162087</v>
      </c>
      <c r="M1340">
        <v>3877514</v>
      </c>
      <c r="N1340">
        <v>48</v>
      </c>
      <c r="O1340" t="s">
        <v>104</v>
      </c>
      <c r="P1340" t="s">
        <v>4181</v>
      </c>
    </row>
    <row r="1341" spans="1:16" x14ac:dyDescent="0.35">
      <c r="A1341" t="s">
        <v>1306</v>
      </c>
      <c r="B1341" t="s">
        <v>1307</v>
      </c>
      <c r="C1341" t="s">
        <v>84</v>
      </c>
      <c r="D1341" t="s">
        <v>156</v>
      </c>
      <c r="E1341" t="s">
        <v>37</v>
      </c>
      <c r="F1341" s="1">
        <v>44898</v>
      </c>
      <c r="G1341">
        <v>2014</v>
      </c>
      <c r="H1341" t="s">
        <v>63</v>
      </c>
      <c r="I1341" t="s">
        <v>4293</v>
      </c>
      <c r="J1341" t="s">
        <v>133</v>
      </c>
      <c r="K1341">
        <v>9.6999999999999993</v>
      </c>
      <c r="L1341">
        <v>12821897</v>
      </c>
      <c r="M1341">
        <v>3811250</v>
      </c>
      <c r="N1341">
        <v>51</v>
      </c>
      <c r="O1341" t="s">
        <v>31</v>
      </c>
      <c r="P1341" t="s">
        <v>87</v>
      </c>
    </row>
    <row r="1342" spans="1:16" x14ac:dyDescent="0.35">
      <c r="A1342" t="s">
        <v>2556</v>
      </c>
      <c r="B1342" t="s">
        <v>2557</v>
      </c>
      <c r="C1342" t="s">
        <v>53</v>
      </c>
      <c r="D1342" t="s">
        <v>54</v>
      </c>
      <c r="E1342" t="s">
        <v>69</v>
      </c>
      <c r="F1342" s="1">
        <v>44899</v>
      </c>
      <c r="G1342">
        <v>2025</v>
      </c>
      <c r="H1342" t="s">
        <v>38</v>
      </c>
      <c r="I1342" t="s">
        <v>64</v>
      </c>
      <c r="J1342" t="s">
        <v>30</v>
      </c>
      <c r="K1342">
        <v>4.8</v>
      </c>
      <c r="L1342">
        <v>17935598</v>
      </c>
      <c r="M1342">
        <v>2908646</v>
      </c>
      <c r="N1342">
        <v>56</v>
      </c>
      <c r="O1342" t="s">
        <v>104</v>
      </c>
      <c r="P1342" t="s">
        <v>32</v>
      </c>
    </row>
    <row r="1343" spans="1:16" x14ac:dyDescent="0.35">
      <c r="A1343" t="s">
        <v>674</v>
      </c>
      <c r="B1343" t="s">
        <v>675</v>
      </c>
      <c r="C1343" t="s">
        <v>4178</v>
      </c>
      <c r="D1343" t="s">
        <v>61</v>
      </c>
      <c r="E1343" t="s">
        <v>131</v>
      </c>
      <c r="F1343" s="1">
        <v>44901</v>
      </c>
      <c r="G1343">
        <v>2009</v>
      </c>
      <c r="H1343" t="s">
        <v>107</v>
      </c>
      <c r="I1343" t="s">
        <v>64</v>
      </c>
      <c r="J1343" t="s">
        <v>133</v>
      </c>
      <c r="K1343">
        <v>9.1</v>
      </c>
      <c r="L1343">
        <v>21622497</v>
      </c>
      <c r="M1343">
        <v>4747707</v>
      </c>
      <c r="N1343">
        <v>59</v>
      </c>
      <c r="O1343" t="s">
        <v>65</v>
      </c>
      <c r="P1343" t="s">
        <v>4181</v>
      </c>
    </row>
    <row r="1344" spans="1:16" x14ac:dyDescent="0.35">
      <c r="A1344" t="s">
        <v>2125</v>
      </c>
      <c r="B1344" t="s">
        <v>2126</v>
      </c>
      <c r="C1344" t="s">
        <v>53</v>
      </c>
      <c r="D1344" t="s">
        <v>4178</v>
      </c>
      <c r="E1344" t="s">
        <v>4178</v>
      </c>
      <c r="F1344" s="1">
        <v>44901</v>
      </c>
      <c r="G1344">
        <v>2003</v>
      </c>
      <c r="H1344" t="s">
        <v>107</v>
      </c>
      <c r="I1344" t="s">
        <v>71</v>
      </c>
      <c r="J1344" t="s">
        <v>23</v>
      </c>
      <c r="K1344">
        <v>6.8</v>
      </c>
      <c r="L1344">
        <v>12357852</v>
      </c>
      <c r="M1344">
        <v>3910339</v>
      </c>
      <c r="N1344">
        <v>96</v>
      </c>
      <c r="O1344" t="s">
        <v>49</v>
      </c>
      <c r="P1344" t="s">
        <v>32</v>
      </c>
    </row>
    <row r="1345" spans="1:16" x14ac:dyDescent="0.35">
      <c r="A1345" t="s">
        <v>1423</v>
      </c>
      <c r="B1345" t="s">
        <v>1424</v>
      </c>
      <c r="C1345" t="s">
        <v>4178</v>
      </c>
      <c r="D1345" t="s">
        <v>156</v>
      </c>
      <c r="E1345" t="s">
        <v>80</v>
      </c>
      <c r="F1345" s="1">
        <v>44912</v>
      </c>
      <c r="G1345">
        <v>2017</v>
      </c>
      <c r="H1345" t="s">
        <v>38</v>
      </c>
      <c r="I1345" t="s">
        <v>95</v>
      </c>
      <c r="J1345" t="s">
        <v>40</v>
      </c>
      <c r="K1345">
        <v>8.6</v>
      </c>
      <c r="L1345">
        <v>7855603</v>
      </c>
      <c r="M1345">
        <v>3296623</v>
      </c>
      <c r="N1345">
        <v>79</v>
      </c>
      <c r="O1345" t="s">
        <v>65</v>
      </c>
      <c r="P1345" t="s">
        <v>87</v>
      </c>
    </row>
    <row r="1346" spans="1:16" x14ac:dyDescent="0.35">
      <c r="A1346" t="s">
        <v>2952</v>
      </c>
      <c r="B1346" t="s">
        <v>2953</v>
      </c>
      <c r="C1346" t="s">
        <v>84</v>
      </c>
      <c r="D1346" t="s">
        <v>61</v>
      </c>
      <c r="E1346" t="s">
        <v>55</v>
      </c>
      <c r="F1346" s="1">
        <v>44920</v>
      </c>
      <c r="G1346">
        <v>2026</v>
      </c>
      <c r="H1346" t="s">
        <v>114</v>
      </c>
      <c r="I1346" t="s">
        <v>4232</v>
      </c>
      <c r="J1346" t="s">
        <v>30</v>
      </c>
      <c r="K1346">
        <v>4.8</v>
      </c>
      <c r="L1346">
        <v>8607467</v>
      </c>
      <c r="M1346">
        <v>2430701</v>
      </c>
      <c r="N1346">
        <v>100</v>
      </c>
      <c r="O1346" t="s">
        <v>123</v>
      </c>
      <c r="P1346" t="s">
        <v>87</v>
      </c>
    </row>
    <row r="1347" spans="1:16" x14ac:dyDescent="0.35">
      <c r="A1347" t="s">
        <v>4035</v>
      </c>
      <c r="B1347" t="s">
        <v>4034</v>
      </c>
      <c r="C1347" t="s">
        <v>53</v>
      </c>
      <c r="D1347" t="s">
        <v>75</v>
      </c>
      <c r="E1347" t="s">
        <v>4178</v>
      </c>
      <c r="F1347" s="1">
        <v>44922</v>
      </c>
      <c r="G1347">
        <v>2024</v>
      </c>
      <c r="H1347" t="s">
        <v>81</v>
      </c>
      <c r="I1347" t="s">
        <v>71</v>
      </c>
      <c r="J1347" t="s">
        <v>40</v>
      </c>
      <c r="K1347">
        <v>4.5999999999999996</v>
      </c>
      <c r="L1347">
        <v>2482221</v>
      </c>
      <c r="M1347">
        <v>3878236</v>
      </c>
      <c r="N1347">
        <v>84</v>
      </c>
      <c r="O1347" t="s">
        <v>58</v>
      </c>
      <c r="P1347" t="s">
        <v>4178</v>
      </c>
    </row>
    <row r="1348" spans="1:16" x14ac:dyDescent="0.35">
      <c r="A1348" t="s">
        <v>1003</v>
      </c>
      <c r="B1348" t="s">
        <v>1004</v>
      </c>
      <c r="C1348" t="s">
        <v>84</v>
      </c>
      <c r="D1348" t="s">
        <v>19</v>
      </c>
      <c r="E1348" t="s">
        <v>4178</v>
      </c>
      <c r="F1348" s="1">
        <v>44924</v>
      </c>
      <c r="G1348">
        <v>2002</v>
      </c>
      <c r="H1348" t="s">
        <v>46</v>
      </c>
      <c r="I1348" t="s">
        <v>4292</v>
      </c>
      <c r="J1348" t="s">
        <v>48</v>
      </c>
      <c r="K1348">
        <v>9.6</v>
      </c>
      <c r="L1348">
        <v>4417462</v>
      </c>
      <c r="M1348">
        <v>4513301</v>
      </c>
      <c r="N1348">
        <v>83</v>
      </c>
      <c r="O1348" t="s">
        <v>49</v>
      </c>
      <c r="P1348" t="s">
        <v>50</v>
      </c>
    </row>
    <row r="1349" spans="1:16" x14ac:dyDescent="0.35">
      <c r="A1349" t="s">
        <v>609</v>
      </c>
      <c r="B1349" t="s">
        <v>610</v>
      </c>
      <c r="C1349" t="s">
        <v>53</v>
      </c>
      <c r="D1349" t="s">
        <v>27</v>
      </c>
      <c r="E1349" t="s">
        <v>99</v>
      </c>
      <c r="F1349" s="1">
        <v>44926</v>
      </c>
      <c r="G1349">
        <v>2025</v>
      </c>
      <c r="H1349" t="s">
        <v>107</v>
      </c>
      <c r="I1349" t="s">
        <v>56</v>
      </c>
      <c r="J1349" t="s">
        <v>23</v>
      </c>
      <c r="K1349">
        <v>9.5</v>
      </c>
      <c r="L1349">
        <v>5302909</v>
      </c>
      <c r="M1349">
        <v>3193634</v>
      </c>
      <c r="N1349">
        <v>44</v>
      </c>
      <c r="O1349" t="s">
        <v>58</v>
      </c>
      <c r="P1349" t="s">
        <v>4181</v>
      </c>
    </row>
    <row r="1350" spans="1:16" x14ac:dyDescent="0.35">
      <c r="A1350" t="s">
        <v>3281</v>
      </c>
      <c r="B1350" t="s">
        <v>4375</v>
      </c>
      <c r="C1350" t="s">
        <v>84</v>
      </c>
      <c r="D1350" t="s">
        <v>68</v>
      </c>
      <c r="E1350" t="s">
        <v>20</v>
      </c>
      <c r="F1350" s="1">
        <v>44927</v>
      </c>
      <c r="G1350">
        <v>2017</v>
      </c>
      <c r="H1350" t="s">
        <v>121</v>
      </c>
      <c r="I1350" t="s">
        <v>4277</v>
      </c>
      <c r="J1350" t="s">
        <v>153</v>
      </c>
      <c r="K1350">
        <v>6.5</v>
      </c>
      <c r="L1350">
        <v>12626656</v>
      </c>
      <c r="M1350">
        <v>154325</v>
      </c>
      <c r="N1350">
        <v>82</v>
      </c>
      <c r="O1350" t="s">
        <v>24</v>
      </c>
      <c r="P1350" t="s">
        <v>32</v>
      </c>
    </row>
    <row r="1351" spans="1:16" x14ac:dyDescent="0.35">
      <c r="A1351" t="s">
        <v>3427</v>
      </c>
      <c r="B1351" t="s">
        <v>3428</v>
      </c>
      <c r="C1351" t="s">
        <v>53</v>
      </c>
      <c r="D1351" t="s">
        <v>54</v>
      </c>
      <c r="E1351" t="s">
        <v>131</v>
      </c>
      <c r="F1351" s="1">
        <v>44931</v>
      </c>
      <c r="G1351">
        <v>2004</v>
      </c>
      <c r="H1351" t="s">
        <v>114</v>
      </c>
      <c r="I1351" t="s">
        <v>95</v>
      </c>
      <c r="J1351" t="s">
        <v>4178</v>
      </c>
      <c r="K1351">
        <v>5.4</v>
      </c>
      <c r="L1351">
        <v>6146935</v>
      </c>
      <c r="M1351">
        <v>204900</v>
      </c>
      <c r="N1351">
        <v>71</v>
      </c>
      <c r="O1351" t="s">
        <v>65</v>
      </c>
      <c r="P1351" t="s">
        <v>4181</v>
      </c>
    </row>
    <row r="1352" spans="1:16" x14ac:dyDescent="0.35">
      <c r="A1352" t="s">
        <v>2227</v>
      </c>
      <c r="B1352" t="s">
        <v>2228</v>
      </c>
      <c r="C1352" t="s">
        <v>84</v>
      </c>
      <c r="D1352" t="s">
        <v>19</v>
      </c>
      <c r="E1352" t="s">
        <v>113</v>
      </c>
      <c r="F1352" s="1">
        <v>44938</v>
      </c>
      <c r="G1352">
        <v>2006</v>
      </c>
      <c r="H1352" t="s">
        <v>121</v>
      </c>
      <c r="I1352" t="s">
        <v>4334</v>
      </c>
      <c r="J1352" t="s">
        <v>23</v>
      </c>
      <c r="K1352">
        <v>8.4</v>
      </c>
      <c r="L1352">
        <v>15580437</v>
      </c>
      <c r="M1352">
        <v>4837025</v>
      </c>
      <c r="N1352">
        <v>77</v>
      </c>
      <c r="O1352" t="s">
        <v>49</v>
      </c>
      <c r="P1352" t="s">
        <v>4178</v>
      </c>
    </row>
    <row r="1353" spans="1:16" x14ac:dyDescent="0.35">
      <c r="A1353" t="s">
        <v>1928</v>
      </c>
      <c r="B1353" t="s">
        <v>1929</v>
      </c>
      <c r="C1353" t="s">
        <v>84</v>
      </c>
      <c r="D1353" t="s">
        <v>54</v>
      </c>
      <c r="E1353" t="s">
        <v>4178</v>
      </c>
      <c r="F1353" s="1">
        <v>44939</v>
      </c>
      <c r="G1353">
        <v>2014</v>
      </c>
      <c r="H1353" t="s">
        <v>107</v>
      </c>
      <c r="I1353" t="s">
        <v>4192</v>
      </c>
      <c r="J1353" t="s">
        <v>133</v>
      </c>
      <c r="K1353">
        <v>7.8</v>
      </c>
      <c r="L1353">
        <v>11916261</v>
      </c>
      <c r="M1353">
        <v>687924</v>
      </c>
      <c r="N1353">
        <v>85</v>
      </c>
      <c r="O1353" t="s">
        <v>4178</v>
      </c>
      <c r="P1353" t="s">
        <v>4178</v>
      </c>
    </row>
    <row r="1354" spans="1:16" x14ac:dyDescent="0.35">
      <c r="A1354" t="s">
        <v>351</v>
      </c>
      <c r="B1354" t="s">
        <v>352</v>
      </c>
      <c r="C1354" t="s">
        <v>84</v>
      </c>
      <c r="D1354" t="s">
        <v>68</v>
      </c>
      <c r="E1354" t="s">
        <v>69</v>
      </c>
      <c r="F1354" s="1">
        <v>44940</v>
      </c>
      <c r="G1354">
        <v>2000</v>
      </c>
      <c r="H1354" t="s">
        <v>121</v>
      </c>
      <c r="I1354" t="s">
        <v>4186</v>
      </c>
      <c r="J1354" t="s">
        <v>40</v>
      </c>
      <c r="K1354">
        <v>7.3</v>
      </c>
      <c r="L1354">
        <v>13539015</v>
      </c>
      <c r="M1354">
        <v>550008</v>
      </c>
      <c r="N1354">
        <v>67</v>
      </c>
      <c r="O1354" t="s">
        <v>41</v>
      </c>
      <c r="P1354" t="s">
        <v>4178</v>
      </c>
    </row>
    <row r="1355" spans="1:16" x14ac:dyDescent="0.35">
      <c r="A1355" t="s">
        <v>3490</v>
      </c>
      <c r="B1355" t="s">
        <v>4382</v>
      </c>
      <c r="C1355" t="s">
        <v>84</v>
      </c>
      <c r="D1355" t="s">
        <v>156</v>
      </c>
      <c r="E1355" t="s">
        <v>4178</v>
      </c>
      <c r="F1355" s="1">
        <v>44944</v>
      </c>
      <c r="G1355">
        <v>2005</v>
      </c>
      <c r="H1355" t="s">
        <v>81</v>
      </c>
      <c r="I1355" t="s">
        <v>4292</v>
      </c>
      <c r="J1355" t="s">
        <v>48</v>
      </c>
      <c r="K1355">
        <v>9.1999999999999993</v>
      </c>
      <c r="L1355">
        <v>20800360</v>
      </c>
      <c r="M1355">
        <v>4715514</v>
      </c>
      <c r="N1355">
        <v>64</v>
      </c>
      <c r="O1355" t="s">
        <v>58</v>
      </c>
      <c r="P1355" t="s">
        <v>50</v>
      </c>
    </row>
    <row r="1356" spans="1:16" x14ac:dyDescent="0.35">
      <c r="A1356" t="s">
        <v>4097</v>
      </c>
      <c r="B1356" t="s">
        <v>4098</v>
      </c>
      <c r="C1356" t="s">
        <v>84</v>
      </c>
      <c r="D1356" t="s">
        <v>4178</v>
      </c>
      <c r="E1356" t="s">
        <v>4196</v>
      </c>
      <c r="F1356" s="1">
        <v>44944</v>
      </c>
      <c r="G1356">
        <v>2006</v>
      </c>
      <c r="H1356" t="s">
        <v>38</v>
      </c>
      <c r="I1356" t="s">
        <v>4216</v>
      </c>
      <c r="J1356" t="s">
        <v>72</v>
      </c>
      <c r="K1356">
        <v>8.9</v>
      </c>
      <c r="L1356">
        <v>19201464</v>
      </c>
      <c r="M1356">
        <v>1427581</v>
      </c>
      <c r="N1356">
        <v>58</v>
      </c>
      <c r="O1356" t="s">
        <v>58</v>
      </c>
      <c r="P1356" t="s">
        <v>32</v>
      </c>
    </row>
    <row r="1357" spans="1:16" x14ac:dyDescent="0.35">
      <c r="A1357" t="s">
        <v>3850</v>
      </c>
      <c r="B1357" t="s">
        <v>3851</v>
      </c>
      <c r="C1357" t="s">
        <v>84</v>
      </c>
      <c r="D1357" t="s">
        <v>4178</v>
      </c>
      <c r="E1357" t="s">
        <v>4196</v>
      </c>
      <c r="F1357" s="1">
        <v>44945</v>
      </c>
      <c r="G1357">
        <v>2015</v>
      </c>
      <c r="H1357" t="s">
        <v>121</v>
      </c>
      <c r="I1357" t="s">
        <v>4217</v>
      </c>
      <c r="J1357" t="s">
        <v>72</v>
      </c>
      <c r="K1357">
        <v>9.1</v>
      </c>
      <c r="L1357">
        <v>10767451</v>
      </c>
      <c r="M1357">
        <v>2562487</v>
      </c>
      <c r="N1357">
        <v>41</v>
      </c>
      <c r="O1357" t="s">
        <v>24</v>
      </c>
      <c r="P1357" t="s">
        <v>4178</v>
      </c>
    </row>
    <row r="1358" spans="1:16" x14ac:dyDescent="0.35">
      <c r="A1358" t="s">
        <v>476</v>
      </c>
      <c r="B1358" t="s">
        <v>477</v>
      </c>
      <c r="C1358" t="s">
        <v>84</v>
      </c>
      <c r="D1358" t="s">
        <v>4178</v>
      </c>
      <c r="E1358" t="s">
        <v>4196</v>
      </c>
      <c r="F1358" s="1">
        <v>44949</v>
      </c>
      <c r="G1358">
        <v>2002</v>
      </c>
      <c r="H1358" t="s">
        <v>85</v>
      </c>
      <c r="I1358" t="s">
        <v>4178</v>
      </c>
      <c r="J1358" t="s">
        <v>72</v>
      </c>
      <c r="K1358">
        <v>7</v>
      </c>
      <c r="L1358">
        <v>3164559</v>
      </c>
      <c r="M1358">
        <v>894684</v>
      </c>
      <c r="N1358">
        <v>47</v>
      </c>
      <c r="O1358" t="s">
        <v>91</v>
      </c>
      <c r="P1358" t="s">
        <v>32</v>
      </c>
    </row>
    <row r="1359" spans="1:16" x14ac:dyDescent="0.35">
      <c r="A1359" t="s">
        <v>1077</v>
      </c>
      <c r="B1359" t="s">
        <v>1078</v>
      </c>
      <c r="C1359" t="s">
        <v>53</v>
      </c>
      <c r="D1359" t="s">
        <v>75</v>
      </c>
      <c r="E1359" t="s">
        <v>113</v>
      </c>
      <c r="F1359" s="1">
        <v>44954</v>
      </c>
      <c r="G1359">
        <v>2022</v>
      </c>
      <c r="H1359" t="s">
        <v>63</v>
      </c>
      <c r="I1359" t="s">
        <v>64</v>
      </c>
      <c r="J1359" t="s">
        <v>133</v>
      </c>
      <c r="K1359">
        <v>6.6</v>
      </c>
      <c r="L1359">
        <v>-540</v>
      </c>
      <c r="M1359">
        <v>2601980</v>
      </c>
      <c r="N1359">
        <v>40</v>
      </c>
      <c r="O1359" t="s">
        <v>91</v>
      </c>
      <c r="P1359" t="s">
        <v>87</v>
      </c>
    </row>
    <row r="1360" spans="1:16" x14ac:dyDescent="0.35">
      <c r="A1360" t="s">
        <v>3204</v>
      </c>
      <c r="B1360" t="s">
        <v>3205</v>
      </c>
      <c r="C1360" t="s">
        <v>84</v>
      </c>
      <c r="D1360" t="s">
        <v>27</v>
      </c>
      <c r="E1360" t="s">
        <v>62</v>
      </c>
      <c r="F1360" s="1">
        <v>44954</v>
      </c>
      <c r="G1360">
        <v>2003</v>
      </c>
      <c r="H1360" t="s">
        <v>81</v>
      </c>
      <c r="I1360" t="s">
        <v>4311</v>
      </c>
      <c r="J1360" t="s">
        <v>57</v>
      </c>
      <c r="K1360">
        <v>7.1</v>
      </c>
      <c r="L1360">
        <v>4460414</v>
      </c>
      <c r="M1360">
        <v>4288093</v>
      </c>
      <c r="N1360">
        <v>87</v>
      </c>
      <c r="O1360" t="s">
        <v>24</v>
      </c>
      <c r="P1360" t="s">
        <v>50</v>
      </c>
    </row>
    <row r="1361" spans="1:16" x14ac:dyDescent="0.35">
      <c r="A1361" t="s">
        <v>1006</v>
      </c>
      <c r="B1361" t="s">
        <v>1007</v>
      </c>
      <c r="C1361" t="s">
        <v>84</v>
      </c>
      <c r="D1361" t="s">
        <v>61</v>
      </c>
      <c r="E1361" t="s">
        <v>37</v>
      </c>
      <c r="F1361" s="1">
        <v>44956</v>
      </c>
      <c r="G1361">
        <v>2032</v>
      </c>
      <c r="H1361" t="s">
        <v>38</v>
      </c>
      <c r="I1361" t="s">
        <v>4293</v>
      </c>
      <c r="J1361" t="s">
        <v>48</v>
      </c>
      <c r="K1361">
        <v>4.9000000000000004</v>
      </c>
      <c r="L1361">
        <v>16868045</v>
      </c>
      <c r="M1361">
        <v>129279</v>
      </c>
      <c r="N1361">
        <v>93</v>
      </c>
      <c r="O1361" t="s">
        <v>49</v>
      </c>
      <c r="P1361" t="s">
        <v>4178</v>
      </c>
    </row>
    <row r="1362" spans="1:16" x14ac:dyDescent="0.35">
      <c r="A1362" t="s">
        <v>2932</v>
      </c>
      <c r="B1362" t="s">
        <v>2933</v>
      </c>
      <c r="C1362" t="s">
        <v>4178</v>
      </c>
      <c r="D1362" t="s">
        <v>156</v>
      </c>
      <c r="E1362" t="s">
        <v>4178</v>
      </c>
      <c r="F1362" s="1">
        <v>44965</v>
      </c>
      <c r="G1362">
        <v>2002</v>
      </c>
      <c r="H1362" t="s">
        <v>85</v>
      </c>
      <c r="I1362" t="s">
        <v>39</v>
      </c>
      <c r="J1362" t="s">
        <v>96</v>
      </c>
      <c r="K1362">
        <v>5.5</v>
      </c>
      <c r="L1362">
        <v>3921315</v>
      </c>
      <c r="M1362">
        <v>4822812</v>
      </c>
      <c r="N1362">
        <v>120</v>
      </c>
      <c r="O1362" t="s">
        <v>4178</v>
      </c>
      <c r="P1362" t="s">
        <v>4178</v>
      </c>
    </row>
    <row r="1363" spans="1:16" x14ac:dyDescent="0.35">
      <c r="A1363" t="s">
        <v>820</v>
      </c>
      <c r="B1363" t="s">
        <v>821</v>
      </c>
      <c r="C1363" t="s">
        <v>53</v>
      </c>
      <c r="D1363" t="s">
        <v>75</v>
      </c>
      <c r="E1363" t="s">
        <v>113</v>
      </c>
      <c r="F1363" s="1">
        <v>44968</v>
      </c>
      <c r="G1363">
        <v>2004</v>
      </c>
      <c r="H1363" t="s">
        <v>21</v>
      </c>
      <c r="I1363" t="s">
        <v>136</v>
      </c>
      <c r="J1363" t="s">
        <v>48</v>
      </c>
      <c r="K1363">
        <v>5</v>
      </c>
      <c r="L1363">
        <v>-739</v>
      </c>
      <c r="M1363">
        <v>957771</v>
      </c>
      <c r="N1363">
        <v>68</v>
      </c>
      <c r="O1363" t="s">
        <v>91</v>
      </c>
      <c r="P1363" t="s">
        <v>4178</v>
      </c>
    </row>
    <row r="1364" spans="1:16" x14ac:dyDescent="0.35">
      <c r="A1364" t="s">
        <v>988</v>
      </c>
      <c r="B1364" t="s">
        <v>989</v>
      </c>
      <c r="C1364" t="s">
        <v>84</v>
      </c>
      <c r="D1364" t="s">
        <v>19</v>
      </c>
      <c r="E1364" t="s">
        <v>69</v>
      </c>
      <c r="F1364" s="1">
        <v>44970</v>
      </c>
      <c r="G1364">
        <v>2009</v>
      </c>
      <c r="H1364" t="s">
        <v>38</v>
      </c>
      <c r="I1364" t="s">
        <v>4210</v>
      </c>
      <c r="J1364" t="s">
        <v>23</v>
      </c>
      <c r="K1364">
        <v>9.5</v>
      </c>
      <c r="L1364">
        <v>19612166</v>
      </c>
      <c r="M1364">
        <v>2198262</v>
      </c>
      <c r="N1364">
        <v>59</v>
      </c>
      <c r="O1364" t="s">
        <v>24</v>
      </c>
      <c r="P1364" t="s">
        <v>4181</v>
      </c>
    </row>
    <row r="1365" spans="1:16" x14ac:dyDescent="0.35">
      <c r="A1365" t="s">
        <v>3379</v>
      </c>
      <c r="B1365" t="s">
        <v>3380</v>
      </c>
      <c r="C1365" t="s">
        <v>84</v>
      </c>
      <c r="D1365" t="s">
        <v>19</v>
      </c>
      <c r="E1365" t="s">
        <v>28</v>
      </c>
      <c r="F1365" s="1">
        <v>44972</v>
      </c>
      <c r="G1365">
        <v>2022</v>
      </c>
      <c r="H1365" t="s">
        <v>4178</v>
      </c>
      <c r="I1365" t="s">
        <v>4213</v>
      </c>
      <c r="J1365" t="s">
        <v>4178</v>
      </c>
      <c r="K1365">
        <v>5.5</v>
      </c>
      <c r="L1365">
        <v>15822228</v>
      </c>
      <c r="M1365">
        <v>1586387</v>
      </c>
      <c r="N1365">
        <v>99</v>
      </c>
      <c r="O1365" t="s">
        <v>65</v>
      </c>
      <c r="P1365" t="s">
        <v>32</v>
      </c>
    </row>
    <row r="1366" spans="1:16" x14ac:dyDescent="0.35">
      <c r="A1366" t="s">
        <v>3027</v>
      </c>
      <c r="B1366" t="s">
        <v>3028</v>
      </c>
      <c r="C1366" t="s">
        <v>84</v>
      </c>
      <c r="D1366" t="s">
        <v>27</v>
      </c>
      <c r="E1366" t="s">
        <v>69</v>
      </c>
      <c r="F1366" s="1">
        <v>44973</v>
      </c>
      <c r="G1366">
        <v>2000</v>
      </c>
      <c r="H1366" t="s">
        <v>85</v>
      </c>
      <c r="I1366" t="s">
        <v>4286</v>
      </c>
      <c r="J1366" t="s">
        <v>4178</v>
      </c>
      <c r="K1366">
        <v>4.8</v>
      </c>
      <c r="L1366">
        <v>5371262</v>
      </c>
      <c r="M1366">
        <v>2259688</v>
      </c>
      <c r="N1366">
        <v>62</v>
      </c>
      <c r="O1366" t="s">
        <v>49</v>
      </c>
      <c r="P1366" t="s">
        <v>50</v>
      </c>
    </row>
    <row r="1367" spans="1:16" x14ac:dyDescent="0.35">
      <c r="A1367" t="s">
        <v>3172</v>
      </c>
      <c r="B1367" t="s">
        <v>3173</v>
      </c>
      <c r="C1367" t="s">
        <v>84</v>
      </c>
      <c r="D1367" t="s">
        <v>54</v>
      </c>
      <c r="E1367" t="s">
        <v>80</v>
      </c>
      <c r="F1367" s="1">
        <v>44974</v>
      </c>
      <c r="G1367">
        <v>2024</v>
      </c>
      <c r="H1367" t="s">
        <v>107</v>
      </c>
      <c r="I1367" t="s">
        <v>4225</v>
      </c>
      <c r="J1367" t="s">
        <v>103</v>
      </c>
      <c r="K1367">
        <v>7.2</v>
      </c>
      <c r="L1367">
        <v>9347180</v>
      </c>
      <c r="M1367">
        <v>1208198</v>
      </c>
      <c r="N1367">
        <v>52</v>
      </c>
      <c r="O1367" t="s">
        <v>24</v>
      </c>
      <c r="P1367" t="s">
        <v>87</v>
      </c>
    </row>
    <row r="1368" spans="1:16" x14ac:dyDescent="0.35">
      <c r="A1368" t="s">
        <v>434</v>
      </c>
      <c r="B1368" t="s">
        <v>4239</v>
      </c>
      <c r="C1368" t="s">
        <v>84</v>
      </c>
      <c r="D1368" t="s">
        <v>156</v>
      </c>
      <c r="E1368" t="s">
        <v>55</v>
      </c>
      <c r="F1368" s="1">
        <v>44975</v>
      </c>
      <c r="G1368">
        <v>2010</v>
      </c>
      <c r="H1368" t="s">
        <v>114</v>
      </c>
      <c r="I1368" t="s">
        <v>4240</v>
      </c>
      <c r="J1368" t="s">
        <v>103</v>
      </c>
      <c r="K1368">
        <v>6.3</v>
      </c>
      <c r="L1368">
        <v>24094021</v>
      </c>
      <c r="M1368">
        <v>2254102</v>
      </c>
      <c r="N1368">
        <v>60</v>
      </c>
      <c r="O1368" t="s">
        <v>65</v>
      </c>
      <c r="P1368" t="s">
        <v>32</v>
      </c>
    </row>
    <row r="1369" spans="1:16" x14ac:dyDescent="0.35">
      <c r="A1369" t="s">
        <v>1517</v>
      </c>
      <c r="B1369" t="s">
        <v>1518</v>
      </c>
      <c r="C1369" t="s">
        <v>53</v>
      </c>
      <c r="D1369" t="s">
        <v>90</v>
      </c>
      <c r="E1369" t="s">
        <v>69</v>
      </c>
      <c r="F1369" s="1">
        <v>44981</v>
      </c>
      <c r="G1369">
        <v>2022</v>
      </c>
      <c r="H1369" t="s">
        <v>38</v>
      </c>
      <c r="I1369" t="s">
        <v>118</v>
      </c>
      <c r="J1369" t="s">
        <v>57</v>
      </c>
      <c r="K1369">
        <v>9.1999999999999993</v>
      </c>
      <c r="L1369">
        <v>15956277</v>
      </c>
      <c r="M1369">
        <v>1771008</v>
      </c>
      <c r="N1369">
        <v>83</v>
      </c>
      <c r="O1369" t="s">
        <v>123</v>
      </c>
      <c r="P1369" t="s">
        <v>32</v>
      </c>
    </row>
    <row r="1370" spans="1:16" x14ac:dyDescent="0.35">
      <c r="A1370" t="s">
        <v>2373</v>
      </c>
      <c r="B1370" t="s">
        <v>2374</v>
      </c>
      <c r="C1370" t="s">
        <v>84</v>
      </c>
      <c r="D1370" t="s">
        <v>4178</v>
      </c>
      <c r="E1370" t="s">
        <v>4196</v>
      </c>
      <c r="F1370" s="1">
        <v>44981</v>
      </c>
      <c r="G1370">
        <v>2017</v>
      </c>
      <c r="H1370" t="s">
        <v>38</v>
      </c>
      <c r="I1370" t="s">
        <v>4286</v>
      </c>
      <c r="J1370" t="s">
        <v>72</v>
      </c>
      <c r="K1370">
        <v>5.9</v>
      </c>
      <c r="L1370">
        <v>8521162</v>
      </c>
      <c r="M1370">
        <v>2289875</v>
      </c>
      <c r="N1370">
        <v>46</v>
      </c>
      <c r="O1370" t="s">
        <v>65</v>
      </c>
      <c r="P1370" t="s">
        <v>32</v>
      </c>
    </row>
    <row r="1371" spans="1:16" x14ac:dyDescent="0.35">
      <c r="A1371" t="s">
        <v>2683</v>
      </c>
      <c r="B1371" t="s">
        <v>2684</v>
      </c>
      <c r="C1371" t="s">
        <v>4178</v>
      </c>
      <c r="D1371" t="s">
        <v>54</v>
      </c>
      <c r="E1371" t="s">
        <v>45</v>
      </c>
      <c r="F1371" s="1">
        <v>44985</v>
      </c>
      <c r="G1371">
        <v>2025</v>
      </c>
      <c r="H1371" t="s">
        <v>4178</v>
      </c>
      <c r="I1371" t="s">
        <v>136</v>
      </c>
      <c r="J1371" t="s">
        <v>23</v>
      </c>
      <c r="K1371">
        <v>5.4</v>
      </c>
      <c r="L1371">
        <v>22763314</v>
      </c>
      <c r="M1371">
        <v>1440461</v>
      </c>
      <c r="N1371">
        <v>45</v>
      </c>
      <c r="O1371" t="s">
        <v>24</v>
      </c>
      <c r="P1371" t="s">
        <v>87</v>
      </c>
    </row>
    <row r="1372" spans="1:16" x14ac:dyDescent="0.35">
      <c r="A1372" t="s">
        <v>175</v>
      </c>
      <c r="B1372" t="s">
        <v>176</v>
      </c>
      <c r="C1372" t="s">
        <v>53</v>
      </c>
      <c r="D1372" t="s">
        <v>156</v>
      </c>
      <c r="E1372" t="s">
        <v>62</v>
      </c>
      <c r="F1372" s="1">
        <v>44988</v>
      </c>
      <c r="G1372">
        <v>2015</v>
      </c>
      <c r="H1372" t="s">
        <v>114</v>
      </c>
      <c r="I1372" t="s">
        <v>39</v>
      </c>
      <c r="J1372" t="s">
        <v>23</v>
      </c>
      <c r="K1372">
        <v>8.6</v>
      </c>
      <c r="L1372">
        <v>1179519</v>
      </c>
      <c r="M1372">
        <v>3893738</v>
      </c>
      <c r="N1372">
        <v>98</v>
      </c>
      <c r="O1372" t="s">
        <v>24</v>
      </c>
      <c r="P1372" t="s">
        <v>50</v>
      </c>
    </row>
    <row r="1373" spans="1:16" x14ac:dyDescent="0.35">
      <c r="A1373" t="s">
        <v>3747</v>
      </c>
      <c r="B1373" t="s">
        <v>3748</v>
      </c>
      <c r="C1373" t="s">
        <v>53</v>
      </c>
      <c r="D1373" t="s">
        <v>4178</v>
      </c>
      <c r="E1373" t="s">
        <v>28</v>
      </c>
      <c r="F1373" s="1">
        <v>44988</v>
      </c>
      <c r="G1373">
        <v>2017</v>
      </c>
      <c r="H1373" t="s">
        <v>81</v>
      </c>
      <c r="I1373" t="s">
        <v>136</v>
      </c>
      <c r="J1373" t="s">
        <v>133</v>
      </c>
      <c r="K1373">
        <v>7.9</v>
      </c>
      <c r="L1373">
        <v>14226372</v>
      </c>
      <c r="M1373">
        <v>1602714</v>
      </c>
      <c r="N1373">
        <v>52</v>
      </c>
      <c r="O1373" t="s">
        <v>65</v>
      </c>
      <c r="P1373" t="s">
        <v>50</v>
      </c>
    </row>
    <row r="1374" spans="1:16" x14ac:dyDescent="0.35">
      <c r="A1374" t="s">
        <v>3293</v>
      </c>
      <c r="B1374" t="s">
        <v>3294</v>
      </c>
      <c r="C1374" t="s">
        <v>84</v>
      </c>
      <c r="D1374" t="s">
        <v>68</v>
      </c>
      <c r="E1374" t="s">
        <v>62</v>
      </c>
      <c r="F1374" s="1">
        <v>44990</v>
      </c>
      <c r="G1374">
        <v>2020</v>
      </c>
      <c r="H1374" t="s">
        <v>121</v>
      </c>
      <c r="I1374" t="s">
        <v>4233</v>
      </c>
      <c r="J1374" t="s">
        <v>72</v>
      </c>
      <c r="K1374">
        <v>8.6</v>
      </c>
      <c r="L1374">
        <v>9536793</v>
      </c>
      <c r="M1374">
        <v>1505218</v>
      </c>
      <c r="N1374">
        <v>50</v>
      </c>
      <c r="O1374" t="s">
        <v>123</v>
      </c>
      <c r="P1374" t="s">
        <v>50</v>
      </c>
    </row>
    <row r="1375" spans="1:16" x14ac:dyDescent="0.35">
      <c r="A1375" t="s">
        <v>196</v>
      </c>
      <c r="B1375" t="s">
        <v>194</v>
      </c>
      <c r="C1375" t="s">
        <v>53</v>
      </c>
      <c r="D1375" t="s">
        <v>75</v>
      </c>
      <c r="E1375" t="s">
        <v>4178</v>
      </c>
      <c r="F1375" s="1">
        <v>44992</v>
      </c>
      <c r="G1375">
        <v>2005</v>
      </c>
      <c r="H1375" t="s">
        <v>63</v>
      </c>
      <c r="I1375" t="s">
        <v>4178</v>
      </c>
      <c r="J1375" t="s">
        <v>103</v>
      </c>
      <c r="K1375">
        <v>8.8000000000000007</v>
      </c>
      <c r="L1375">
        <v>19232143</v>
      </c>
      <c r="M1375">
        <v>3111861</v>
      </c>
      <c r="N1375">
        <v>50</v>
      </c>
      <c r="O1375" t="s">
        <v>91</v>
      </c>
      <c r="P1375" t="s">
        <v>50</v>
      </c>
    </row>
    <row r="1376" spans="1:16" x14ac:dyDescent="0.35">
      <c r="A1376" t="s">
        <v>799</v>
      </c>
      <c r="B1376" t="s">
        <v>800</v>
      </c>
      <c r="C1376" t="s">
        <v>84</v>
      </c>
      <c r="D1376" t="s">
        <v>156</v>
      </c>
      <c r="E1376" t="s">
        <v>28</v>
      </c>
      <c r="F1376" s="1">
        <v>44997</v>
      </c>
      <c r="G1376">
        <v>2011</v>
      </c>
      <c r="H1376" t="s">
        <v>85</v>
      </c>
      <c r="I1376" t="s">
        <v>4213</v>
      </c>
      <c r="J1376" t="s">
        <v>96</v>
      </c>
      <c r="K1376">
        <v>5</v>
      </c>
      <c r="L1376">
        <v>16747599</v>
      </c>
      <c r="M1376">
        <v>2559749</v>
      </c>
      <c r="N1376">
        <v>73</v>
      </c>
      <c r="O1376" t="s">
        <v>24</v>
      </c>
      <c r="P1376" t="s">
        <v>50</v>
      </c>
    </row>
    <row r="1377" spans="1:16" x14ac:dyDescent="0.35">
      <c r="A1377" t="s">
        <v>2137</v>
      </c>
      <c r="B1377" t="s">
        <v>2138</v>
      </c>
      <c r="C1377" t="s">
        <v>84</v>
      </c>
      <c r="D1377" t="s">
        <v>156</v>
      </c>
      <c r="E1377" t="s">
        <v>28</v>
      </c>
      <c r="F1377" s="1">
        <v>44998</v>
      </c>
      <c r="G1377">
        <v>2015</v>
      </c>
      <c r="H1377" t="s">
        <v>81</v>
      </c>
      <c r="I1377" t="s">
        <v>4190</v>
      </c>
      <c r="J1377" t="s">
        <v>153</v>
      </c>
      <c r="K1377">
        <v>6.2</v>
      </c>
      <c r="L1377">
        <v>21266263</v>
      </c>
      <c r="M1377">
        <v>692622</v>
      </c>
      <c r="N1377">
        <v>45</v>
      </c>
      <c r="O1377" t="s">
        <v>58</v>
      </c>
      <c r="P1377" t="s">
        <v>50</v>
      </c>
    </row>
    <row r="1378" spans="1:16" x14ac:dyDescent="0.35">
      <c r="A1378" t="s">
        <v>302</v>
      </c>
      <c r="B1378" t="s">
        <v>303</v>
      </c>
      <c r="C1378" t="s">
        <v>84</v>
      </c>
      <c r="D1378" t="s">
        <v>68</v>
      </c>
      <c r="E1378" t="s">
        <v>62</v>
      </c>
      <c r="F1378" s="1">
        <v>45003</v>
      </c>
      <c r="G1378">
        <v>2007</v>
      </c>
      <c r="H1378" t="s">
        <v>114</v>
      </c>
      <c r="I1378" t="s">
        <v>4199</v>
      </c>
      <c r="J1378" t="s">
        <v>57</v>
      </c>
      <c r="K1378">
        <v>5.3</v>
      </c>
      <c r="L1378">
        <v>8948792</v>
      </c>
      <c r="M1378">
        <v>3509644</v>
      </c>
      <c r="N1378">
        <v>49</v>
      </c>
      <c r="O1378" t="s">
        <v>24</v>
      </c>
      <c r="P1378" t="s">
        <v>50</v>
      </c>
    </row>
    <row r="1379" spans="1:16" x14ac:dyDescent="0.35">
      <c r="A1379" t="s">
        <v>2441</v>
      </c>
      <c r="B1379" t="s">
        <v>2442</v>
      </c>
      <c r="C1379" t="s">
        <v>84</v>
      </c>
      <c r="D1379" t="s">
        <v>19</v>
      </c>
      <c r="E1379" t="s">
        <v>131</v>
      </c>
      <c r="F1379" s="1">
        <v>45007</v>
      </c>
      <c r="G1379">
        <v>2026</v>
      </c>
      <c r="H1379" t="s">
        <v>81</v>
      </c>
      <c r="I1379" t="s">
        <v>4285</v>
      </c>
      <c r="J1379" t="s">
        <v>96</v>
      </c>
      <c r="K1379">
        <v>6.5</v>
      </c>
      <c r="L1379">
        <v>9026437</v>
      </c>
      <c r="M1379">
        <v>4394167</v>
      </c>
      <c r="N1379">
        <v>71</v>
      </c>
      <c r="O1379" t="s">
        <v>24</v>
      </c>
      <c r="P1379" t="s">
        <v>87</v>
      </c>
    </row>
    <row r="1380" spans="1:16" x14ac:dyDescent="0.35">
      <c r="A1380" t="s">
        <v>77</v>
      </c>
      <c r="B1380" t="s">
        <v>78</v>
      </c>
      <c r="C1380" t="s">
        <v>84</v>
      </c>
      <c r="D1380" t="s">
        <v>75</v>
      </c>
      <c r="E1380" t="s">
        <v>80</v>
      </c>
      <c r="F1380" s="1">
        <v>45009</v>
      </c>
      <c r="G1380">
        <v>2011</v>
      </c>
      <c r="H1380" t="s">
        <v>81</v>
      </c>
      <c r="I1380" t="s">
        <v>4185</v>
      </c>
      <c r="J1380" t="s">
        <v>4178</v>
      </c>
      <c r="K1380">
        <v>7.9</v>
      </c>
      <c r="L1380">
        <v>6558014</v>
      </c>
      <c r="M1380">
        <v>2009129</v>
      </c>
      <c r="N1380">
        <v>87</v>
      </c>
      <c r="O1380" t="s">
        <v>31</v>
      </c>
      <c r="P1380" t="s">
        <v>4181</v>
      </c>
    </row>
    <row r="1381" spans="1:16" x14ac:dyDescent="0.35">
      <c r="A1381" t="s">
        <v>1267</v>
      </c>
      <c r="B1381" t="s">
        <v>1268</v>
      </c>
      <c r="C1381" t="s">
        <v>53</v>
      </c>
      <c r="D1381" t="s">
        <v>94</v>
      </c>
      <c r="E1381" t="s">
        <v>131</v>
      </c>
      <c r="F1381" s="1">
        <v>45013</v>
      </c>
      <c r="G1381">
        <v>2022</v>
      </c>
      <c r="H1381" t="s">
        <v>4178</v>
      </c>
      <c r="I1381" t="s">
        <v>162</v>
      </c>
      <c r="J1381" t="s">
        <v>133</v>
      </c>
      <c r="K1381">
        <v>9.6999999999999993</v>
      </c>
      <c r="L1381">
        <v>17216173</v>
      </c>
      <c r="M1381">
        <v>4323371</v>
      </c>
      <c r="N1381">
        <v>58</v>
      </c>
      <c r="O1381" t="s">
        <v>49</v>
      </c>
      <c r="P1381" t="s">
        <v>4178</v>
      </c>
    </row>
    <row r="1382" spans="1:16" x14ac:dyDescent="0.35">
      <c r="A1382" t="s">
        <v>1773</v>
      </c>
      <c r="B1382" t="s">
        <v>1774</v>
      </c>
      <c r="C1382" t="s">
        <v>84</v>
      </c>
      <c r="D1382" t="s">
        <v>4178</v>
      </c>
      <c r="E1382" t="s">
        <v>113</v>
      </c>
      <c r="F1382" s="1">
        <v>45014</v>
      </c>
      <c r="G1382">
        <v>2020</v>
      </c>
      <c r="H1382" t="s">
        <v>107</v>
      </c>
      <c r="I1382" t="s">
        <v>4286</v>
      </c>
      <c r="J1382" t="s">
        <v>133</v>
      </c>
      <c r="K1382">
        <v>8</v>
      </c>
      <c r="L1382">
        <v>907998</v>
      </c>
      <c r="M1382">
        <v>2523079</v>
      </c>
      <c r="N1382">
        <v>94</v>
      </c>
      <c r="O1382" t="s">
        <v>91</v>
      </c>
      <c r="P1382" t="s">
        <v>87</v>
      </c>
    </row>
    <row r="1383" spans="1:16" x14ac:dyDescent="0.35">
      <c r="A1383" t="s">
        <v>2918</v>
      </c>
      <c r="B1383" t="s">
        <v>2919</v>
      </c>
      <c r="C1383" t="s">
        <v>4178</v>
      </c>
      <c r="D1383" t="s">
        <v>54</v>
      </c>
      <c r="E1383" t="s">
        <v>4178</v>
      </c>
      <c r="F1383" s="1">
        <v>45015</v>
      </c>
      <c r="G1383">
        <v>2004</v>
      </c>
      <c r="H1383" t="s">
        <v>38</v>
      </c>
      <c r="I1383" t="s">
        <v>71</v>
      </c>
      <c r="J1383" t="s">
        <v>103</v>
      </c>
      <c r="K1383">
        <v>7.3</v>
      </c>
      <c r="L1383">
        <v>12882960</v>
      </c>
      <c r="M1383">
        <v>2136491</v>
      </c>
      <c r="N1383">
        <v>72</v>
      </c>
      <c r="O1383" t="s">
        <v>65</v>
      </c>
      <c r="P1383" t="s">
        <v>87</v>
      </c>
    </row>
    <row r="1384" spans="1:16" x14ac:dyDescent="0.35">
      <c r="A1384" t="s">
        <v>2597</v>
      </c>
      <c r="B1384" t="s">
        <v>2598</v>
      </c>
      <c r="C1384" t="s">
        <v>84</v>
      </c>
      <c r="D1384" t="s">
        <v>54</v>
      </c>
      <c r="E1384" t="s">
        <v>37</v>
      </c>
      <c r="F1384" s="1">
        <v>45018</v>
      </c>
      <c r="G1384">
        <v>2008</v>
      </c>
      <c r="H1384" t="s">
        <v>63</v>
      </c>
      <c r="I1384" t="s">
        <v>4232</v>
      </c>
      <c r="J1384" t="s">
        <v>23</v>
      </c>
      <c r="K1384">
        <v>5.6</v>
      </c>
      <c r="L1384">
        <v>2528775</v>
      </c>
      <c r="M1384">
        <v>1171825</v>
      </c>
      <c r="N1384">
        <v>91</v>
      </c>
      <c r="O1384" t="s">
        <v>41</v>
      </c>
      <c r="P1384" t="s">
        <v>87</v>
      </c>
    </row>
    <row r="1385" spans="1:16" x14ac:dyDescent="0.35">
      <c r="A1385" t="s">
        <v>4023</v>
      </c>
      <c r="B1385" t="s">
        <v>4024</v>
      </c>
      <c r="C1385" t="s">
        <v>84</v>
      </c>
      <c r="D1385" t="s">
        <v>54</v>
      </c>
      <c r="E1385" t="s">
        <v>4178</v>
      </c>
      <c r="F1385" s="1">
        <v>45018</v>
      </c>
      <c r="G1385">
        <v>2001</v>
      </c>
      <c r="H1385" t="s">
        <v>46</v>
      </c>
      <c r="I1385" t="s">
        <v>4192</v>
      </c>
      <c r="J1385" t="s">
        <v>133</v>
      </c>
      <c r="K1385">
        <v>7.2</v>
      </c>
      <c r="L1385">
        <v>18681263</v>
      </c>
      <c r="M1385">
        <v>1623598</v>
      </c>
      <c r="N1385">
        <v>79</v>
      </c>
      <c r="O1385" t="s">
        <v>24</v>
      </c>
      <c r="P1385" t="s">
        <v>32</v>
      </c>
    </row>
    <row r="1386" spans="1:16" x14ac:dyDescent="0.35">
      <c r="A1386" t="s">
        <v>1820</v>
      </c>
      <c r="B1386" t="s">
        <v>1821</v>
      </c>
      <c r="C1386" t="s">
        <v>84</v>
      </c>
      <c r="D1386" t="s">
        <v>68</v>
      </c>
      <c r="E1386" t="s">
        <v>4178</v>
      </c>
      <c r="F1386" s="1">
        <v>45019</v>
      </c>
      <c r="G1386">
        <v>2011</v>
      </c>
      <c r="H1386" t="s">
        <v>81</v>
      </c>
      <c r="I1386" t="s">
        <v>4222</v>
      </c>
      <c r="J1386" t="s">
        <v>40</v>
      </c>
      <c r="K1386">
        <v>9.4</v>
      </c>
      <c r="L1386">
        <v>21830463</v>
      </c>
      <c r="M1386">
        <v>2597367</v>
      </c>
      <c r="N1386">
        <v>99</v>
      </c>
      <c r="O1386" t="s">
        <v>65</v>
      </c>
      <c r="P1386" t="s">
        <v>4178</v>
      </c>
    </row>
    <row r="1387" spans="1:16" x14ac:dyDescent="0.35">
      <c r="A1387" t="s">
        <v>3759</v>
      </c>
      <c r="B1387" t="s">
        <v>4390</v>
      </c>
      <c r="C1387" t="s">
        <v>84</v>
      </c>
      <c r="D1387" t="s">
        <v>27</v>
      </c>
      <c r="E1387" t="s">
        <v>131</v>
      </c>
      <c r="F1387" s="1">
        <v>45020</v>
      </c>
      <c r="G1387">
        <v>2017</v>
      </c>
      <c r="H1387" t="s">
        <v>38</v>
      </c>
      <c r="I1387" t="s">
        <v>4270</v>
      </c>
      <c r="J1387" t="s">
        <v>153</v>
      </c>
      <c r="K1387">
        <v>9.1</v>
      </c>
      <c r="L1387">
        <v>7017132</v>
      </c>
      <c r="M1387">
        <v>637108</v>
      </c>
      <c r="N1387">
        <v>54</v>
      </c>
      <c r="O1387" t="s">
        <v>4178</v>
      </c>
      <c r="P1387" t="s">
        <v>87</v>
      </c>
    </row>
    <row r="1388" spans="1:16" x14ac:dyDescent="0.35">
      <c r="A1388" t="s">
        <v>2354</v>
      </c>
      <c r="B1388" t="s">
        <v>2355</v>
      </c>
      <c r="C1388" t="s">
        <v>53</v>
      </c>
      <c r="D1388" t="s">
        <v>75</v>
      </c>
      <c r="E1388" t="s">
        <v>62</v>
      </c>
      <c r="F1388" s="1">
        <v>45027</v>
      </c>
      <c r="G1388">
        <v>2015</v>
      </c>
      <c r="H1388" t="s">
        <v>114</v>
      </c>
      <c r="I1388" t="s">
        <v>39</v>
      </c>
      <c r="J1388" t="s">
        <v>96</v>
      </c>
      <c r="K1388">
        <v>5.4</v>
      </c>
      <c r="L1388">
        <v>16352140</v>
      </c>
      <c r="M1388">
        <v>142394</v>
      </c>
      <c r="N1388">
        <v>64</v>
      </c>
      <c r="O1388" t="s">
        <v>104</v>
      </c>
      <c r="P1388" t="s">
        <v>4181</v>
      </c>
    </row>
    <row r="1389" spans="1:16" x14ac:dyDescent="0.35">
      <c r="A1389" t="s">
        <v>3590</v>
      </c>
      <c r="B1389" t="s">
        <v>3591</v>
      </c>
      <c r="C1389" t="s">
        <v>53</v>
      </c>
      <c r="D1389" t="s">
        <v>94</v>
      </c>
      <c r="E1389" t="s">
        <v>113</v>
      </c>
      <c r="F1389" s="1">
        <v>45027</v>
      </c>
      <c r="G1389">
        <v>2008</v>
      </c>
      <c r="H1389" t="s">
        <v>4178</v>
      </c>
      <c r="I1389" t="s">
        <v>162</v>
      </c>
      <c r="J1389" t="s">
        <v>103</v>
      </c>
      <c r="K1389">
        <v>4.5999999999999996</v>
      </c>
      <c r="L1389">
        <v>266813</v>
      </c>
      <c r="M1389">
        <v>209010</v>
      </c>
      <c r="N1389">
        <v>90</v>
      </c>
      <c r="O1389" t="s">
        <v>58</v>
      </c>
      <c r="P1389" t="s">
        <v>50</v>
      </c>
    </row>
    <row r="1390" spans="1:16" x14ac:dyDescent="0.35">
      <c r="A1390" t="s">
        <v>3924</v>
      </c>
      <c r="B1390" t="s">
        <v>3925</v>
      </c>
      <c r="C1390" t="s">
        <v>53</v>
      </c>
      <c r="D1390" t="s">
        <v>4178</v>
      </c>
      <c r="E1390" t="s">
        <v>55</v>
      </c>
      <c r="F1390" s="1">
        <v>45029</v>
      </c>
      <c r="G1390">
        <v>2002</v>
      </c>
      <c r="H1390" t="s">
        <v>85</v>
      </c>
      <c r="I1390" t="s">
        <v>64</v>
      </c>
      <c r="J1390" t="s">
        <v>133</v>
      </c>
      <c r="K1390">
        <v>8.3000000000000007</v>
      </c>
      <c r="L1390">
        <v>7670260</v>
      </c>
      <c r="M1390">
        <v>2857138</v>
      </c>
      <c r="N1390">
        <v>60</v>
      </c>
      <c r="O1390" t="s">
        <v>24</v>
      </c>
      <c r="P1390" t="s">
        <v>4181</v>
      </c>
    </row>
    <row r="1391" spans="1:16" x14ac:dyDescent="0.35">
      <c r="A1391" t="s">
        <v>2613</v>
      </c>
      <c r="B1391" t="s">
        <v>2614</v>
      </c>
      <c r="C1391" t="s">
        <v>84</v>
      </c>
      <c r="D1391" t="s">
        <v>4178</v>
      </c>
      <c r="E1391" t="s">
        <v>20</v>
      </c>
      <c r="F1391" s="1">
        <v>45033</v>
      </c>
      <c r="G1391">
        <v>2015</v>
      </c>
      <c r="H1391" t="s">
        <v>114</v>
      </c>
      <c r="I1391" t="s">
        <v>4275</v>
      </c>
      <c r="J1391" t="s">
        <v>72</v>
      </c>
      <c r="K1391">
        <v>5.9</v>
      </c>
      <c r="L1391">
        <v>11663416</v>
      </c>
      <c r="M1391">
        <v>60505</v>
      </c>
      <c r="N1391">
        <v>89</v>
      </c>
      <c r="O1391" t="s">
        <v>65</v>
      </c>
      <c r="P1391" t="s">
        <v>4181</v>
      </c>
    </row>
    <row r="1392" spans="1:16" x14ac:dyDescent="0.35">
      <c r="A1392" t="s">
        <v>946</v>
      </c>
      <c r="B1392" t="s">
        <v>947</v>
      </c>
      <c r="C1392" t="s">
        <v>84</v>
      </c>
      <c r="D1392" t="s">
        <v>27</v>
      </c>
      <c r="E1392" t="s">
        <v>4178</v>
      </c>
      <c r="F1392" s="1">
        <v>45034</v>
      </c>
      <c r="G1392">
        <v>2025</v>
      </c>
      <c r="H1392" t="s">
        <v>63</v>
      </c>
      <c r="I1392" t="s">
        <v>4227</v>
      </c>
      <c r="J1392" t="s">
        <v>133</v>
      </c>
      <c r="K1392">
        <v>7</v>
      </c>
      <c r="L1392">
        <v>21118060</v>
      </c>
      <c r="M1392">
        <v>4679602</v>
      </c>
      <c r="N1392">
        <v>61</v>
      </c>
      <c r="O1392" t="s">
        <v>104</v>
      </c>
      <c r="P1392" t="s">
        <v>50</v>
      </c>
    </row>
    <row r="1393" spans="1:16" x14ac:dyDescent="0.35">
      <c r="A1393" t="s">
        <v>3031</v>
      </c>
      <c r="B1393" t="s">
        <v>3032</v>
      </c>
      <c r="C1393" t="s">
        <v>53</v>
      </c>
      <c r="D1393" t="s">
        <v>94</v>
      </c>
      <c r="E1393" t="s">
        <v>69</v>
      </c>
      <c r="F1393" s="1">
        <v>45035</v>
      </c>
      <c r="G1393">
        <v>2008</v>
      </c>
      <c r="H1393" t="s">
        <v>21</v>
      </c>
      <c r="I1393" t="s">
        <v>56</v>
      </c>
      <c r="J1393" t="s">
        <v>48</v>
      </c>
      <c r="K1393">
        <v>5.9</v>
      </c>
      <c r="L1393">
        <v>13671864</v>
      </c>
      <c r="M1393">
        <v>2905516</v>
      </c>
      <c r="N1393">
        <v>81</v>
      </c>
      <c r="O1393" t="s">
        <v>41</v>
      </c>
      <c r="P1393" t="s">
        <v>4181</v>
      </c>
    </row>
    <row r="1394" spans="1:16" x14ac:dyDescent="0.35">
      <c r="A1394" t="s">
        <v>3046</v>
      </c>
      <c r="B1394" t="s">
        <v>3047</v>
      </c>
      <c r="C1394" t="s">
        <v>53</v>
      </c>
      <c r="D1394" t="s">
        <v>94</v>
      </c>
      <c r="E1394" t="s">
        <v>45</v>
      </c>
      <c r="F1394" s="1">
        <v>45037</v>
      </c>
      <c r="G1394">
        <v>2009</v>
      </c>
      <c r="H1394" t="s">
        <v>4178</v>
      </c>
      <c r="I1394" t="s">
        <v>64</v>
      </c>
      <c r="J1394" t="s">
        <v>4178</v>
      </c>
      <c r="K1394">
        <v>8.9</v>
      </c>
      <c r="L1394">
        <v>11035151</v>
      </c>
      <c r="M1394">
        <v>3905477</v>
      </c>
      <c r="N1394">
        <v>79</v>
      </c>
      <c r="O1394" t="s">
        <v>65</v>
      </c>
      <c r="P1394" t="s">
        <v>87</v>
      </c>
    </row>
    <row r="1395" spans="1:16" x14ac:dyDescent="0.35">
      <c r="A1395" t="s">
        <v>870</v>
      </c>
      <c r="B1395" t="s">
        <v>871</v>
      </c>
      <c r="C1395" t="s">
        <v>53</v>
      </c>
      <c r="D1395" t="s">
        <v>75</v>
      </c>
      <c r="E1395" t="s">
        <v>69</v>
      </c>
      <c r="F1395" s="1">
        <v>45039</v>
      </c>
      <c r="G1395">
        <v>2002</v>
      </c>
      <c r="H1395" t="s">
        <v>107</v>
      </c>
      <c r="I1395" t="s">
        <v>162</v>
      </c>
      <c r="J1395" t="s">
        <v>153</v>
      </c>
      <c r="K1395">
        <v>7</v>
      </c>
      <c r="L1395">
        <v>20457451</v>
      </c>
      <c r="M1395">
        <v>3552081</v>
      </c>
      <c r="N1395">
        <v>99</v>
      </c>
      <c r="O1395" t="s">
        <v>49</v>
      </c>
      <c r="P1395" t="s">
        <v>50</v>
      </c>
    </row>
    <row r="1396" spans="1:16" x14ac:dyDescent="0.35">
      <c r="A1396" t="s">
        <v>1379</v>
      </c>
      <c r="B1396" t="s">
        <v>1380</v>
      </c>
      <c r="C1396" t="s">
        <v>53</v>
      </c>
      <c r="D1396" t="s">
        <v>19</v>
      </c>
      <c r="E1396" t="s">
        <v>28</v>
      </c>
      <c r="F1396" s="1">
        <v>45040</v>
      </c>
      <c r="G1396">
        <v>2019</v>
      </c>
      <c r="H1396" t="s">
        <v>107</v>
      </c>
      <c r="I1396" t="s">
        <v>162</v>
      </c>
      <c r="J1396" t="s">
        <v>72</v>
      </c>
      <c r="K1396">
        <v>5.0999999999999996</v>
      </c>
      <c r="L1396">
        <v>17719041</v>
      </c>
      <c r="M1396">
        <v>2382412</v>
      </c>
      <c r="N1396">
        <v>83</v>
      </c>
      <c r="O1396" t="s">
        <v>49</v>
      </c>
      <c r="P1396" t="s">
        <v>87</v>
      </c>
    </row>
    <row r="1397" spans="1:16" x14ac:dyDescent="0.35">
      <c r="A1397" t="s">
        <v>1609</v>
      </c>
      <c r="B1397" t="s">
        <v>1610</v>
      </c>
      <c r="C1397" t="s">
        <v>4178</v>
      </c>
      <c r="D1397" t="s">
        <v>90</v>
      </c>
      <c r="E1397" t="s">
        <v>4178</v>
      </c>
      <c r="F1397" s="1">
        <v>45044</v>
      </c>
      <c r="G1397">
        <v>2025</v>
      </c>
      <c r="H1397" t="s">
        <v>81</v>
      </c>
      <c r="I1397" t="s">
        <v>64</v>
      </c>
      <c r="J1397" t="s">
        <v>103</v>
      </c>
      <c r="K1397">
        <v>7.9</v>
      </c>
      <c r="L1397">
        <v>2552900</v>
      </c>
      <c r="M1397">
        <v>3114230</v>
      </c>
      <c r="N1397">
        <v>46</v>
      </c>
      <c r="O1397" t="s">
        <v>104</v>
      </c>
      <c r="P1397" t="s">
        <v>87</v>
      </c>
    </row>
    <row r="1398" spans="1:16" x14ac:dyDescent="0.35">
      <c r="A1398" t="s">
        <v>212</v>
      </c>
      <c r="B1398" t="s">
        <v>213</v>
      </c>
      <c r="C1398" t="s">
        <v>84</v>
      </c>
      <c r="D1398" t="s">
        <v>156</v>
      </c>
      <c r="E1398" t="s">
        <v>4196</v>
      </c>
      <c r="F1398" s="1">
        <v>45048</v>
      </c>
      <c r="G1398">
        <v>2011</v>
      </c>
      <c r="H1398" t="s">
        <v>107</v>
      </c>
      <c r="I1398" t="s">
        <v>4200</v>
      </c>
      <c r="J1398" t="s">
        <v>40</v>
      </c>
      <c r="K1398">
        <v>6.8</v>
      </c>
      <c r="L1398">
        <v>24960898</v>
      </c>
      <c r="M1398">
        <v>406098</v>
      </c>
      <c r="N1398">
        <v>73</v>
      </c>
      <c r="O1398" t="s">
        <v>123</v>
      </c>
      <c r="P1398" t="s">
        <v>50</v>
      </c>
    </row>
    <row r="1399" spans="1:16" x14ac:dyDescent="0.35">
      <c r="A1399" t="s">
        <v>2603</v>
      </c>
      <c r="B1399" t="s">
        <v>2604</v>
      </c>
      <c r="C1399" t="s">
        <v>84</v>
      </c>
      <c r="D1399" t="s">
        <v>19</v>
      </c>
      <c r="E1399" t="s">
        <v>4196</v>
      </c>
      <c r="F1399" s="1">
        <v>45048</v>
      </c>
      <c r="G1399">
        <v>2004</v>
      </c>
      <c r="H1399" t="s">
        <v>85</v>
      </c>
      <c r="I1399" t="s">
        <v>4254</v>
      </c>
      <c r="J1399" t="s">
        <v>96</v>
      </c>
      <c r="K1399">
        <v>8.6999999999999993</v>
      </c>
      <c r="L1399">
        <v>17984171</v>
      </c>
      <c r="M1399">
        <v>4226713</v>
      </c>
      <c r="N1399">
        <v>89</v>
      </c>
      <c r="O1399" t="s">
        <v>49</v>
      </c>
      <c r="P1399" t="s">
        <v>4178</v>
      </c>
    </row>
    <row r="1400" spans="1:16" x14ac:dyDescent="0.35">
      <c r="A1400" t="s">
        <v>791</v>
      </c>
      <c r="B1400" t="s">
        <v>792</v>
      </c>
      <c r="C1400" t="s">
        <v>84</v>
      </c>
      <c r="D1400" t="s">
        <v>54</v>
      </c>
      <c r="E1400" t="s">
        <v>80</v>
      </c>
      <c r="F1400" s="1">
        <v>45050</v>
      </c>
      <c r="G1400">
        <v>2007</v>
      </c>
      <c r="H1400" t="s">
        <v>107</v>
      </c>
      <c r="I1400" t="s">
        <v>4213</v>
      </c>
      <c r="J1400" t="s">
        <v>48</v>
      </c>
      <c r="K1400">
        <v>7.9</v>
      </c>
      <c r="L1400">
        <v>16037755</v>
      </c>
      <c r="M1400">
        <v>4807907</v>
      </c>
      <c r="N1400">
        <v>84</v>
      </c>
      <c r="O1400" t="s">
        <v>58</v>
      </c>
      <c r="P1400" t="s">
        <v>87</v>
      </c>
    </row>
    <row r="1401" spans="1:16" x14ac:dyDescent="0.35">
      <c r="A1401" t="s">
        <v>1710</v>
      </c>
      <c r="B1401" t="s">
        <v>1711</v>
      </c>
      <c r="C1401" t="s">
        <v>4178</v>
      </c>
      <c r="D1401" t="s">
        <v>36</v>
      </c>
      <c r="E1401" t="s">
        <v>99</v>
      </c>
      <c r="F1401" s="1">
        <v>45051</v>
      </c>
      <c r="G1401">
        <v>2012</v>
      </c>
      <c r="H1401" t="s">
        <v>46</v>
      </c>
      <c r="I1401" t="s">
        <v>56</v>
      </c>
      <c r="J1401" t="s">
        <v>30</v>
      </c>
      <c r="K1401">
        <v>7.5</v>
      </c>
      <c r="L1401">
        <v>15576636</v>
      </c>
      <c r="M1401">
        <v>3605169</v>
      </c>
      <c r="N1401">
        <v>66</v>
      </c>
      <c r="O1401" t="s">
        <v>4178</v>
      </c>
      <c r="P1401" t="s">
        <v>4178</v>
      </c>
    </row>
    <row r="1402" spans="1:16" x14ac:dyDescent="0.35">
      <c r="A1402" t="s">
        <v>451</v>
      </c>
      <c r="B1402" t="s">
        <v>452</v>
      </c>
      <c r="C1402" t="s">
        <v>53</v>
      </c>
      <c r="D1402" t="s">
        <v>94</v>
      </c>
      <c r="E1402" t="s">
        <v>37</v>
      </c>
      <c r="F1402" s="1">
        <v>45055</v>
      </c>
      <c r="G1402">
        <v>2006</v>
      </c>
      <c r="H1402" t="s">
        <v>85</v>
      </c>
      <c r="I1402" t="s">
        <v>95</v>
      </c>
      <c r="J1402" t="s">
        <v>133</v>
      </c>
      <c r="K1402">
        <v>6.5</v>
      </c>
      <c r="L1402">
        <v>16673121</v>
      </c>
      <c r="M1402">
        <v>215658</v>
      </c>
      <c r="N1402">
        <v>76</v>
      </c>
      <c r="O1402" t="s">
        <v>49</v>
      </c>
      <c r="P1402" t="s">
        <v>32</v>
      </c>
    </row>
    <row r="1403" spans="1:16" x14ac:dyDescent="0.35">
      <c r="A1403" t="s">
        <v>2348</v>
      </c>
      <c r="B1403" t="s">
        <v>2349</v>
      </c>
      <c r="C1403" t="s">
        <v>84</v>
      </c>
      <c r="D1403" t="s">
        <v>27</v>
      </c>
      <c r="E1403" t="s">
        <v>80</v>
      </c>
      <c r="F1403" s="1">
        <v>45057</v>
      </c>
      <c r="G1403">
        <v>2013</v>
      </c>
      <c r="H1403" t="s">
        <v>4178</v>
      </c>
      <c r="I1403" t="s">
        <v>4193</v>
      </c>
      <c r="J1403" t="s">
        <v>48</v>
      </c>
      <c r="K1403">
        <v>8.1999999999999993</v>
      </c>
      <c r="L1403">
        <v>21201846</v>
      </c>
      <c r="M1403">
        <v>1805923</v>
      </c>
      <c r="N1403">
        <v>76</v>
      </c>
      <c r="O1403" t="s">
        <v>31</v>
      </c>
      <c r="P1403" t="s">
        <v>87</v>
      </c>
    </row>
    <row r="1404" spans="1:16" x14ac:dyDescent="0.35">
      <c r="A1404" t="s">
        <v>2308</v>
      </c>
      <c r="B1404" t="s">
        <v>2309</v>
      </c>
      <c r="C1404" t="s">
        <v>84</v>
      </c>
      <c r="D1404" t="s">
        <v>36</v>
      </c>
      <c r="E1404" t="s">
        <v>113</v>
      </c>
      <c r="F1404" s="1">
        <v>45060</v>
      </c>
      <c r="G1404">
        <v>2005</v>
      </c>
      <c r="H1404" t="s">
        <v>38</v>
      </c>
      <c r="I1404" t="s">
        <v>4225</v>
      </c>
      <c r="J1404" t="s">
        <v>4178</v>
      </c>
      <c r="K1404">
        <v>5</v>
      </c>
      <c r="L1404">
        <v>436143</v>
      </c>
      <c r="M1404">
        <v>1018729</v>
      </c>
      <c r="N1404">
        <v>66</v>
      </c>
      <c r="O1404" t="s">
        <v>31</v>
      </c>
      <c r="P1404" t="s">
        <v>87</v>
      </c>
    </row>
    <row r="1405" spans="1:16" x14ac:dyDescent="0.35">
      <c r="A1405" t="s">
        <v>1334</v>
      </c>
      <c r="B1405" t="s">
        <v>1335</v>
      </c>
      <c r="C1405" t="s">
        <v>53</v>
      </c>
      <c r="D1405" t="s">
        <v>68</v>
      </c>
      <c r="E1405" t="s">
        <v>20</v>
      </c>
      <c r="F1405" s="1">
        <v>45065</v>
      </c>
      <c r="G1405">
        <v>2014</v>
      </c>
      <c r="H1405" t="s">
        <v>21</v>
      </c>
      <c r="I1405" t="s">
        <v>64</v>
      </c>
      <c r="J1405" t="s">
        <v>57</v>
      </c>
      <c r="K1405">
        <v>7.8</v>
      </c>
      <c r="L1405">
        <v>12696500</v>
      </c>
      <c r="M1405">
        <v>2106790</v>
      </c>
      <c r="N1405">
        <v>83</v>
      </c>
      <c r="O1405" t="s">
        <v>65</v>
      </c>
      <c r="P1405" t="s">
        <v>4181</v>
      </c>
    </row>
    <row r="1406" spans="1:16" x14ac:dyDescent="0.35">
      <c r="A1406" t="s">
        <v>1425</v>
      </c>
      <c r="B1406" t="s">
        <v>1426</v>
      </c>
      <c r="C1406" t="s">
        <v>53</v>
      </c>
      <c r="D1406" t="s">
        <v>68</v>
      </c>
      <c r="E1406" t="s">
        <v>45</v>
      </c>
      <c r="F1406" s="1">
        <v>45065</v>
      </c>
      <c r="G1406">
        <v>2000</v>
      </c>
      <c r="H1406" t="s">
        <v>38</v>
      </c>
      <c r="I1406" t="s">
        <v>136</v>
      </c>
      <c r="J1406" t="s">
        <v>48</v>
      </c>
      <c r="K1406">
        <v>9</v>
      </c>
      <c r="L1406">
        <v>1310925</v>
      </c>
      <c r="M1406">
        <v>4659971</v>
      </c>
      <c r="N1406">
        <v>52</v>
      </c>
      <c r="O1406" t="s">
        <v>49</v>
      </c>
      <c r="P1406" t="s">
        <v>50</v>
      </c>
    </row>
    <row r="1407" spans="1:16" x14ac:dyDescent="0.35">
      <c r="A1407" t="s">
        <v>3872</v>
      </c>
      <c r="B1407" t="s">
        <v>4394</v>
      </c>
      <c r="C1407" t="s">
        <v>53</v>
      </c>
      <c r="D1407" t="s">
        <v>75</v>
      </c>
      <c r="E1407" t="s">
        <v>80</v>
      </c>
      <c r="F1407" s="1">
        <v>45065</v>
      </c>
      <c r="G1407">
        <v>2007</v>
      </c>
      <c r="H1407" t="s">
        <v>107</v>
      </c>
      <c r="I1407" t="s">
        <v>56</v>
      </c>
      <c r="J1407" t="s">
        <v>4178</v>
      </c>
      <c r="K1407">
        <v>7.4</v>
      </c>
      <c r="L1407">
        <v>4604884</v>
      </c>
      <c r="M1407">
        <v>879921</v>
      </c>
      <c r="N1407">
        <v>92</v>
      </c>
      <c r="O1407" t="s">
        <v>123</v>
      </c>
      <c r="P1407" t="s">
        <v>32</v>
      </c>
    </row>
    <row r="1408" spans="1:16" x14ac:dyDescent="0.35">
      <c r="A1408" t="s">
        <v>173</v>
      </c>
      <c r="B1408" t="s">
        <v>174</v>
      </c>
      <c r="C1408" t="s">
        <v>53</v>
      </c>
      <c r="D1408" t="s">
        <v>36</v>
      </c>
      <c r="E1408" t="s">
        <v>4196</v>
      </c>
      <c r="F1408" s="1">
        <v>45067</v>
      </c>
      <c r="G1408">
        <v>2014</v>
      </c>
      <c r="H1408" t="s">
        <v>63</v>
      </c>
      <c r="I1408" t="s">
        <v>71</v>
      </c>
      <c r="J1408" t="s">
        <v>133</v>
      </c>
      <c r="K1408">
        <v>6.4</v>
      </c>
      <c r="L1408">
        <v>4160961</v>
      </c>
      <c r="M1408">
        <v>4708090</v>
      </c>
      <c r="N1408">
        <v>53</v>
      </c>
      <c r="O1408" t="s">
        <v>58</v>
      </c>
      <c r="P1408" t="s">
        <v>50</v>
      </c>
    </row>
    <row r="1409" spans="1:16" x14ac:dyDescent="0.35">
      <c r="A1409" t="s">
        <v>3765</v>
      </c>
      <c r="B1409" t="s">
        <v>3766</v>
      </c>
      <c r="C1409" t="s">
        <v>84</v>
      </c>
      <c r="D1409" t="s">
        <v>156</v>
      </c>
      <c r="E1409" t="s">
        <v>4178</v>
      </c>
      <c r="F1409" s="1">
        <v>45068</v>
      </c>
      <c r="G1409">
        <v>2006</v>
      </c>
      <c r="H1409" t="s">
        <v>4178</v>
      </c>
      <c r="I1409" t="s">
        <v>4235</v>
      </c>
      <c r="J1409" t="s">
        <v>72</v>
      </c>
      <c r="K1409">
        <v>6</v>
      </c>
      <c r="L1409">
        <v>7380186</v>
      </c>
      <c r="M1409">
        <v>1359675</v>
      </c>
      <c r="N1409">
        <v>48</v>
      </c>
      <c r="O1409" t="s">
        <v>24</v>
      </c>
      <c r="P1409" t="s">
        <v>50</v>
      </c>
    </row>
    <row r="1410" spans="1:16" x14ac:dyDescent="0.35">
      <c r="A1410" t="s">
        <v>1198</v>
      </c>
      <c r="B1410" t="s">
        <v>1197</v>
      </c>
      <c r="C1410" t="s">
        <v>84</v>
      </c>
      <c r="D1410" t="s">
        <v>54</v>
      </c>
      <c r="E1410" t="s">
        <v>80</v>
      </c>
      <c r="F1410" s="1">
        <v>45069</v>
      </c>
      <c r="G1410">
        <v>2018</v>
      </c>
      <c r="H1410" t="s">
        <v>46</v>
      </c>
      <c r="I1410" t="s">
        <v>4234</v>
      </c>
      <c r="J1410" t="s">
        <v>4178</v>
      </c>
      <c r="K1410">
        <v>9.5</v>
      </c>
      <c r="L1410">
        <v>15445067</v>
      </c>
      <c r="M1410">
        <v>4812617</v>
      </c>
      <c r="N1410">
        <v>67</v>
      </c>
      <c r="O1410" t="s">
        <v>41</v>
      </c>
      <c r="P1410" t="s">
        <v>32</v>
      </c>
    </row>
    <row r="1411" spans="1:16" x14ac:dyDescent="0.35">
      <c r="A1411" t="s">
        <v>3970</v>
      </c>
      <c r="B1411" t="s">
        <v>3971</v>
      </c>
      <c r="C1411" t="s">
        <v>53</v>
      </c>
      <c r="D1411" t="s">
        <v>27</v>
      </c>
      <c r="E1411" t="s">
        <v>99</v>
      </c>
      <c r="F1411" s="1">
        <v>45072</v>
      </c>
      <c r="G1411">
        <v>2009</v>
      </c>
      <c r="H1411" t="s">
        <v>107</v>
      </c>
      <c r="I1411" t="s">
        <v>95</v>
      </c>
      <c r="J1411" t="s">
        <v>30</v>
      </c>
      <c r="K1411">
        <v>8.4</v>
      </c>
      <c r="L1411">
        <v>24785585</v>
      </c>
      <c r="M1411">
        <v>2431479</v>
      </c>
      <c r="N1411">
        <v>54</v>
      </c>
      <c r="O1411" t="s">
        <v>41</v>
      </c>
      <c r="P1411" t="s">
        <v>4181</v>
      </c>
    </row>
    <row r="1412" spans="1:16" x14ac:dyDescent="0.35">
      <c r="A1412" t="s">
        <v>2038</v>
      </c>
      <c r="B1412" t="s">
        <v>2039</v>
      </c>
      <c r="C1412" t="s">
        <v>84</v>
      </c>
      <c r="D1412" t="s">
        <v>90</v>
      </c>
      <c r="E1412" t="s">
        <v>4178</v>
      </c>
      <c r="F1412" s="1">
        <v>45078</v>
      </c>
      <c r="G1412">
        <v>2003</v>
      </c>
      <c r="H1412" t="s">
        <v>4178</v>
      </c>
      <c r="I1412" t="s">
        <v>4276</v>
      </c>
      <c r="J1412" t="s">
        <v>72</v>
      </c>
      <c r="K1412">
        <v>5.5</v>
      </c>
      <c r="L1412">
        <v>3768972</v>
      </c>
      <c r="M1412">
        <v>3239907</v>
      </c>
      <c r="N1412">
        <v>46</v>
      </c>
      <c r="O1412" t="s">
        <v>65</v>
      </c>
      <c r="P1412" t="s">
        <v>50</v>
      </c>
    </row>
    <row r="1413" spans="1:16" x14ac:dyDescent="0.35">
      <c r="A1413" t="s">
        <v>1534</v>
      </c>
      <c r="B1413" t="s">
        <v>1535</v>
      </c>
      <c r="C1413" t="s">
        <v>53</v>
      </c>
      <c r="D1413" t="s">
        <v>36</v>
      </c>
      <c r="E1413" t="s">
        <v>45</v>
      </c>
      <c r="F1413" s="1">
        <v>45082</v>
      </c>
      <c r="G1413">
        <v>2009</v>
      </c>
      <c r="H1413" t="s">
        <v>4178</v>
      </c>
      <c r="I1413" t="s">
        <v>71</v>
      </c>
      <c r="J1413" t="s">
        <v>153</v>
      </c>
      <c r="K1413">
        <v>7.3</v>
      </c>
      <c r="L1413">
        <v>85780</v>
      </c>
      <c r="M1413">
        <v>214518</v>
      </c>
      <c r="N1413">
        <v>84</v>
      </c>
      <c r="O1413" t="s">
        <v>65</v>
      </c>
      <c r="P1413" t="s">
        <v>32</v>
      </c>
    </row>
    <row r="1414" spans="1:16" x14ac:dyDescent="0.35">
      <c r="A1414" t="s">
        <v>2878</v>
      </c>
      <c r="B1414" t="s">
        <v>2879</v>
      </c>
      <c r="C1414" t="s">
        <v>53</v>
      </c>
      <c r="D1414" t="s">
        <v>4178</v>
      </c>
      <c r="E1414" t="s">
        <v>4196</v>
      </c>
      <c r="F1414" s="1">
        <v>45082</v>
      </c>
      <c r="G1414">
        <v>2012</v>
      </c>
      <c r="H1414" t="s">
        <v>107</v>
      </c>
      <c r="I1414" t="s">
        <v>136</v>
      </c>
      <c r="J1414" t="s">
        <v>133</v>
      </c>
      <c r="K1414">
        <v>7.8</v>
      </c>
      <c r="L1414">
        <v>2908804</v>
      </c>
      <c r="M1414">
        <v>3466514</v>
      </c>
      <c r="N1414">
        <v>56</v>
      </c>
      <c r="O1414" t="s">
        <v>58</v>
      </c>
      <c r="P1414" t="s">
        <v>4178</v>
      </c>
    </row>
    <row r="1415" spans="1:16" x14ac:dyDescent="0.35">
      <c r="A1415" t="s">
        <v>2679</v>
      </c>
      <c r="B1415" t="s">
        <v>2680</v>
      </c>
      <c r="C1415" t="s">
        <v>84</v>
      </c>
      <c r="D1415" t="s">
        <v>75</v>
      </c>
      <c r="E1415" t="s">
        <v>4178</v>
      </c>
      <c r="F1415" s="1">
        <v>45088</v>
      </c>
      <c r="G1415">
        <v>2000</v>
      </c>
      <c r="H1415" t="s">
        <v>121</v>
      </c>
      <c r="I1415" t="s">
        <v>4313</v>
      </c>
      <c r="J1415" t="s">
        <v>133</v>
      </c>
      <c r="K1415">
        <v>5.6</v>
      </c>
      <c r="L1415">
        <v>18736873</v>
      </c>
      <c r="M1415">
        <v>2229619</v>
      </c>
      <c r="N1415">
        <v>74</v>
      </c>
      <c r="O1415" t="s">
        <v>49</v>
      </c>
      <c r="P1415" t="s">
        <v>32</v>
      </c>
    </row>
    <row r="1416" spans="1:16" x14ac:dyDescent="0.35">
      <c r="A1416" t="s">
        <v>3551</v>
      </c>
      <c r="B1416" t="s">
        <v>3552</v>
      </c>
      <c r="C1416" t="s">
        <v>53</v>
      </c>
      <c r="D1416" t="s">
        <v>68</v>
      </c>
      <c r="E1416" t="s">
        <v>55</v>
      </c>
      <c r="F1416" s="1">
        <v>45088</v>
      </c>
      <c r="G1416">
        <v>2008</v>
      </c>
      <c r="H1416" t="s">
        <v>107</v>
      </c>
      <c r="I1416" t="s">
        <v>64</v>
      </c>
      <c r="J1416" t="s">
        <v>40</v>
      </c>
      <c r="K1416">
        <v>6.4</v>
      </c>
      <c r="L1416">
        <v>8272872</v>
      </c>
      <c r="M1416">
        <v>2927956</v>
      </c>
      <c r="N1416">
        <v>49</v>
      </c>
      <c r="O1416" t="s">
        <v>123</v>
      </c>
      <c r="P1416" t="s">
        <v>4178</v>
      </c>
    </row>
    <row r="1417" spans="1:16" x14ac:dyDescent="0.35">
      <c r="A1417" t="s">
        <v>1962</v>
      </c>
      <c r="B1417" t="s">
        <v>1963</v>
      </c>
      <c r="C1417" t="s">
        <v>4178</v>
      </c>
      <c r="D1417" t="s">
        <v>68</v>
      </c>
      <c r="E1417" t="s">
        <v>131</v>
      </c>
      <c r="F1417" s="1">
        <v>45090</v>
      </c>
      <c r="G1417">
        <v>2003</v>
      </c>
      <c r="H1417" t="s">
        <v>107</v>
      </c>
      <c r="I1417" t="s">
        <v>95</v>
      </c>
      <c r="J1417" t="s">
        <v>103</v>
      </c>
      <c r="K1417">
        <v>9.4</v>
      </c>
      <c r="L1417">
        <v>2224981</v>
      </c>
      <c r="M1417">
        <v>3360573</v>
      </c>
      <c r="N1417">
        <v>71</v>
      </c>
      <c r="O1417" t="s">
        <v>65</v>
      </c>
      <c r="P1417" t="s">
        <v>32</v>
      </c>
    </row>
    <row r="1418" spans="1:16" x14ac:dyDescent="0.35">
      <c r="A1418" t="s">
        <v>688</v>
      </c>
      <c r="B1418" t="s">
        <v>689</v>
      </c>
      <c r="C1418" t="s">
        <v>4178</v>
      </c>
      <c r="D1418" t="s">
        <v>68</v>
      </c>
      <c r="E1418" t="s">
        <v>45</v>
      </c>
      <c r="F1418" s="1">
        <v>45095</v>
      </c>
      <c r="G1418">
        <v>2016</v>
      </c>
      <c r="H1418" t="s">
        <v>38</v>
      </c>
      <c r="I1418" t="s">
        <v>136</v>
      </c>
      <c r="J1418" t="s">
        <v>48</v>
      </c>
      <c r="K1418">
        <v>8.3000000000000007</v>
      </c>
      <c r="L1418">
        <v>466885</v>
      </c>
      <c r="M1418">
        <v>457162</v>
      </c>
      <c r="N1418">
        <v>69</v>
      </c>
      <c r="O1418" t="s">
        <v>31</v>
      </c>
      <c r="P1418" t="s">
        <v>4178</v>
      </c>
    </row>
    <row r="1419" spans="1:16" x14ac:dyDescent="0.35">
      <c r="A1419" t="s">
        <v>4133</v>
      </c>
      <c r="B1419" t="s">
        <v>4134</v>
      </c>
      <c r="C1419" t="s">
        <v>4178</v>
      </c>
      <c r="D1419" t="s">
        <v>94</v>
      </c>
      <c r="E1419" t="s">
        <v>69</v>
      </c>
      <c r="F1419" s="1">
        <v>45100</v>
      </c>
      <c r="G1419">
        <v>2012</v>
      </c>
      <c r="H1419" t="s">
        <v>85</v>
      </c>
      <c r="I1419" t="s">
        <v>136</v>
      </c>
      <c r="J1419" t="s">
        <v>103</v>
      </c>
      <c r="K1419">
        <v>4.9000000000000004</v>
      </c>
      <c r="L1419">
        <v>14329575</v>
      </c>
      <c r="M1419">
        <v>2426003</v>
      </c>
      <c r="N1419">
        <v>68</v>
      </c>
      <c r="O1419" t="s">
        <v>31</v>
      </c>
      <c r="P1419" t="s">
        <v>87</v>
      </c>
    </row>
    <row r="1420" spans="1:16" x14ac:dyDescent="0.35">
      <c r="A1420" t="s">
        <v>2868</v>
      </c>
      <c r="B1420" t="s">
        <v>2869</v>
      </c>
      <c r="C1420" t="s">
        <v>84</v>
      </c>
      <c r="D1420" t="s">
        <v>94</v>
      </c>
      <c r="E1420" t="s">
        <v>28</v>
      </c>
      <c r="F1420" s="1">
        <v>45105</v>
      </c>
      <c r="G1420">
        <v>2023</v>
      </c>
      <c r="H1420" t="s">
        <v>114</v>
      </c>
      <c r="I1420" t="s">
        <v>4222</v>
      </c>
      <c r="J1420" t="s">
        <v>153</v>
      </c>
      <c r="K1420">
        <v>9.1999999999999993</v>
      </c>
      <c r="L1420">
        <v>19064812</v>
      </c>
      <c r="M1420">
        <v>4703430</v>
      </c>
      <c r="N1420">
        <v>54</v>
      </c>
      <c r="O1420" t="s">
        <v>31</v>
      </c>
      <c r="P1420" t="s">
        <v>4178</v>
      </c>
    </row>
    <row r="1421" spans="1:16" x14ac:dyDescent="0.35">
      <c r="A1421" t="s">
        <v>3439</v>
      </c>
      <c r="B1421" t="s">
        <v>3440</v>
      </c>
      <c r="C1421" t="s">
        <v>84</v>
      </c>
      <c r="D1421" t="s">
        <v>27</v>
      </c>
      <c r="E1421" t="s">
        <v>28</v>
      </c>
      <c r="F1421" s="1">
        <v>45105</v>
      </c>
      <c r="G1421">
        <v>2025</v>
      </c>
      <c r="H1421" t="s">
        <v>107</v>
      </c>
      <c r="I1421" t="s">
        <v>4218</v>
      </c>
      <c r="J1421" t="s">
        <v>57</v>
      </c>
      <c r="K1421">
        <v>9.6</v>
      </c>
      <c r="L1421">
        <v>22559872</v>
      </c>
      <c r="M1421">
        <v>4978573</v>
      </c>
      <c r="N1421">
        <v>98</v>
      </c>
      <c r="O1421" t="s">
        <v>49</v>
      </c>
      <c r="P1421" t="s">
        <v>4181</v>
      </c>
    </row>
    <row r="1422" spans="1:16" x14ac:dyDescent="0.35">
      <c r="A1422" t="s">
        <v>528</v>
      </c>
      <c r="B1422" t="s">
        <v>529</v>
      </c>
      <c r="C1422" t="s">
        <v>53</v>
      </c>
      <c r="D1422" t="s">
        <v>61</v>
      </c>
      <c r="E1422" t="s">
        <v>69</v>
      </c>
      <c r="F1422" s="1">
        <v>45109</v>
      </c>
      <c r="G1422">
        <v>2026</v>
      </c>
      <c r="H1422" t="s">
        <v>46</v>
      </c>
      <c r="I1422" t="s">
        <v>95</v>
      </c>
      <c r="J1422" t="s">
        <v>72</v>
      </c>
      <c r="K1422">
        <v>7.5</v>
      </c>
      <c r="L1422">
        <v>10860366</v>
      </c>
      <c r="M1422">
        <v>2840124</v>
      </c>
      <c r="N1422">
        <v>96</v>
      </c>
      <c r="O1422" t="s">
        <v>49</v>
      </c>
      <c r="P1422" t="s">
        <v>32</v>
      </c>
    </row>
    <row r="1423" spans="1:16" x14ac:dyDescent="0.35">
      <c r="A1423" t="s">
        <v>684</v>
      </c>
      <c r="B1423" t="s">
        <v>685</v>
      </c>
      <c r="C1423" t="s">
        <v>53</v>
      </c>
      <c r="D1423" t="s">
        <v>61</v>
      </c>
      <c r="E1423" t="s">
        <v>113</v>
      </c>
      <c r="F1423" s="1">
        <v>45112</v>
      </c>
      <c r="G1423">
        <v>2023</v>
      </c>
      <c r="H1423" t="s">
        <v>85</v>
      </c>
      <c r="I1423" t="s">
        <v>118</v>
      </c>
      <c r="J1423" t="s">
        <v>40</v>
      </c>
      <c r="K1423">
        <v>8.1</v>
      </c>
      <c r="L1423">
        <v>6332350</v>
      </c>
      <c r="M1423">
        <v>1736224</v>
      </c>
      <c r="N1423">
        <v>120</v>
      </c>
      <c r="O1423" t="s">
        <v>4178</v>
      </c>
      <c r="P1423" t="s">
        <v>4178</v>
      </c>
    </row>
    <row r="1424" spans="1:16" x14ac:dyDescent="0.35">
      <c r="A1424" t="s">
        <v>768</v>
      </c>
      <c r="B1424" t="s">
        <v>769</v>
      </c>
      <c r="C1424" t="s">
        <v>4178</v>
      </c>
      <c r="D1424" t="s">
        <v>19</v>
      </c>
      <c r="E1424" t="s">
        <v>45</v>
      </c>
      <c r="F1424" s="1">
        <v>45115</v>
      </c>
      <c r="G1424">
        <v>2009</v>
      </c>
      <c r="H1424" t="s">
        <v>38</v>
      </c>
      <c r="I1424" t="s">
        <v>56</v>
      </c>
      <c r="J1424" t="s">
        <v>30</v>
      </c>
      <c r="K1424">
        <v>9</v>
      </c>
      <c r="L1424">
        <v>4813820</v>
      </c>
      <c r="M1424">
        <v>4087912</v>
      </c>
      <c r="N1424">
        <v>92</v>
      </c>
      <c r="O1424" t="s">
        <v>104</v>
      </c>
      <c r="P1424" t="s">
        <v>4181</v>
      </c>
    </row>
    <row r="1425" spans="1:16" x14ac:dyDescent="0.35">
      <c r="A1425" t="s">
        <v>786</v>
      </c>
      <c r="B1425" t="s">
        <v>787</v>
      </c>
      <c r="C1425" t="s">
        <v>84</v>
      </c>
      <c r="D1425" t="s">
        <v>4178</v>
      </c>
      <c r="E1425" t="s">
        <v>37</v>
      </c>
      <c r="F1425" s="1">
        <v>45120</v>
      </c>
      <c r="G1425">
        <v>2016</v>
      </c>
      <c r="H1425" t="s">
        <v>121</v>
      </c>
      <c r="I1425" t="s">
        <v>4275</v>
      </c>
      <c r="J1425" t="s">
        <v>96</v>
      </c>
      <c r="K1425">
        <v>8</v>
      </c>
      <c r="L1425">
        <v>1481229</v>
      </c>
      <c r="M1425">
        <v>662183</v>
      </c>
      <c r="N1425">
        <v>42</v>
      </c>
      <c r="O1425" t="s">
        <v>58</v>
      </c>
      <c r="P1425" t="s">
        <v>50</v>
      </c>
    </row>
    <row r="1426" spans="1:16" x14ac:dyDescent="0.35">
      <c r="A1426" t="s">
        <v>3448</v>
      </c>
      <c r="B1426" t="s">
        <v>3449</v>
      </c>
      <c r="C1426" t="s">
        <v>84</v>
      </c>
      <c r="D1426" t="s">
        <v>54</v>
      </c>
      <c r="E1426" t="s">
        <v>28</v>
      </c>
      <c r="F1426" s="1">
        <v>45120</v>
      </c>
      <c r="G1426">
        <v>2020</v>
      </c>
      <c r="H1426" t="s">
        <v>107</v>
      </c>
      <c r="I1426" t="s">
        <v>4183</v>
      </c>
      <c r="J1426" t="s">
        <v>23</v>
      </c>
      <c r="K1426">
        <v>7.9</v>
      </c>
      <c r="L1426">
        <v>20897702</v>
      </c>
      <c r="M1426">
        <v>4589832</v>
      </c>
      <c r="N1426">
        <v>59</v>
      </c>
      <c r="O1426" t="s">
        <v>4178</v>
      </c>
      <c r="P1426" t="s">
        <v>32</v>
      </c>
    </row>
    <row r="1427" spans="1:16" x14ac:dyDescent="0.35">
      <c r="A1427" t="s">
        <v>1780</v>
      </c>
      <c r="B1427" t="s">
        <v>4326</v>
      </c>
      <c r="C1427" t="s">
        <v>84</v>
      </c>
      <c r="D1427" t="s">
        <v>4178</v>
      </c>
      <c r="E1427" t="s">
        <v>37</v>
      </c>
      <c r="F1427" s="1">
        <v>45122</v>
      </c>
      <c r="G1427">
        <v>2025</v>
      </c>
      <c r="H1427" t="s">
        <v>4178</v>
      </c>
      <c r="I1427" t="s">
        <v>4296</v>
      </c>
      <c r="J1427" t="s">
        <v>72</v>
      </c>
      <c r="K1427">
        <v>7.9</v>
      </c>
      <c r="L1427">
        <v>10495756</v>
      </c>
      <c r="M1427">
        <v>1772095</v>
      </c>
      <c r="N1427">
        <v>81</v>
      </c>
      <c r="O1427" t="s">
        <v>123</v>
      </c>
      <c r="P1427" t="s">
        <v>32</v>
      </c>
    </row>
    <row r="1428" spans="1:16" x14ac:dyDescent="0.35">
      <c r="A1428" t="s">
        <v>2294</v>
      </c>
      <c r="B1428" t="s">
        <v>2295</v>
      </c>
      <c r="C1428" t="s">
        <v>84</v>
      </c>
      <c r="D1428" t="s">
        <v>36</v>
      </c>
      <c r="E1428" t="s">
        <v>131</v>
      </c>
      <c r="F1428" s="1">
        <v>45122</v>
      </c>
      <c r="G1428">
        <v>2018</v>
      </c>
      <c r="H1428" t="s">
        <v>38</v>
      </c>
      <c r="I1428" t="s">
        <v>4274</v>
      </c>
      <c r="J1428" t="s">
        <v>133</v>
      </c>
      <c r="K1428">
        <v>9.6999999999999993</v>
      </c>
      <c r="L1428">
        <v>5081595</v>
      </c>
      <c r="M1428">
        <v>4815648</v>
      </c>
      <c r="N1428">
        <v>40</v>
      </c>
      <c r="O1428" t="s">
        <v>91</v>
      </c>
      <c r="P1428" t="s">
        <v>50</v>
      </c>
    </row>
    <row r="1429" spans="1:16" x14ac:dyDescent="0.35">
      <c r="A1429" t="s">
        <v>2665</v>
      </c>
      <c r="B1429" t="s">
        <v>2666</v>
      </c>
      <c r="C1429" t="s">
        <v>53</v>
      </c>
      <c r="D1429" t="s">
        <v>27</v>
      </c>
      <c r="E1429" t="s">
        <v>80</v>
      </c>
      <c r="F1429" s="1">
        <v>45129</v>
      </c>
      <c r="G1429">
        <v>2010</v>
      </c>
      <c r="H1429" t="s">
        <v>107</v>
      </c>
      <c r="I1429" t="s">
        <v>95</v>
      </c>
      <c r="J1429" t="s">
        <v>57</v>
      </c>
      <c r="K1429">
        <v>7.2</v>
      </c>
      <c r="L1429">
        <v>9610674</v>
      </c>
      <c r="M1429">
        <v>3567891</v>
      </c>
      <c r="N1429">
        <v>88</v>
      </c>
      <c r="O1429" t="s">
        <v>104</v>
      </c>
      <c r="P1429" t="s">
        <v>4181</v>
      </c>
    </row>
    <row r="1430" spans="1:16" x14ac:dyDescent="0.35">
      <c r="A1430" t="s">
        <v>2300</v>
      </c>
      <c r="B1430" t="s">
        <v>2301</v>
      </c>
      <c r="C1430" t="s">
        <v>84</v>
      </c>
      <c r="D1430" t="s">
        <v>19</v>
      </c>
      <c r="E1430" t="s">
        <v>99</v>
      </c>
      <c r="F1430" s="1">
        <v>45130</v>
      </c>
      <c r="G1430">
        <v>2032</v>
      </c>
      <c r="H1430" t="s">
        <v>38</v>
      </c>
      <c r="I1430" t="s">
        <v>4273</v>
      </c>
      <c r="J1430" t="s">
        <v>48</v>
      </c>
      <c r="K1430">
        <v>8.9</v>
      </c>
      <c r="L1430">
        <v>19308469</v>
      </c>
      <c r="M1430">
        <v>1027245</v>
      </c>
      <c r="N1430">
        <v>52</v>
      </c>
      <c r="O1430" t="s">
        <v>123</v>
      </c>
      <c r="P1430" t="s">
        <v>4181</v>
      </c>
    </row>
    <row r="1431" spans="1:16" x14ac:dyDescent="0.35">
      <c r="A1431" t="s">
        <v>1634</v>
      </c>
      <c r="B1431" t="s">
        <v>1633</v>
      </c>
      <c r="C1431" t="s">
        <v>84</v>
      </c>
      <c r="D1431" t="s">
        <v>4178</v>
      </c>
      <c r="E1431" t="s">
        <v>20</v>
      </c>
      <c r="F1431" s="1">
        <v>45133</v>
      </c>
      <c r="G1431">
        <v>2011</v>
      </c>
      <c r="H1431" t="s">
        <v>38</v>
      </c>
      <c r="I1431" t="s">
        <v>4178</v>
      </c>
      <c r="J1431" t="s">
        <v>133</v>
      </c>
      <c r="K1431">
        <v>9.1999999999999993</v>
      </c>
      <c r="L1431">
        <v>3551025</v>
      </c>
      <c r="M1431">
        <v>3851538</v>
      </c>
      <c r="N1431">
        <v>63</v>
      </c>
      <c r="O1431" t="s">
        <v>4178</v>
      </c>
      <c r="P1431" t="s">
        <v>50</v>
      </c>
    </row>
    <row r="1432" spans="1:16" x14ac:dyDescent="0.35">
      <c r="A1432" t="s">
        <v>3793</v>
      </c>
      <c r="B1432" t="s">
        <v>3794</v>
      </c>
      <c r="C1432" t="s">
        <v>53</v>
      </c>
      <c r="D1432" t="s">
        <v>68</v>
      </c>
      <c r="E1432" t="s">
        <v>37</v>
      </c>
      <c r="F1432" s="1">
        <v>45134</v>
      </c>
      <c r="G1432">
        <v>2010</v>
      </c>
      <c r="H1432" t="s">
        <v>85</v>
      </c>
      <c r="I1432" t="s">
        <v>71</v>
      </c>
      <c r="J1432" t="s">
        <v>57</v>
      </c>
      <c r="K1432">
        <v>7</v>
      </c>
      <c r="L1432">
        <v>11527131</v>
      </c>
      <c r="M1432">
        <v>2850335</v>
      </c>
      <c r="N1432">
        <v>53</v>
      </c>
      <c r="O1432" t="s">
        <v>31</v>
      </c>
      <c r="P1432" t="s">
        <v>32</v>
      </c>
    </row>
    <row r="1433" spans="1:16" x14ac:dyDescent="0.35">
      <c r="A1433" t="s">
        <v>1245</v>
      </c>
      <c r="B1433" t="s">
        <v>1246</v>
      </c>
      <c r="C1433" t="s">
        <v>53</v>
      </c>
      <c r="D1433" t="s">
        <v>61</v>
      </c>
      <c r="E1433" t="s">
        <v>80</v>
      </c>
      <c r="F1433" s="1">
        <v>45138</v>
      </c>
      <c r="G1433">
        <v>2014</v>
      </c>
      <c r="H1433" t="s">
        <v>85</v>
      </c>
      <c r="I1433" t="s">
        <v>64</v>
      </c>
      <c r="J1433" t="s">
        <v>133</v>
      </c>
      <c r="K1433">
        <v>9.1</v>
      </c>
      <c r="L1433">
        <v>18953253</v>
      </c>
      <c r="M1433">
        <v>3654939</v>
      </c>
      <c r="N1433">
        <v>48</v>
      </c>
      <c r="O1433" t="s">
        <v>65</v>
      </c>
      <c r="P1433" t="s">
        <v>4178</v>
      </c>
    </row>
    <row r="1434" spans="1:16" x14ac:dyDescent="0.35">
      <c r="A1434" t="s">
        <v>2876</v>
      </c>
      <c r="B1434" t="s">
        <v>2877</v>
      </c>
      <c r="C1434" t="s">
        <v>4178</v>
      </c>
      <c r="D1434" t="s">
        <v>36</v>
      </c>
      <c r="E1434" t="s">
        <v>62</v>
      </c>
      <c r="F1434" s="1">
        <v>45139</v>
      </c>
      <c r="G1434">
        <v>2017</v>
      </c>
      <c r="H1434" t="s">
        <v>38</v>
      </c>
      <c r="I1434" t="s">
        <v>39</v>
      </c>
      <c r="J1434" t="s">
        <v>96</v>
      </c>
      <c r="K1434">
        <v>4.5999999999999996</v>
      </c>
      <c r="L1434">
        <v>8703836</v>
      </c>
      <c r="M1434">
        <v>3265205</v>
      </c>
      <c r="N1434">
        <v>120</v>
      </c>
      <c r="O1434" t="s">
        <v>31</v>
      </c>
      <c r="P1434" t="s">
        <v>4178</v>
      </c>
    </row>
    <row r="1435" spans="1:16" x14ac:dyDescent="0.35">
      <c r="A1435" t="s">
        <v>1956</v>
      </c>
      <c r="B1435" t="s">
        <v>1957</v>
      </c>
      <c r="C1435" t="s">
        <v>84</v>
      </c>
      <c r="D1435" t="s">
        <v>94</v>
      </c>
      <c r="E1435" t="s">
        <v>62</v>
      </c>
      <c r="F1435" s="1">
        <v>45141</v>
      </c>
      <c r="G1435">
        <v>2010</v>
      </c>
      <c r="H1435" t="s">
        <v>63</v>
      </c>
      <c r="I1435" t="s">
        <v>4259</v>
      </c>
      <c r="J1435" t="s">
        <v>72</v>
      </c>
      <c r="K1435">
        <v>4.8</v>
      </c>
      <c r="L1435">
        <v>17588770</v>
      </c>
      <c r="M1435">
        <v>4743713</v>
      </c>
      <c r="N1435">
        <v>76</v>
      </c>
      <c r="O1435" t="s">
        <v>58</v>
      </c>
      <c r="P1435" t="s">
        <v>32</v>
      </c>
    </row>
    <row r="1436" spans="1:16" x14ac:dyDescent="0.35">
      <c r="A1436" t="s">
        <v>3671</v>
      </c>
      <c r="B1436" t="s">
        <v>3672</v>
      </c>
      <c r="C1436" t="s">
        <v>53</v>
      </c>
      <c r="D1436" t="s">
        <v>68</v>
      </c>
      <c r="E1436" t="s">
        <v>113</v>
      </c>
      <c r="F1436" s="1">
        <v>45148</v>
      </c>
      <c r="G1436">
        <v>2019</v>
      </c>
      <c r="H1436" t="s">
        <v>21</v>
      </c>
      <c r="I1436" t="s">
        <v>64</v>
      </c>
      <c r="J1436" t="s">
        <v>57</v>
      </c>
      <c r="K1436">
        <v>6.3</v>
      </c>
      <c r="L1436">
        <v>3149994</v>
      </c>
      <c r="M1436">
        <v>4646707</v>
      </c>
      <c r="N1436">
        <v>51</v>
      </c>
      <c r="O1436" t="s">
        <v>91</v>
      </c>
      <c r="P1436" t="s">
        <v>32</v>
      </c>
    </row>
    <row r="1437" spans="1:16" x14ac:dyDescent="0.35">
      <c r="A1437" t="s">
        <v>2558</v>
      </c>
      <c r="B1437" t="s">
        <v>2559</v>
      </c>
      <c r="C1437" t="s">
        <v>53</v>
      </c>
      <c r="D1437" t="s">
        <v>75</v>
      </c>
      <c r="E1437" t="s">
        <v>99</v>
      </c>
      <c r="F1437" s="1">
        <v>45150</v>
      </c>
      <c r="G1437">
        <v>2004</v>
      </c>
      <c r="H1437" t="s">
        <v>81</v>
      </c>
      <c r="I1437" t="s">
        <v>39</v>
      </c>
      <c r="J1437" t="s">
        <v>153</v>
      </c>
      <c r="K1437">
        <v>8.3000000000000007</v>
      </c>
      <c r="L1437">
        <v>6294321</v>
      </c>
      <c r="M1437">
        <v>58443</v>
      </c>
      <c r="N1437">
        <v>73</v>
      </c>
      <c r="O1437" t="s">
        <v>58</v>
      </c>
      <c r="P1437" t="s">
        <v>87</v>
      </c>
    </row>
    <row r="1438" spans="1:16" x14ac:dyDescent="0.35">
      <c r="A1438" t="s">
        <v>1392</v>
      </c>
      <c r="B1438" t="s">
        <v>1393</v>
      </c>
      <c r="C1438" t="s">
        <v>84</v>
      </c>
      <c r="D1438" t="s">
        <v>4178</v>
      </c>
      <c r="E1438" t="s">
        <v>45</v>
      </c>
      <c r="F1438" s="1">
        <v>45152</v>
      </c>
      <c r="G1438">
        <v>2004</v>
      </c>
      <c r="H1438" t="s">
        <v>4178</v>
      </c>
      <c r="I1438" t="s">
        <v>4301</v>
      </c>
      <c r="J1438" t="s">
        <v>30</v>
      </c>
      <c r="K1438">
        <v>6.5</v>
      </c>
      <c r="L1438">
        <v>21012225</v>
      </c>
      <c r="M1438">
        <v>1826283</v>
      </c>
      <c r="N1438">
        <v>52</v>
      </c>
      <c r="O1438" t="s">
        <v>104</v>
      </c>
      <c r="P1438" t="s">
        <v>50</v>
      </c>
    </row>
    <row r="1439" spans="1:16" x14ac:dyDescent="0.35">
      <c r="A1439" t="s">
        <v>3289</v>
      </c>
      <c r="B1439" t="s">
        <v>3290</v>
      </c>
      <c r="C1439" t="s">
        <v>53</v>
      </c>
      <c r="D1439" t="s">
        <v>27</v>
      </c>
      <c r="E1439" t="s">
        <v>37</v>
      </c>
      <c r="F1439" s="1">
        <v>45152</v>
      </c>
      <c r="G1439">
        <v>2003</v>
      </c>
      <c r="H1439" t="s">
        <v>114</v>
      </c>
      <c r="I1439" t="s">
        <v>136</v>
      </c>
      <c r="J1439" t="s">
        <v>23</v>
      </c>
      <c r="K1439">
        <v>7.6</v>
      </c>
      <c r="L1439">
        <v>10642906</v>
      </c>
      <c r="M1439">
        <v>2610510</v>
      </c>
      <c r="N1439">
        <v>45</v>
      </c>
      <c r="O1439" t="s">
        <v>31</v>
      </c>
      <c r="P1439" t="s">
        <v>4181</v>
      </c>
    </row>
    <row r="1440" spans="1:16" x14ac:dyDescent="0.35">
      <c r="A1440" t="s">
        <v>403</v>
      </c>
      <c r="B1440" t="s">
        <v>404</v>
      </c>
      <c r="C1440" t="s">
        <v>4178</v>
      </c>
      <c r="D1440" t="s">
        <v>4178</v>
      </c>
      <c r="E1440" t="s">
        <v>4196</v>
      </c>
      <c r="F1440" s="1">
        <v>45154</v>
      </c>
      <c r="G1440">
        <v>2016</v>
      </c>
      <c r="H1440" t="s">
        <v>121</v>
      </c>
      <c r="I1440" t="s">
        <v>95</v>
      </c>
      <c r="J1440" t="s">
        <v>30</v>
      </c>
      <c r="K1440">
        <v>9.6</v>
      </c>
      <c r="L1440">
        <v>1154594</v>
      </c>
      <c r="M1440">
        <v>4703892</v>
      </c>
      <c r="N1440">
        <v>46</v>
      </c>
      <c r="O1440" t="s">
        <v>31</v>
      </c>
      <c r="P1440" t="s">
        <v>32</v>
      </c>
    </row>
    <row r="1441" spans="1:16" x14ac:dyDescent="0.35">
      <c r="A1441" t="s">
        <v>807</v>
      </c>
      <c r="B1441" t="s">
        <v>808</v>
      </c>
      <c r="C1441" t="s">
        <v>84</v>
      </c>
      <c r="D1441" t="s">
        <v>156</v>
      </c>
      <c r="E1441" t="s">
        <v>55</v>
      </c>
      <c r="F1441" s="1">
        <v>45154</v>
      </c>
      <c r="G1441">
        <v>2014</v>
      </c>
      <c r="H1441" t="s">
        <v>107</v>
      </c>
      <c r="I1441" t="s">
        <v>4244</v>
      </c>
      <c r="J1441" t="s">
        <v>40</v>
      </c>
      <c r="K1441">
        <v>7.4</v>
      </c>
      <c r="L1441">
        <v>16426850</v>
      </c>
      <c r="M1441">
        <v>1490822</v>
      </c>
      <c r="N1441">
        <v>94</v>
      </c>
      <c r="O1441" t="s">
        <v>41</v>
      </c>
      <c r="P1441" t="s">
        <v>4178</v>
      </c>
    </row>
    <row r="1442" spans="1:16" x14ac:dyDescent="0.35">
      <c r="A1442" t="s">
        <v>1600</v>
      </c>
      <c r="B1442" t="s">
        <v>1601</v>
      </c>
      <c r="C1442" t="s">
        <v>53</v>
      </c>
      <c r="D1442" t="s">
        <v>61</v>
      </c>
      <c r="E1442" t="s">
        <v>4178</v>
      </c>
      <c r="F1442" s="1">
        <v>45154</v>
      </c>
      <c r="G1442">
        <v>2004</v>
      </c>
      <c r="H1442" t="s">
        <v>38</v>
      </c>
      <c r="I1442" t="s">
        <v>56</v>
      </c>
      <c r="J1442" t="s">
        <v>96</v>
      </c>
      <c r="K1442">
        <v>9.1</v>
      </c>
      <c r="L1442">
        <v>23782721</v>
      </c>
      <c r="M1442">
        <v>4564789</v>
      </c>
      <c r="N1442">
        <v>73</v>
      </c>
      <c r="O1442" t="s">
        <v>31</v>
      </c>
      <c r="P1442" t="s">
        <v>4178</v>
      </c>
    </row>
    <row r="1443" spans="1:16" x14ac:dyDescent="0.35">
      <c r="A1443" t="s">
        <v>3125</v>
      </c>
      <c r="B1443" t="s">
        <v>3126</v>
      </c>
      <c r="C1443" t="s">
        <v>53</v>
      </c>
      <c r="D1443" t="s">
        <v>94</v>
      </c>
      <c r="E1443" t="s">
        <v>131</v>
      </c>
      <c r="F1443" s="1">
        <v>45154</v>
      </c>
      <c r="G1443">
        <v>2018</v>
      </c>
      <c r="H1443" t="s">
        <v>114</v>
      </c>
      <c r="I1443" t="s">
        <v>64</v>
      </c>
      <c r="J1443" t="s">
        <v>133</v>
      </c>
      <c r="K1443">
        <v>9.3000000000000007</v>
      </c>
      <c r="L1443">
        <v>1663984</v>
      </c>
      <c r="M1443">
        <v>1126710</v>
      </c>
      <c r="N1443">
        <v>57</v>
      </c>
      <c r="O1443" t="s">
        <v>123</v>
      </c>
      <c r="P1443" t="s">
        <v>32</v>
      </c>
    </row>
    <row r="1444" spans="1:16" x14ac:dyDescent="0.35">
      <c r="A1444" t="s">
        <v>3190</v>
      </c>
      <c r="B1444" t="s">
        <v>3191</v>
      </c>
      <c r="C1444" t="s">
        <v>53</v>
      </c>
      <c r="D1444" t="s">
        <v>75</v>
      </c>
      <c r="E1444" t="s">
        <v>28</v>
      </c>
      <c r="F1444" s="1">
        <v>45157</v>
      </c>
      <c r="G1444">
        <v>2024</v>
      </c>
      <c r="H1444" t="s">
        <v>114</v>
      </c>
      <c r="I1444" t="s">
        <v>39</v>
      </c>
      <c r="J1444" t="s">
        <v>133</v>
      </c>
      <c r="K1444">
        <v>5.0999999999999996</v>
      </c>
      <c r="L1444">
        <v>5295603</v>
      </c>
      <c r="M1444">
        <v>1464509</v>
      </c>
      <c r="N1444">
        <v>67</v>
      </c>
      <c r="O1444" t="s">
        <v>65</v>
      </c>
      <c r="P1444" t="s">
        <v>4181</v>
      </c>
    </row>
    <row r="1445" spans="1:16" x14ac:dyDescent="0.35">
      <c r="A1445" t="s">
        <v>3683</v>
      </c>
      <c r="B1445" t="s">
        <v>3684</v>
      </c>
      <c r="C1445" t="s">
        <v>84</v>
      </c>
      <c r="D1445" t="s">
        <v>19</v>
      </c>
      <c r="E1445" t="s">
        <v>99</v>
      </c>
      <c r="F1445" s="1">
        <v>45157</v>
      </c>
      <c r="G1445">
        <v>2026</v>
      </c>
      <c r="H1445" t="s">
        <v>46</v>
      </c>
      <c r="I1445" t="s">
        <v>4290</v>
      </c>
      <c r="J1445" t="s">
        <v>48</v>
      </c>
      <c r="K1445">
        <v>9.5</v>
      </c>
      <c r="L1445">
        <v>3790365</v>
      </c>
      <c r="M1445">
        <v>1775700</v>
      </c>
      <c r="N1445">
        <v>93</v>
      </c>
      <c r="O1445" t="s">
        <v>24</v>
      </c>
      <c r="P1445" t="s">
        <v>4181</v>
      </c>
    </row>
    <row r="1446" spans="1:16" x14ac:dyDescent="0.35">
      <c r="A1446" t="s">
        <v>650</v>
      </c>
      <c r="B1446" t="s">
        <v>651</v>
      </c>
      <c r="C1446" t="s">
        <v>53</v>
      </c>
      <c r="D1446" t="s">
        <v>94</v>
      </c>
      <c r="E1446" t="s">
        <v>28</v>
      </c>
      <c r="F1446" s="1">
        <v>45159</v>
      </c>
      <c r="G1446">
        <v>2005</v>
      </c>
      <c r="H1446" t="s">
        <v>85</v>
      </c>
      <c r="I1446" t="s">
        <v>162</v>
      </c>
      <c r="J1446" t="s">
        <v>40</v>
      </c>
      <c r="K1446">
        <v>5.2</v>
      </c>
      <c r="L1446">
        <v>21131854</v>
      </c>
      <c r="M1446">
        <v>3100383</v>
      </c>
      <c r="N1446">
        <v>100</v>
      </c>
      <c r="O1446" t="s">
        <v>41</v>
      </c>
      <c r="P1446" t="s">
        <v>32</v>
      </c>
    </row>
    <row r="1447" spans="1:16" x14ac:dyDescent="0.35">
      <c r="A1447" t="s">
        <v>3846</v>
      </c>
      <c r="B1447" t="s">
        <v>3847</v>
      </c>
      <c r="C1447" t="s">
        <v>84</v>
      </c>
      <c r="D1447" t="s">
        <v>4178</v>
      </c>
      <c r="E1447" t="s">
        <v>4178</v>
      </c>
      <c r="F1447" s="1">
        <v>45159</v>
      </c>
      <c r="G1447">
        <v>2004</v>
      </c>
      <c r="H1447" t="s">
        <v>21</v>
      </c>
      <c r="I1447" t="s">
        <v>4200</v>
      </c>
      <c r="J1447" t="s">
        <v>72</v>
      </c>
      <c r="K1447">
        <v>6.2</v>
      </c>
      <c r="L1447">
        <v>2840944</v>
      </c>
      <c r="M1447">
        <v>256764</v>
      </c>
      <c r="N1447">
        <v>120</v>
      </c>
      <c r="O1447" t="s">
        <v>104</v>
      </c>
      <c r="P1447" t="s">
        <v>4178</v>
      </c>
    </row>
    <row r="1448" spans="1:16" x14ac:dyDescent="0.35">
      <c r="A1448" t="s">
        <v>1161</v>
      </c>
      <c r="B1448" t="s">
        <v>1162</v>
      </c>
      <c r="C1448" t="s">
        <v>53</v>
      </c>
      <c r="D1448" t="s">
        <v>156</v>
      </c>
      <c r="E1448" t="s">
        <v>113</v>
      </c>
      <c r="F1448" s="1">
        <v>45162</v>
      </c>
      <c r="G1448">
        <v>2026</v>
      </c>
      <c r="H1448" t="s">
        <v>38</v>
      </c>
      <c r="I1448" t="s">
        <v>118</v>
      </c>
      <c r="J1448" t="s">
        <v>30</v>
      </c>
      <c r="K1448">
        <v>8.1999999999999993</v>
      </c>
      <c r="L1448">
        <v>21232828</v>
      </c>
      <c r="M1448">
        <v>4295022</v>
      </c>
      <c r="N1448">
        <v>62</v>
      </c>
      <c r="O1448" t="s">
        <v>58</v>
      </c>
      <c r="P1448" t="s">
        <v>87</v>
      </c>
    </row>
    <row r="1449" spans="1:16" x14ac:dyDescent="0.35">
      <c r="A1449" t="s">
        <v>3389</v>
      </c>
      <c r="B1449" t="s">
        <v>3390</v>
      </c>
      <c r="C1449" t="s">
        <v>4178</v>
      </c>
      <c r="D1449" t="s">
        <v>4178</v>
      </c>
      <c r="E1449" t="s">
        <v>69</v>
      </c>
      <c r="F1449" s="1">
        <v>45162</v>
      </c>
      <c r="G1449">
        <v>2018</v>
      </c>
      <c r="H1449" t="s">
        <v>114</v>
      </c>
      <c r="I1449" t="s">
        <v>4178</v>
      </c>
      <c r="J1449" t="s">
        <v>23</v>
      </c>
      <c r="K1449">
        <v>6.9</v>
      </c>
      <c r="L1449">
        <v>3114790</v>
      </c>
      <c r="M1449">
        <v>1062240</v>
      </c>
      <c r="N1449">
        <v>47</v>
      </c>
      <c r="O1449" t="s">
        <v>4178</v>
      </c>
      <c r="P1449" t="s">
        <v>87</v>
      </c>
    </row>
    <row r="1450" spans="1:16" x14ac:dyDescent="0.35">
      <c r="A1450" t="s">
        <v>766</v>
      </c>
      <c r="B1450" t="s">
        <v>767</v>
      </c>
      <c r="C1450" t="s">
        <v>53</v>
      </c>
      <c r="D1450" t="s">
        <v>68</v>
      </c>
      <c r="E1450" t="s">
        <v>62</v>
      </c>
      <c r="F1450" s="1">
        <v>45164</v>
      </c>
      <c r="G1450">
        <v>2004</v>
      </c>
      <c r="H1450" t="s">
        <v>107</v>
      </c>
      <c r="I1450" t="s">
        <v>56</v>
      </c>
      <c r="J1450" t="s">
        <v>103</v>
      </c>
      <c r="K1450">
        <v>6</v>
      </c>
      <c r="L1450">
        <v>17722530</v>
      </c>
      <c r="M1450">
        <v>2271989</v>
      </c>
      <c r="N1450">
        <v>43</v>
      </c>
      <c r="O1450" t="s">
        <v>104</v>
      </c>
      <c r="P1450" t="s">
        <v>4181</v>
      </c>
    </row>
    <row r="1451" spans="1:16" x14ac:dyDescent="0.35">
      <c r="A1451" t="s">
        <v>3393</v>
      </c>
      <c r="B1451" t="s">
        <v>3394</v>
      </c>
      <c r="C1451" t="s">
        <v>84</v>
      </c>
      <c r="D1451" t="s">
        <v>27</v>
      </c>
      <c r="E1451" t="s">
        <v>4196</v>
      </c>
      <c r="F1451" s="1">
        <v>45171</v>
      </c>
      <c r="G1451">
        <v>2009</v>
      </c>
      <c r="H1451" t="s">
        <v>114</v>
      </c>
      <c r="I1451" t="s">
        <v>4202</v>
      </c>
      <c r="J1451" t="s">
        <v>23</v>
      </c>
      <c r="K1451">
        <v>7.2</v>
      </c>
      <c r="L1451">
        <v>5302011</v>
      </c>
      <c r="M1451">
        <v>4821482</v>
      </c>
      <c r="N1451">
        <v>40</v>
      </c>
      <c r="O1451" t="s">
        <v>65</v>
      </c>
      <c r="P1451" t="s">
        <v>4181</v>
      </c>
    </row>
    <row r="1452" spans="1:16" x14ac:dyDescent="0.35">
      <c r="A1452" t="s">
        <v>1453</v>
      </c>
      <c r="B1452" t="s">
        <v>4316</v>
      </c>
      <c r="C1452" t="s">
        <v>53</v>
      </c>
      <c r="D1452" t="s">
        <v>36</v>
      </c>
      <c r="E1452" t="s">
        <v>62</v>
      </c>
      <c r="F1452" s="1">
        <v>45172</v>
      </c>
      <c r="G1452">
        <v>2002</v>
      </c>
      <c r="H1452" t="s">
        <v>63</v>
      </c>
      <c r="I1452" t="s">
        <v>162</v>
      </c>
      <c r="J1452" t="s">
        <v>30</v>
      </c>
      <c r="K1452">
        <v>7.3</v>
      </c>
      <c r="L1452">
        <v>717081</v>
      </c>
      <c r="M1452">
        <v>909767</v>
      </c>
      <c r="N1452">
        <v>99</v>
      </c>
      <c r="O1452" t="s">
        <v>24</v>
      </c>
      <c r="P1452" t="s">
        <v>32</v>
      </c>
    </row>
    <row r="1453" spans="1:16" x14ac:dyDescent="0.35">
      <c r="A1453" t="s">
        <v>1689</v>
      </c>
      <c r="B1453" t="s">
        <v>1690</v>
      </c>
      <c r="C1453" t="s">
        <v>4178</v>
      </c>
      <c r="D1453" t="s">
        <v>156</v>
      </c>
      <c r="E1453" t="s">
        <v>45</v>
      </c>
      <c r="F1453" s="1">
        <v>45173</v>
      </c>
      <c r="G1453">
        <v>2019</v>
      </c>
      <c r="H1453" t="s">
        <v>4178</v>
      </c>
      <c r="I1453" t="s">
        <v>95</v>
      </c>
      <c r="J1453" t="s">
        <v>133</v>
      </c>
      <c r="K1453">
        <v>7.2</v>
      </c>
      <c r="L1453">
        <v>423809</v>
      </c>
      <c r="M1453">
        <v>1347012</v>
      </c>
      <c r="N1453">
        <v>99</v>
      </c>
      <c r="O1453" t="s">
        <v>24</v>
      </c>
      <c r="P1453" t="s">
        <v>87</v>
      </c>
    </row>
    <row r="1454" spans="1:16" x14ac:dyDescent="0.35">
      <c r="A1454" t="s">
        <v>3335</v>
      </c>
      <c r="B1454" t="s">
        <v>3336</v>
      </c>
      <c r="C1454" t="s">
        <v>84</v>
      </c>
      <c r="D1454" t="s">
        <v>156</v>
      </c>
      <c r="E1454" t="s">
        <v>55</v>
      </c>
      <c r="F1454" s="1">
        <v>45173</v>
      </c>
      <c r="G1454">
        <v>2016</v>
      </c>
      <c r="H1454" t="s">
        <v>107</v>
      </c>
      <c r="I1454" t="s">
        <v>4301</v>
      </c>
      <c r="J1454" t="s">
        <v>103</v>
      </c>
      <c r="K1454">
        <v>9.4</v>
      </c>
      <c r="L1454">
        <v>8338691</v>
      </c>
      <c r="M1454">
        <v>4343568</v>
      </c>
      <c r="N1454">
        <v>58</v>
      </c>
      <c r="O1454" t="s">
        <v>65</v>
      </c>
      <c r="P1454" t="s">
        <v>50</v>
      </c>
    </row>
    <row r="1455" spans="1:16" x14ac:dyDescent="0.35">
      <c r="A1455" t="s">
        <v>3928</v>
      </c>
      <c r="B1455" t="s">
        <v>3929</v>
      </c>
      <c r="C1455" t="s">
        <v>84</v>
      </c>
      <c r="D1455" t="s">
        <v>36</v>
      </c>
      <c r="E1455" t="s">
        <v>28</v>
      </c>
      <c r="F1455" s="1">
        <v>45173</v>
      </c>
      <c r="G1455">
        <v>2006</v>
      </c>
      <c r="H1455" t="s">
        <v>81</v>
      </c>
      <c r="I1455" t="s">
        <v>4260</v>
      </c>
      <c r="J1455" t="s">
        <v>57</v>
      </c>
      <c r="K1455">
        <v>9.1999999999999993</v>
      </c>
      <c r="L1455">
        <v>24414868</v>
      </c>
      <c r="M1455">
        <v>2728232</v>
      </c>
      <c r="N1455">
        <v>65</v>
      </c>
      <c r="O1455" t="s">
        <v>104</v>
      </c>
      <c r="P1455" t="s">
        <v>4181</v>
      </c>
    </row>
    <row r="1456" spans="1:16" x14ac:dyDescent="0.35">
      <c r="A1456" t="s">
        <v>2993</v>
      </c>
      <c r="B1456" t="s">
        <v>2994</v>
      </c>
      <c r="C1456" t="s">
        <v>84</v>
      </c>
      <c r="D1456" t="s">
        <v>4178</v>
      </c>
      <c r="E1456" t="s">
        <v>4196</v>
      </c>
      <c r="F1456" s="1">
        <v>45174</v>
      </c>
      <c r="G1456">
        <v>2011</v>
      </c>
      <c r="H1456" t="s">
        <v>63</v>
      </c>
      <c r="I1456" t="s">
        <v>4205</v>
      </c>
      <c r="J1456" t="s">
        <v>23</v>
      </c>
      <c r="K1456">
        <v>4.5</v>
      </c>
      <c r="L1456">
        <v>15443892</v>
      </c>
      <c r="M1456">
        <v>1905756</v>
      </c>
      <c r="N1456">
        <v>100</v>
      </c>
      <c r="O1456" t="s">
        <v>104</v>
      </c>
      <c r="P1456" t="s">
        <v>32</v>
      </c>
    </row>
    <row r="1457" spans="1:16" x14ac:dyDescent="0.35">
      <c r="A1457" t="s">
        <v>1607</v>
      </c>
      <c r="B1457" t="s">
        <v>1608</v>
      </c>
      <c r="C1457" t="s">
        <v>53</v>
      </c>
      <c r="D1457" t="s">
        <v>4178</v>
      </c>
      <c r="E1457" t="s">
        <v>28</v>
      </c>
      <c r="F1457" s="1">
        <v>45175</v>
      </c>
      <c r="G1457">
        <v>2010</v>
      </c>
      <c r="H1457" t="s">
        <v>121</v>
      </c>
      <c r="I1457" t="s">
        <v>162</v>
      </c>
      <c r="J1457" t="s">
        <v>30</v>
      </c>
      <c r="K1457">
        <v>6.7</v>
      </c>
      <c r="L1457">
        <v>10759692</v>
      </c>
      <c r="M1457">
        <v>4818568</v>
      </c>
      <c r="N1457">
        <v>47</v>
      </c>
      <c r="O1457" t="s">
        <v>104</v>
      </c>
      <c r="P1457" t="s">
        <v>4178</v>
      </c>
    </row>
    <row r="1458" spans="1:16" x14ac:dyDescent="0.35">
      <c r="A1458" t="s">
        <v>3409</v>
      </c>
      <c r="B1458" t="s">
        <v>3410</v>
      </c>
      <c r="C1458" t="s">
        <v>84</v>
      </c>
      <c r="D1458" t="s">
        <v>54</v>
      </c>
      <c r="E1458" t="s">
        <v>131</v>
      </c>
      <c r="F1458" s="1">
        <v>45176</v>
      </c>
      <c r="G1458">
        <v>2012</v>
      </c>
      <c r="H1458" t="s">
        <v>21</v>
      </c>
      <c r="I1458" t="s">
        <v>4267</v>
      </c>
      <c r="J1458" t="s">
        <v>57</v>
      </c>
      <c r="K1458">
        <v>9.3000000000000007</v>
      </c>
      <c r="L1458">
        <v>13801657</v>
      </c>
      <c r="M1458">
        <v>1450160</v>
      </c>
      <c r="N1458">
        <v>98</v>
      </c>
      <c r="O1458" t="s">
        <v>123</v>
      </c>
      <c r="P1458" t="s">
        <v>87</v>
      </c>
    </row>
    <row r="1459" spans="1:16" x14ac:dyDescent="0.35">
      <c r="A1459" t="s">
        <v>2802</v>
      </c>
      <c r="B1459" t="s">
        <v>2803</v>
      </c>
      <c r="C1459" t="s">
        <v>53</v>
      </c>
      <c r="D1459" t="s">
        <v>94</v>
      </c>
      <c r="E1459" t="s">
        <v>99</v>
      </c>
      <c r="F1459" s="1">
        <v>45177</v>
      </c>
      <c r="G1459">
        <v>2014</v>
      </c>
      <c r="H1459" t="s">
        <v>107</v>
      </c>
      <c r="I1459" t="s">
        <v>95</v>
      </c>
      <c r="J1459" t="s">
        <v>23</v>
      </c>
      <c r="K1459">
        <v>7.8</v>
      </c>
      <c r="L1459">
        <v>8266030</v>
      </c>
      <c r="M1459">
        <v>1632200</v>
      </c>
      <c r="N1459">
        <v>45</v>
      </c>
      <c r="O1459" t="s">
        <v>91</v>
      </c>
      <c r="P1459" t="s">
        <v>87</v>
      </c>
    </row>
    <row r="1460" spans="1:16" x14ac:dyDescent="0.35">
      <c r="A1460" t="s">
        <v>1970</v>
      </c>
      <c r="B1460" t="s">
        <v>1971</v>
      </c>
      <c r="C1460" t="s">
        <v>53</v>
      </c>
      <c r="D1460" t="s">
        <v>90</v>
      </c>
      <c r="E1460" t="s">
        <v>99</v>
      </c>
      <c r="F1460" s="1">
        <v>45180</v>
      </c>
      <c r="G1460">
        <v>2007</v>
      </c>
      <c r="H1460" t="s">
        <v>107</v>
      </c>
      <c r="I1460" t="s">
        <v>95</v>
      </c>
      <c r="J1460" t="s">
        <v>40</v>
      </c>
      <c r="K1460">
        <v>9.6999999999999993</v>
      </c>
      <c r="L1460">
        <v>16204775</v>
      </c>
      <c r="M1460">
        <v>2995699</v>
      </c>
      <c r="N1460">
        <v>82</v>
      </c>
      <c r="O1460" t="s">
        <v>104</v>
      </c>
      <c r="P1460" t="s">
        <v>50</v>
      </c>
    </row>
    <row r="1461" spans="1:16" x14ac:dyDescent="0.35">
      <c r="A1461" t="s">
        <v>2233</v>
      </c>
      <c r="B1461" t="s">
        <v>2234</v>
      </c>
      <c r="C1461" t="s">
        <v>53</v>
      </c>
      <c r="D1461" t="s">
        <v>19</v>
      </c>
      <c r="E1461" t="s">
        <v>4196</v>
      </c>
      <c r="F1461" s="1">
        <v>45180</v>
      </c>
      <c r="G1461">
        <v>2018</v>
      </c>
      <c r="H1461" t="s">
        <v>81</v>
      </c>
      <c r="I1461" t="s">
        <v>162</v>
      </c>
      <c r="J1461" t="s">
        <v>103</v>
      </c>
      <c r="K1461">
        <v>7.5</v>
      </c>
      <c r="L1461">
        <v>9027701</v>
      </c>
      <c r="M1461">
        <v>58418</v>
      </c>
      <c r="N1461">
        <v>41</v>
      </c>
      <c r="O1461" t="s">
        <v>58</v>
      </c>
      <c r="P1461" t="s">
        <v>4178</v>
      </c>
    </row>
    <row r="1462" spans="1:16" x14ac:dyDescent="0.35">
      <c r="A1462" t="s">
        <v>1700</v>
      </c>
      <c r="B1462" t="s">
        <v>1701</v>
      </c>
      <c r="C1462" t="s">
        <v>53</v>
      </c>
      <c r="D1462" t="s">
        <v>94</v>
      </c>
      <c r="E1462" t="s">
        <v>4196</v>
      </c>
      <c r="F1462" s="1">
        <v>45181</v>
      </c>
      <c r="G1462">
        <v>2010</v>
      </c>
      <c r="H1462" t="s">
        <v>38</v>
      </c>
      <c r="I1462" t="s">
        <v>136</v>
      </c>
      <c r="J1462" t="s">
        <v>103</v>
      </c>
      <c r="K1462">
        <v>4.5999999999999996</v>
      </c>
      <c r="L1462">
        <v>7777488</v>
      </c>
      <c r="M1462">
        <v>434547</v>
      </c>
      <c r="N1462">
        <v>61</v>
      </c>
      <c r="O1462" t="s">
        <v>4178</v>
      </c>
      <c r="P1462" t="s">
        <v>32</v>
      </c>
    </row>
    <row r="1463" spans="1:16" x14ac:dyDescent="0.35">
      <c r="A1463" t="s">
        <v>2264</v>
      </c>
      <c r="B1463" t="s">
        <v>2265</v>
      </c>
      <c r="C1463" t="s">
        <v>53</v>
      </c>
      <c r="D1463" t="s">
        <v>90</v>
      </c>
      <c r="E1463" t="s">
        <v>69</v>
      </c>
      <c r="F1463" s="1">
        <v>45182</v>
      </c>
      <c r="G1463">
        <v>2019</v>
      </c>
      <c r="H1463" t="s">
        <v>107</v>
      </c>
      <c r="I1463" t="s">
        <v>95</v>
      </c>
      <c r="J1463" t="s">
        <v>133</v>
      </c>
      <c r="K1463">
        <v>8.3000000000000007</v>
      </c>
      <c r="L1463">
        <v>11704834</v>
      </c>
      <c r="M1463">
        <v>706813</v>
      </c>
      <c r="N1463">
        <v>75</v>
      </c>
      <c r="O1463" t="s">
        <v>65</v>
      </c>
      <c r="P1463" t="s">
        <v>50</v>
      </c>
    </row>
    <row r="1464" spans="1:16" x14ac:dyDescent="0.35">
      <c r="A1464" t="s">
        <v>3798</v>
      </c>
      <c r="B1464" t="s">
        <v>3799</v>
      </c>
      <c r="C1464" t="s">
        <v>53</v>
      </c>
      <c r="D1464" t="s">
        <v>94</v>
      </c>
      <c r="E1464" t="s">
        <v>80</v>
      </c>
      <c r="F1464" s="1">
        <v>45185</v>
      </c>
      <c r="G1464">
        <v>2010</v>
      </c>
      <c r="H1464" t="s">
        <v>46</v>
      </c>
      <c r="I1464" t="s">
        <v>118</v>
      </c>
      <c r="J1464" t="s">
        <v>103</v>
      </c>
      <c r="K1464">
        <v>7.7</v>
      </c>
      <c r="L1464">
        <v>5863335</v>
      </c>
      <c r="M1464">
        <v>105445</v>
      </c>
      <c r="N1464">
        <v>50</v>
      </c>
      <c r="O1464" t="s">
        <v>104</v>
      </c>
      <c r="P1464" t="s">
        <v>4178</v>
      </c>
    </row>
    <row r="1465" spans="1:16" x14ac:dyDescent="0.35">
      <c r="A1465" t="s">
        <v>4027</v>
      </c>
      <c r="B1465" t="s">
        <v>4028</v>
      </c>
      <c r="C1465" t="s">
        <v>84</v>
      </c>
      <c r="D1465" t="s">
        <v>4178</v>
      </c>
      <c r="E1465" t="s">
        <v>113</v>
      </c>
      <c r="F1465" s="1">
        <v>45185</v>
      </c>
      <c r="G1465">
        <v>2006</v>
      </c>
      <c r="H1465" t="s">
        <v>21</v>
      </c>
      <c r="I1465" t="s">
        <v>4216</v>
      </c>
      <c r="J1465" t="s">
        <v>30</v>
      </c>
      <c r="K1465">
        <v>7.4</v>
      </c>
      <c r="L1465">
        <v>1483524</v>
      </c>
      <c r="M1465">
        <v>3888241</v>
      </c>
      <c r="N1465">
        <v>57</v>
      </c>
      <c r="O1465" t="s">
        <v>24</v>
      </c>
      <c r="P1465" t="s">
        <v>32</v>
      </c>
    </row>
    <row r="1466" spans="1:16" x14ac:dyDescent="0.35">
      <c r="A1466" t="s">
        <v>3198</v>
      </c>
      <c r="B1466" t="s">
        <v>3199</v>
      </c>
      <c r="C1466" t="s">
        <v>53</v>
      </c>
      <c r="D1466" t="s">
        <v>94</v>
      </c>
      <c r="E1466" t="s">
        <v>4178</v>
      </c>
      <c r="F1466" s="1">
        <v>45189</v>
      </c>
      <c r="G1466">
        <v>2023</v>
      </c>
      <c r="H1466" t="s">
        <v>81</v>
      </c>
      <c r="I1466" t="s">
        <v>39</v>
      </c>
      <c r="J1466" t="s">
        <v>103</v>
      </c>
      <c r="K1466">
        <v>8.6</v>
      </c>
      <c r="L1466">
        <v>12200201</v>
      </c>
      <c r="M1466">
        <v>2145106</v>
      </c>
      <c r="N1466">
        <v>56</v>
      </c>
      <c r="O1466" t="s">
        <v>58</v>
      </c>
      <c r="P1466" t="s">
        <v>4181</v>
      </c>
    </row>
    <row r="1467" spans="1:16" x14ac:dyDescent="0.35">
      <c r="A1467" t="s">
        <v>4125</v>
      </c>
      <c r="B1467" t="s">
        <v>4126</v>
      </c>
      <c r="C1467" t="s">
        <v>53</v>
      </c>
      <c r="D1467" t="s">
        <v>4178</v>
      </c>
      <c r="E1467" t="s">
        <v>80</v>
      </c>
      <c r="F1467" s="1">
        <v>45195</v>
      </c>
      <c r="G1467">
        <v>2020</v>
      </c>
      <c r="H1467" t="s">
        <v>114</v>
      </c>
      <c r="I1467" t="s">
        <v>95</v>
      </c>
      <c r="J1467" t="s">
        <v>30</v>
      </c>
      <c r="K1467">
        <v>7.8</v>
      </c>
      <c r="L1467">
        <v>13718888</v>
      </c>
      <c r="M1467">
        <v>1848817</v>
      </c>
      <c r="N1467">
        <v>51</v>
      </c>
      <c r="O1467" t="s">
        <v>49</v>
      </c>
      <c r="P1467" t="s">
        <v>50</v>
      </c>
    </row>
    <row r="1468" spans="1:16" x14ac:dyDescent="0.35">
      <c r="A1468" t="s">
        <v>3202</v>
      </c>
      <c r="B1468" t="s">
        <v>3203</v>
      </c>
      <c r="C1468" t="s">
        <v>84</v>
      </c>
      <c r="D1468" t="s">
        <v>156</v>
      </c>
      <c r="E1468" t="s">
        <v>69</v>
      </c>
      <c r="F1468" s="1">
        <v>45197</v>
      </c>
      <c r="G1468">
        <v>2021</v>
      </c>
      <c r="H1468" t="s">
        <v>4178</v>
      </c>
      <c r="I1468" t="s">
        <v>4297</v>
      </c>
      <c r="J1468" t="s">
        <v>23</v>
      </c>
      <c r="K1468">
        <v>8.3000000000000007</v>
      </c>
      <c r="L1468">
        <v>20141763</v>
      </c>
      <c r="M1468">
        <v>23350</v>
      </c>
      <c r="N1468">
        <v>120</v>
      </c>
      <c r="O1468" t="s">
        <v>104</v>
      </c>
      <c r="P1468" t="s">
        <v>87</v>
      </c>
    </row>
    <row r="1469" spans="1:16" x14ac:dyDescent="0.35">
      <c r="A1469" t="s">
        <v>3984</v>
      </c>
      <c r="B1469" t="s">
        <v>3985</v>
      </c>
      <c r="C1469" t="s">
        <v>84</v>
      </c>
      <c r="D1469" t="s">
        <v>61</v>
      </c>
      <c r="E1469" t="s">
        <v>45</v>
      </c>
      <c r="F1469" s="1">
        <v>45197</v>
      </c>
      <c r="G1469">
        <v>2004</v>
      </c>
      <c r="H1469" t="s">
        <v>21</v>
      </c>
      <c r="I1469" t="s">
        <v>4311</v>
      </c>
      <c r="J1469" t="s">
        <v>40</v>
      </c>
      <c r="K1469">
        <v>4.5</v>
      </c>
      <c r="L1469">
        <v>20340081</v>
      </c>
      <c r="M1469">
        <v>1617028</v>
      </c>
      <c r="N1469">
        <v>70</v>
      </c>
      <c r="O1469" t="s">
        <v>123</v>
      </c>
      <c r="P1469" t="s">
        <v>32</v>
      </c>
    </row>
    <row r="1470" spans="1:16" x14ac:dyDescent="0.35">
      <c r="A1470" t="s">
        <v>3162</v>
      </c>
      <c r="B1470" t="s">
        <v>3163</v>
      </c>
      <c r="C1470" t="s">
        <v>84</v>
      </c>
      <c r="D1470" t="s">
        <v>68</v>
      </c>
      <c r="E1470" t="s">
        <v>99</v>
      </c>
      <c r="F1470" s="1">
        <v>45201</v>
      </c>
      <c r="G1470">
        <v>2023</v>
      </c>
      <c r="H1470" t="s">
        <v>114</v>
      </c>
      <c r="I1470" t="s">
        <v>4228</v>
      </c>
      <c r="J1470" t="s">
        <v>4178</v>
      </c>
      <c r="K1470">
        <v>9.5</v>
      </c>
      <c r="L1470">
        <v>14073255</v>
      </c>
      <c r="M1470">
        <v>1894840</v>
      </c>
      <c r="N1470">
        <v>58</v>
      </c>
      <c r="O1470" t="s">
        <v>41</v>
      </c>
      <c r="P1470" t="s">
        <v>4181</v>
      </c>
    </row>
    <row r="1471" spans="1:16" x14ac:dyDescent="0.35">
      <c r="A1471" t="s">
        <v>1917</v>
      </c>
      <c r="B1471" t="s">
        <v>1916</v>
      </c>
      <c r="C1471" t="s">
        <v>53</v>
      </c>
      <c r="D1471" t="s">
        <v>36</v>
      </c>
      <c r="E1471" t="s">
        <v>80</v>
      </c>
      <c r="F1471" s="1">
        <v>45202</v>
      </c>
      <c r="G1471">
        <v>2002</v>
      </c>
      <c r="H1471" t="s">
        <v>121</v>
      </c>
      <c r="I1471" t="s">
        <v>56</v>
      </c>
      <c r="J1471" t="s">
        <v>72</v>
      </c>
      <c r="K1471">
        <v>5.0999999999999996</v>
      </c>
      <c r="L1471">
        <v>23042660</v>
      </c>
      <c r="M1471">
        <v>3733488</v>
      </c>
      <c r="N1471">
        <v>53</v>
      </c>
      <c r="O1471" t="s">
        <v>123</v>
      </c>
      <c r="P1471" t="s">
        <v>4178</v>
      </c>
    </row>
    <row r="1472" spans="1:16" x14ac:dyDescent="0.35">
      <c r="A1472" t="s">
        <v>632</v>
      </c>
      <c r="B1472" t="s">
        <v>633</v>
      </c>
      <c r="C1472" t="s">
        <v>53</v>
      </c>
      <c r="D1472" t="s">
        <v>75</v>
      </c>
      <c r="E1472" t="s">
        <v>4178</v>
      </c>
      <c r="F1472" s="1">
        <v>45207</v>
      </c>
      <c r="G1472">
        <v>2014</v>
      </c>
      <c r="H1472" t="s">
        <v>81</v>
      </c>
      <c r="I1472" t="s">
        <v>39</v>
      </c>
      <c r="J1472" t="s">
        <v>72</v>
      </c>
      <c r="K1472">
        <v>8.1999999999999993</v>
      </c>
      <c r="L1472">
        <v>6046406</v>
      </c>
      <c r="M1472">
        <v>1278102</v>
      </c>
      <c r="N1472">
        <v>80</v>
      </c>
      <c r="O1472" t="s">
        <v>24</v>
      </c>
      <c r="P1472" t="s">
        <v>32</v>
      </c>
    </row>
    <row r="1473" spans="1:16" x14ac:dyDescent="0.35">
      <c r="A1473" t="s">
        <v>2149</v>
      </c>
      <c r="B1473" t="s">
        <v>2150</v>
      </c>
      <c r="C1473" t="s">
        <v>84</v>
      </c>
      <c r="D1473" t="s">
        <v>4178</v>
      </c>
      <c r="E1473" t="s">
        <v>113</v>
      </c>
      <c r="F1473" s="1">
        <v>45208</v>
      </c>
      <c r="G1473">
        <v>2002</v>
      </c>
      <c r="H1473" t="s">
        <v>38</v>
      </c>
      <c r="I1473" t="s">
        <v>4336</v>
      </c>
      <c r="J1473" t="s">
        <v>72</v>
      </c>
      <c r="K1473">
        <v>4.8</v>
      </c>
      <c r="L1473">
        <v>2599929</v>
      </c>
      <c r="M1473">
        <v>3440288</v>
      </c>
      <c r="N1473">
        <v>86</v>
      </c>
      <c r="O1473" t="s">
        <v>58</v>
      </c>
      <c r="P1473" t="s">
        <v>4181</v>
      </c>
    </row>
    <row r="1474" spans="1:16" x14ac:dyDescent="0.35">
      <c r="A1474" t="s">
        <v>3723</v>
      </c>
      <c r="B1474" t="s">
        <v>3724</v>
      </c>
      <c r="C1474" t="s">
        <v>84</v>
      </c>
      <c r="D1474" t="s">
        <v>4178</v>
      </c>
      <c r="E1474" t="s">
        <v>62</v>
      </c>
      <c r="F1474" s="1">
        <v>45214</v>
      </c>
      <c r="G1474">
        <v>2013</v>
      </c>
      <c r="H1474" t="s">
        <v>121</v>
      </c>
      <c r="I1474" t="s">
        <v>4260</v>
      </c>
      <c r="J1474" t="s">
        <v>40</v>
      </c>
      <c r="K1474">
        <v>7.3</v>
      </c>
      <c r="L1474">
        <v>8176445</v>
      </c>
      <c r="M1474">
        <v>3063851</v>
      </c>
      <c r="N1474">
        <v>61</v>
      </c>
      <c r="O1474" t="s">
        <v>65</v>
      </c>
      <c r="P1474" t="s">
        <v>50</v>
      </c>
    </row>
    <row r="1475" spans="1:16" x14ac:dyDescent="0.35">
      <c r="A1475" t="s">
        <v>977</v>
      </c>
      <c r="B1475" t="s">
        <v>978</v>
      </c>
      <c r="C1475" t="s">
        <v>53</v>
      </c>
      <c r="D1475" t="s">
        <v>36</v>
      </c>
      <c r="E1475" t="s">
        <v>4178</v>
      </c>
      <c r="F1475" s="1">
        <v>45215</v>
      </c>
      <c r="G1475">
        <v>2032</v>
      </c>
      <c r="H1475" t="s">
        <v>21</v>
      </c>
      <c r="I1475" t="s">
        <v>136</v>
      </c>
      <c r="J1475" t="s">
        <v>57</v>
      </c>
      <c r="K1475">
        <v>7</v>
      </c>
      <c r="L1475">
        <v>16563364</v>
      </c>
      <c r="M1475">
        <v>100549</v>
      </c>
      <c r="N1475">
        <v>62</v>
      </c>
      <c r="O1475" t="s">
        <v>123</v>
      </c>
      <c r="P1475" t="s">
        <v>4178</v>
      </c>
    </row>
    <row r="1476" spans="1:16" x14ac:dyDescent="0.35">
      <c r="A1476" t="s">
        <v>3532</v>
      </c>
      <c r="B1476" t="s">
        <v>3533</v>
      </c>
      <c r="C1476" t="s">
        <v>53</v>
      </c>
      <c r="D1476" t="s">
        <v>27</v>
      </c>
      <c r="E1476" t="s">
        <v>4196</v>
      </c>
      <c r="F1476" s="1">
        <v>45226</v>
      </c>
      <c r="G1476">
        <v>2003</v>
      </c>
      <c r="H1476" t="s">
        <v>81</v>
      </c>
      <c r="I1476" t="s">
        <v>136</v>
      </c>
      <c r="J1476" t="s">
        <v>4178</v>
      </c>
      <c r="K1476">
        <v>5.4</v>
      </c>
      <c r="L1476">
        <v>17108074</v>
      </c>
      <c r="M1476">
        <v>3323400</v>
      </c>
      <c r="N1476">
        <v>74</v>
      </c>
      <c r="O1476" t="s">
        <v>49</v>
      </c>
      <c r="P1476" t="s">
        <v>50</v>
      </c>
    </row>
    <row r="1477" spans="1:16" x14ac:dyDescent="0.35">
      <c r="A1477" t="s">
        <v>3836</v>
      </c>
      <c r="B1477" t="s">
        <v>3837</v>
      </c>
      <c r="C1477" t="s">
        <v>53</v>
      </c>
      <c r="D1477" t="s">
        <v>61</v>
      </c>
      <c r="E1477" t="s">
        <v>131</v>
      </c>
      <c r="F1477" s="1">
        <v>45226</v>
      </c>
      <c r="G1477">
        <v>2006</v>
      </c>
      <c r="H1477" t="s">
        <v>46</v>
      </c>
      <c r="I1477" t="s">
        <v>71</v>
      </c>
      <c r="J1477" t="s">
        <v>72</v>
      </c>
      <c r="K1477">
        <v>7.3</v>
      </c>
      <c r="L1477">
        <v>15422460</v>
      </c>
      <c r="M1477">
        <v>4055893</v>
      </c>
      <c r="N1477">
        <v>42</v>
      </c>
      <c r="O1477" t="s">
        <v>65</v>
      </c>
      <c r="P1477" t="s">
        <v>50</v>
      </c>
    </row>
    <row r="1478" spans="1:16" x14ac:dyDescent="0.35">
      <c r="A1478" t="s">
        <v>1862</v>
      </c>
      <c r="B1478" t="s">
        <v>1863</v>
      </c>
      <c r="C1478" t="s">
        <v>84</v>
      </c>
      <c r="D1478" t="s">
        <v>4178</v>
      </c>
      <c r="E1478" t="s">
        <v>4178</v>
      </c>
      <c r="F1478" s="1">
        <v>45228</v>
      </c>
      <c r="G1478">
        <v>2011</v>
      </c>
      <c r="H1478" t="s">
        <v>107</v>
      </c>
      <c r="I1478" t="s">
        <v>4200</v>
      </c>
      <c r="J1478" t="s">
        <v>72</v>
      </c>
      <c r="K1478">
        <v>6.6</v>
      </c>
      <c r="L1478">
        <v>20906972</v>
      </c>
      <c r="M1478">
        <v>2943672</v>
      </c>
      <c r="N1478">
        <v>90</v>
      </c>
      <c r="O1478" t="s">
        <v>123</v>
      </c>
      <c r="P1478" t="s">
        <v>50</v>
      </c>
    </row>
    <row r="1479" spans="1:16" x14ac:dyDescent="0.35">
      <c r="A1479" t="s">
        <v>1523</v>
      </c>
      <c r="B1479" t="s">
        <v>1522</v>
      </c>
      <c r="C1479" t="s">
        <v>84</v>
      </c>
      <c r="D1479" t="s">
        <v>19</v>
      </c>
      <c r="E1479" t="s">
        <v>55</v>
      </c>
      <c r="F1479" s="1">
        <v>45231</v>
      </c>
      <c r="G1479">
        <v>2005</v>
      </c>
      <c r="H1479" t="s">
        <v>81</v>
      </c>
      <c r="I1479" t="s">
        <v>4209</v>
      </c>
      <c r="J1479" t="s">
        <v>96</v>
      </c>
      <c r="K1479">
        <v>8.1999999999999993</v>
      </c>
      <c r="L1479">
        <v>12855298</v>
      </c>
      <c r="M1479">
        <v>4586817</v>
      </c>
      <c r="N1479">
        <v>47</v>
      </c>
      <c r="O1479" t="s">
        <v>41</v>
      </c>
      <c r="P1479" t="s">
        <v>4178</v>
      </c>
    </row>
    <row r="1480" spans="1:16" x14ac:dyDescent="0.35">
      <c r="A1480" t="s">
        <v>2095</v>
      </c>
      <c r="B1480" t="s">
        <v>2096</v>
      </c>
      <c r="C1480" t="s">
        <v>84</v>
      </c>
      <c r="D1480" t="s">
        <v>68</v>
      </c>
      <c r="E1480" t="s">
        <v>45</v>
      </c>
      <c r="F1480" s="1">
        <v>45234</v>
      </c>
      <c r="G1480">
        <v>2026</v>
      </c>
      <c r="H1480" t="s">
        <v>81</v>
      </c>
      <c r="I1480" t="s">
        <v>4227</v>
      </c>
      <c r="J1480" t="s">
        <v>133</v>
      </c>
      <c r="K1480">
        <v>11.2</v>
      </c>
      <c r="L1480">
        <v>11049280</v>
      </c>
      <c r="M1480">
        <v>1265544</v>
      </c>
      <c r="N1480">
        <v>91</v>
      </c>
      <c r="O1480" t="s">
        <v>49</v>
      </c>
      <c r="P1480" t="s">
        <v>4181</v>
      </c>
    </row>
    <row r="1481" spans="1:16" x14ac:dyDescent="0.35">
      <c r="A1481" t="s">
        <v>3506</v>
      </c>
      <c r="B1481" t="s">
        <v>3507</v>
      </c>
      <c r="C1481" t="s">
        <v>4178</v>
      </c>
      <c r="D1481" t="s">
        <v>27</v>
      </c>
      <c r="E1481" t="s">
        <v>99</v>
      </c>
      <c r="F1481" s="1">
        <v>45234</v>
      </c>
      <c r="G1481">
        <v>2020</v>
      </c>
      <c r="H1481" t="s">
        <v>63</v>
      </c>
      <c r="I1481" t="s">
        <v>71</v>
      </c>
      <c r="J1481" t="s">
        <v>30</v>
      </c>
      <c r="K1481">
        <v>9.4</v>
      </c>
      <c r="L1481">
        <v>7390604</v>
      </c>
      <c r="M1481">
        <v>5007</v>
      </c>
      <c r="N1481">
        <v>69</v>
      </c>
      <c r="O1481" t="s">
        <v>91</v>
      </c>
      <c r="P1481" t="s">
        <v>87</v>
      </c>
    </row>
    <row r="1482" spans="1:16" x14ac:dyDescent="0.35">
      <c r="A1482" t="s">
        <v>1098</v>
      </c>
      <c r="B1482" t="s">
        <v>1099</v>
      </c>
      <c r="C1482" t="s">
        <v>4178</v>
      </c>
      <c r="D1482" t="s">
        <v>4178</v>
      </c>
      <c r="E1482" t="s">
        <v>62</v>
      </c>
      <c r="F1482" s="1">
        <v>45235</v>
      </c>
      <c r="G1482">
        <v>2024</v>
      </c>
      <c r="H1482" t="s">
        <v>121</v>
      </c>
      <c r="I1482" t="s">
        <v>162</v>
      </c>
      <c r="J1482" t="s">
        <v>30</v>
      </c>
      <c r="K1482">
        <v>8.1999999999999993</v>
      </c>
      <c r="L1482">
        <v>24218004</v>
      </c>
      <c r="M1482">
        <v>4186015</v>
      </c>
      <c r="N1482">
        <v>56</v>
      </c>
      <c r="O1482" t="s">
        <v>49</v>
      </c>
      <c r="P1482" t="s">
        <v>50</v>
      </c>
    </row>
    <row r="1483" spans="1:16" x14ac:dyDescent="0.35">
      <c r="A1483" t="s">
        <v>457</v>
      </c>
      <c r="B1483" t="s">
        <v>458</v>
      </c>
      <c r="C1483" t="s">
        <v>84</v>
      </c>
      <c r="D1483" t="s">
        <v>36</v>
      </c>
      <c r="E1483" t="s">
        <v>4196</v>
      </c>
      <c r="F1483" s="1">
        <v>45239</v>
      </c>
      <c r="G1483">
        <v>2013</v>
      </c>
      <c r="H1483" t="s">
        <v>4178</v>
      </c>
      <c r="I1483" t="s">
        <v>4204</v>
      </c>
      <c r="J1483" t="s">
        <v>48</v>
      </c>
      <c r="K1483">
        <v>6.5</v>
      </c>
      <c r="L1483">
        <v>18115894</v>
      </c>
      <c r="M1483">
        <v>2157583</v>
      </c>
      <c r="N1483">
        <v>48</v>
      </c>
      <c r="O1483" t="s">
        <v>24</v>
      </c>
      <c r="P1483" t="s">
        <v>4181</v>
      </c>
    </row>
    <row r="1484" spans="1:16" x14ac:dyDescent="0.35">
      <c r="A1484" t="s">
        <v>879</v>
      </c>
      <c r="B1484" t="s">
        <v>4282</v>
      </c>
      <c r="C1484" t="s">
        <v>84</v>
      </c>
      <c r="D1484" t="s">
        <v>4178</v>
      </c>
      <c r="E1484" t="s">
        <v>99</v>
      </c>
      <c r="F1484" s="1">
        <v>45246</v>
      </c>
      <c r="G1484">
        <v>2003</v>
      </c>
      <c r="H1484" t="s">
        <v>4178</v>
      </c>
      <c r="I1484" t="s">
        <v>4242</v>
      </c>
      <c r="J1484" t="s">
        <v>72</v>
      </c>
      <c r="K1484">
        <v>7.3</v>
      </c>
      <c r="L1484">
        <v>19066767</v>
      </c>
      <c r="M1484">
        <v>4874797</v>
      </c>
      <c r="N1484">
        <v>73</v>
      </c>
      <c r="O1484" t="s">
        <v>24</v>
      </c>
      <c r="P1484" t="s">
        <v>87</v>
      </c>
    </row>
    <row r="1485" spans="1:16" x14ac:dyDescent="0.35">
      <c r="A1485" t="s">
        <v>2386</v>
      </c>
      <c r="B1485" t="s">
        <v>2387</v>
      </c>
      <c r="C1485" t="s">
        <v>84</v>
      </c>
      <c r="D1485" t="s">
        <v>94</v>
      </c>
      <c r="E1485" t="s">
        <v>62</v>
      </c>
      <c r="F1485" s="1">
        <v>45246</v>
      </c>
      <c r="G1485">
        <v>2032</v>
      </c>
      <c r="H1485" t="s">
        <v>85</v>
      </c>
      <c r="I1485" t="s">
        <v>4231</v>
      </c>
      <c r="J1485" t="s">
        <v>40</v>
      </c>
      <c r="K1485">
        <v>6.3</v>
      </c>
      <c r="L1485">
        <v>17762290</v>
      </c>
      <c r="M1485">
        <v>2868106</v>
      </c>
      <c r="N1485">
        <v>95</v>
      </c>
      <c r="O1485" t="s">
        <v>24</v>
      </c>
      <c r="P1485" t="s">
        <v>32</v>
      </c>
    </row>
    <row r="1486" spans="1:16" x14ac:dyDescent="0.35">
      <c r="A1486" t="s">
        <v>3413</v>
      </c>
      <c r="B1486" t="s">
        <v>3414</v>
      </c>
      <c r="C1486" t="s">
        <v>53</v>
      </c>
      <c r="D1486" t="s">
        <v>4178</v>
      </c>
      <c r="E1486" t="s">
        <v>62</v>
      </c>
      <c r="F1486" s="1">
        <v>45246</v>
      </c>
      <c r="G1486">
        <v>2020</v>
      </c>
      <c r="H1486" t="s">
        <v>114</v>
      </c>
      <c r="I1486" t="s">
        <v>136</v>
      </c>
      <c r="J1486" t="s">
        <v>153</v>
      </c>
      <c r="K1486">
        <v>9.6999999999999993</v>
      </c>
      <c r="L1486">
        <v>18934870</v>
      </c>
      <c r="M1486">
        <v>2329452</v>
      </c>
      <c r="N1486">
        <v>64</v>
      </c>
      <c r="O1486" t="s">
        <v>123</v>
      </c>
      <c r="P1486" t="s">
        <v>87</v>
      </c>
    </row>
    <row r="1487" spans="1:16" x14ac:dyDescent="0.35">
      <c r="A1487" t="s">
        <v>1571</v>
      </c>
      <c r="B1487" t="s">
        <v>1572</v>
      </c>
      <c r="C1487" t="s">
        <v>84</v>
      </c>
      <c r="D1487" t="s">
        <v>4178</v>
      </c>
      <c r="E1487" t="s">
        <v>99</v>
      </c>
      <c r="F1487" s="1">
        <v>45247</v>
      </c>
      <c r="G1487">
        <v>2025</v>
      </c>
      <c r="H1487" t="s">
        <v>21</v>
      </c>
      <c r="I1487" t="s">
        <v>4225</v>
      </c>
      <c r="J1487" t="s">
        <v>72</v>
      </c>
      <c r="K1487">
        <v>9.5</v>
      </c>
      <c r="L1487">
        <v>62163</v>
      </c>
      <c r="M1487">
        <v>1376501</v>
      </c>
      <c r="N1487">
        <v>76</v>
      </c>
      <c r="O1487" t="s">
        <v>41</v>
      </c>
      <c r="P1487" t="s">
        <v>87</v>
      </c>
    </row>
    <row r="1488" spans="1:16" x14ac:dyDescent="0.35">
      <c r="A1488" t="s">
        <v>1188</v>
      </c>
      <c r="B1488" t="s">
        <v>1189</v>
      </c>
      <c r="C1488" t="s">
        <v>4178</v>
      </c>
      <c r="D1488" t="s">
        <v>75</v>
      </c>
      <c r="E1488" t="s">
        <v>80</v>
      </c>
      <c r="F1488" s="1">
        <v>45249</v>
      </c>
      <c r="G1488">
        <v>2007</v>
      </c>
      <c r="H1488" t="s">
        <v>4178</v>
      </c>
      <c r="I1488" t="s">
        <v>56</v>
      </c>
      <c r="J1488" t="s">
        <v>133</v>
      </c>
      <c r="K1488">
        <v>7.6</v>
      </c>
      <c r="L1488">
        <v>15618814</v>
      </c>
      <c r="M1488">
        <v>4870095</v>
      </c>
      <c r="N1488">
        <v>83</v>
      </c>
      <c r="O1488" t="s">
        <v>4178</v>
      </c>
      <c r="P1488" t="s">
        <v>87</v>
      </c>
    </row>
    <row r="1489" spans="1:16" x14ac:dyDescent="0.35">
      <c r="A1489" t="s">
        <v>1315</v>
      </c>
      <c r="B1489" t="s">
        <v>1316</v>
      </c>
      <c r="C1489" t="s">
        <v>84</v>
      </c>
      <c r="D1489" t="s">
        <v>68</v>
      </c>
      <c r="E1489" t="s">
        <v>62</v>
      </c>
      <c r="F1489" s="1">
        <v>45252</v>
      </c>
      <c r="G1489">
        <v>2012</v>
      </c>
      <c r="H1489" t="s">
        <v>21</v>
      </c>
      <c r="I1489" t="s">
        <v>4213</v>
      </c>
      <c r="J1489" t="s">
        <v>96</v>
      </c>
      <c r="K1489">
        <v>11.2</v>
      </c>
      <c r="L1489">
        <v>17823847</v>
      </c>
      <c r="M1489">
        <v>3312506</v>
      </c>
      <c r="N1489">
        <v>48</v>
      </c>
      <c r="O1489" t="s">
        <v>4178</v>
      </c>
      <c r="P1489" t="s">
        <v>4178</v>
      </c>
    </row>
    <row r="1490" spans="1:16" x14ac:dyDescent="0.35">
      <c r="A1490" t="s">
        <v>2089</v>
      </c>
      <c r="B1490" t="s">
        <v>4340</v>
      </c>
      <c r="C1490" t="s">
        <v>84</v>
      </c>
      <c r="D1490" t="s">
        <v>75</v>
      </c>
      <c r="E1490" t="s">
        <v>20</v>
      </c>
      <c r="F1490" s="1">
        <v>45255</v>
      </c>
      <c r="G1490">
        <v>2003</v>
      </c>
      <c r="H1490" t="s">
        <v>63</v>
      </c>
      <c r="I1490" t="s">
        <v>4266</v>
      </c>
      <c r="J1490" t="s">
        <v>23</v>
      </c>
      <c r="K1490">
        <v>9.6999999999999993</v>
      </c>
      <c r="L1490">
        <v>8024235</v>
      </c>
      <c r="M1490">
        <v>1293678</v>
      </c>
      <c r="N1490">
        <v>70</v>
      </c>
      <c r="O1490" t="s">
        <v>31</v>
      </c>
      <c r="P1490" t="s">
        <v>4181</v>
      </c>
    </row>
    <row r="1491" spans="1:16" x14ac:dyDescent="0.35">
      <c r="A1491" t="s">
        <v>324</v>
      </c>
      <c r="B1491" t="s">
        <v>325</v>
      </c>
      <c r="C1491" t="s">
        <v>53</v>
      </c>
      <c r="D1491" t="s">
        <v>68</v>
      </c>
      <c r="E1491" t="s">
        <v>131</v>
      </c>
      <c r="F1491" s="1">
        <v>45257</v>
      </c>
      <c r="G1491">
        <v>2014</v>
      </c>
      <c r="H1491" t="s">
        <v>4178</v>
      </c>
      <c r="I1491" t="s">
        <v>71</v>
      </c>
      <c r="J1491" t="s">
        <v>72</v>
      </c>
      <c r="K1491">
        <v>7.9</v>
      </c>
      <c r="L1491">
        <v>22774632</v>
      </c>
      <c r="M1491">
        <v>2294723</v>
      </c>
      <c r="N1491">
        <v>91</v>
      </c>
      <c r="O1491" t="s">
        <v>24</v>
      </c>
      <c r="P1491" t="s">
        <v>4178</v>
      </c>
    </row>
    <row r="1492" spans="1:16" x14ac:dyDescent="0.35">
      <c r="A1492" t="s">
        <v>1483</v>
      </c>
      <c r="B1492" t="s">
        <v>1482</v>
      </c>
      <c r="C1492" t="s">
        <v>53</v>
      </c>
      <c r="D1492" t="s">
        <v>19</v>
      </c>
      <c r="E1492" t="s">
        <v>80</v>
      </c>
      <c r="F1492" s="1">
        <v>45257</v>
      </c>
      <c r="G1492">
        <v>2002</v>
      </c>
      <c r="H1492" t="s">
        <v>107</v>
      </c>
      <c r="I1492" t="s">
        <v>39</v>
      </c>
      <c r="J1492" t="s">
        <v>133</v>
      </c>
      <c r="K1492">
        <v>6</v>
      </c>
      <c r="L1492">
        <v>23401500</v>
      </c>
      <c r="M1492">
        <v>858807</v>
      </c>
      <c r="N1492">
        <v>59</v>
      </c>
      <c r="O1492" t="s">
        <v>41</v>
      </c>
      <c r="P1492" t="s">
        <v>32</v>
      </c>
    </row>
    <row r="1493" spans="1:16" x14ac:dyDescent="0.35">
      <c r="A1493" t="s">
        <v>3537</v>
      </c>
      <c r="B1493" t="s">
        <v>3538</v>
      </c>
      <c r="C1493" t="s">
        <v>4178</v>
      </c>
      <c r="D1493" t="s">
        <v>94</v>
      </c>
      <c r="E1493" t="s">
        <v>131</v>
      </c>
      <c r="F1493" s="1">
        <v>45260</v>
      </c>
      <c r="G1493">
        <v>2005</v>
      </c>
      <c r="H1493" t="s">
        <v>38</v>
      </c>
      <c r="I1493" t="s">
        <v>39</v>
      </c>
      <c r="J1493" t="s">
        <v>23</v>
      </c>
      <c r="K1493">
        <v>9.6</v>
      </c>
      <c r="L1493">
        <v>874097</v>
      </c>
      <c r="M1493">
        <v>1480851</v>
      </c>
      <c r="N1493">
        <v>90</v>
      </c>
      <c r="O1493" t="s">
        <v>41</v>
      </c>
      <c r="P1493" t="s">
        <v>87</v>
      </c>
    </row>
    <row r="1494" spans="1:16" x14ac:dyDescent="0.35">
      <c r="A1494" t="s">
        <v>2078</v>
      </c>
      <c r="B1494" t="s">
        <v>2077</v>
      </c>
      <c r="C1494" t="s">
        <v>53</v>
      </c>
      <c r="D1494" t="s">
        <v>36</v>
      </c>
      <c r="E1494" t="s">
        <v>69</v>
      </c>
      <c r="F1494" s="1">
        <v>45261</v>
      </c>
      <c r="G1494">
        <v>2011</v>
      </c>
      <c r="H1494" t="s">
        <v>63</v>
      </c>
      <c r="I1494" t="s">
        <v>136</v>
      </c>
      <c r="J1494" t="s">
        <v>30</v>
      </c>
      <c r="K1494">
        <v>9.6999999999999993</v>
      </c>
      <c r="L1494">
        <v>16020166</v>
      </c>
      <c r="M1494">
        <v>4191868</v>
      </c>
      <c r="N1494">
        <v>63</v>
      </c>
      <c r="O1494" t="s">
        <v>65</v>
      </c>
      <c r="P1494" t="s">
        <v>87</v>
      </c>
    </row>
    <row r="1495" spans="1:16" x14ac:dyDescent="0.35">
      <c r="A1495" t="s">
        <v>4065</v>
      </c>
      <c r="B1495" t="s">
        <v>4066</v>
      </c>
      <c r="C1495" t="s">
        <v>84</v>
      </c>
      <c r="D1495" t="s">
        <v>61</v>
      </c>
      <c r="E1495" t="s">
        <v>45</v>
      </c>
      <c r="F1495" s="1">
        <v>45264</v>
      </c>
      <c r="G1495">
        <v>2019</v>
      </c>
      <c r="H1495" t="s">
        <v>121</v>
      </c>
      <c r="I1495" t="s">
        <v>4306</v>
      </c>
      <c r="J1495" t="s">
        <v>133</v>
      </c>
      <c r="K1495">
        <v>7.9</v>
      </c>
      <c r="L1495">
        <v>18140768</v>
      </c>
      <c r="M1495">
        <v>1660469</v>
      </c>
      <c r="N1495">
        <v>91</v>
      </c>
      <c r="O1495" t="s">
        <v>4178</v>
      </c>
      <c r="P1495" t="s">
        <v>4181</v>
      </c>
    </row>
    <row r="1496" spans="1:16" x14ac:dyDescent="0.35">
      <c r="A1496" t="s">
        <v>3814</v>
      </c>
      <c r="B1496" t="s">
        <v>3815</v>
      </c>
      <c r="C1496" t="s">
        <v>84</v>
      </c>
      <c r="D1496" t="s">
        <v>61</v>
      </c>
      <c r="E1496" t="s">
        <v>20</v>
      </c>
      <c r="F1496" s="1">
        <v>45266</v>
      </c>
      <c r="G1496">
        <v>2007</v>
      </c>
      <c r="H1496" t="s">
        <v>81</v>
      </c>
      <c r="I1496" t="s">
        <v>4180</v>
      </c>
      <c r="J1496" t="s">
        <v>153</v>
      </c>
      <c r="K1496">
        <v>4.5999999999999996</v>
      </c>
      <c r="L1496">
        <v>6111775</v>
      </c>
      <c r="M1496">
        <v>1318324</v>
      </c>
      <c r="N1496">
        <v>100</v>
      </c>
      <c r="O1496" t="s">
        <v>58</v>
      </c>
      <c r="P1496" t="s">
        <v>50</v>
      </c>
    </row>
    <row r="1497" spans="1:16" x14ac:dyDescent="0.35">
      <c r="A1497" t="s">
        <v>1846</v>
      </c>
      <c r="B1497" t="s">
        <v>1847</v>
      </c>
      <c r="C1497" t="s">
        <v>53</v>
      </c>
      <c r="D1497" t="s">
        <v>75</v>
      </c>
      <c r="E1497" t="s">
        <v>20</v>
      </c>
      <c r="F1497" s="1">
        <v>45269</v>
      </c>
      <c r="G1497">
        <v>2009</v>
      </c>
      <c r="H1497" t="s">
        <v>38</v>
      </c>
      <c r="I1497" t="s">
        <v>39</v>
      </c>
      <c r="J1497" t="s">
        <v>133</v>
      </c>
      <c r="K1497">
        <v>8.6</v>
      </c>
      <c r="L1497">
        <v>7613715</v>
      </c>
      <c r="M1497">
        <v>1271820</v>
      </c>
      <c r="N1497">
        <v>51</v>
      </c>
      <c r="O1497" t="s">
        <v>31</v>
      </c>
      <c r="P1497" t="s">
        <v>4178</v>
      </c>
    </row>
    <row r="1498" spans="1:16" x14ac:dyDescent="0.35">
      <c r="A1498" t="s">
        <v>2928</v>
      </c>
      <c r="B1498" t="s">
        <v>2929</v>
      </c>
      <c r="C1498" t="s">
        <v>84</v>
      </c>
      <c r="D1498" t="s">
        <v>19</v>
      </c>
      <c r="E1498" t="s">
        <v>4178</v>
      </c>
      <c r="F1498" s="1">
        <v>45270</v>
      </c>
      <c r="G1498">
        <v>2015</v>
      </c>
      <c r="H1498" t="s">
        <v>21</v>
      </c>
      <c r="I1498" t="s">
        <v>4205</v>
      </c>
      <c r="J1498" t="s">
        <v>4178</v>
      </c>
      <c r="K1498">
        <v>5.7</v>
      </c>
      <c r="L1498">
        <v>16761086</v>
      </c>
      <c r="M1498">
        <v>4942984</v>
      </c>
      <c r="N1498">
        <v>74</v>
      </c>
      <c r="O1498" t="s">
        <v>41</v>
      </c>
      <c r="P1498" t="s">
        <v>32</v>
      </c>
    </row>
    <row r="1499" spans="1:16" x14ac:dyDescent="0.35">
      <c r="A1499" t="s">
        <v>623</v>
      </c>
      <c r="B1499" t="s">
        <v>624</v>
      </c>
      <c r="C1499" t="s">
        <v>4178</v>
      </c>
      <c r="D1499" t="s">
        <v>4178</v>
      </c>
      <c r="E1499" t="s">
        <v>131</v>
      </c>
      <c r="F1499" s="1">
        <v>45271</v>
      </c>
      <c r="G1499">
        <v>2018</v>
      </c>
      <c r="H1499" t="s">
        <v>107</v>
      </c>
      <c r="I1499" t="s">
        <v>71</v>
      </c>
      <c r="J1499" t="s">
        <v>40</v>
      </c>
      <c r="K1499">
        <v>5.3</v>
      </c>
      <c r="L1499">
        <v>21850399</v>
      </c>
      <c r="M1499">
        <v>1531187</v>
      </c>
      <c r="N1499">
        <v>48</v>
      </c>
      <c r="O1499" t="s">
        <v>24</v>
      </c>
      <c r="P1499" t="s">
        <v>4178</v>
      </c>
    </row>
    <row r="1500" spans="1:16" x14ac:dyDescent="0.35">
      <c r="A1500" t="s">
        <v>1890</v>
      </c>
      <c r="B1500" t="s">
        <v>1891</v>
      </c>
      <c r="C1500" t="s">
        <v>84</v>
      </c>
      <c r="D1500" t="s">
        <v>4178</v>
      </c>
      <c r="E1500" t="s">
        <v>131</v>
      </c>
      <c r="F1500" s="1">
        <v>45272</v>
      </c>
      <c r="G1500">
        <v>2015</v>
      </c>
      <c r="H1500" t="s">
        <v>63</v>
      </c>
      <c r="I1500" t="s">
        <v>4283</v>
      </c>
      <c r="J1500" t="s">
        <v>40</v>
      </c>
      <c r="K1500">
        <v>5.5</v>
      </c>
      <c r="L1500">
        <v>15521778</v>
      </c>
      <c r="M1500">
        <v>9948</v>
      </c>
      <c r="N1500">
        <v>75</v>
      </c>
      <c r="O1500" t="s">
        <v>24</v>
      </c>
      <c r="P1500" t="s">
        <v>4178</v>
      </c>
    </row>
    <row r="1501" spans="1:16" x14ac:dyDescent="0.35">
      <c r="A1501" t="s">
        <v>2324</v>
      </c>
      <c r="B1501" t="s">
        <v>2325</v>
      </c>
      <c r="C1501" t="s">
        <v>53</v>
      </c>
      <c r="D1501" t="s">
        <v>4178</v>
      </c>
      <c r="E1501" t="s">
        <v>131</v>
      </c>
      <c r="F1501" s="1">
        <v>45272</v>
      </c>
      <c r="G1501">
        <v>2015</v>
      </c>
      <c r="H1501" t="s">
        <v>107</v>
      </c>
      <c r="I1501" t="s">
        <v>118</v>
      </c>
      <c r="J1501" t="s">
        <v>4178</v>
      </c>
      <c r="K1501">
        <v>8.5</v>
      </c>
      <c r="L1501">
        <v>16035831</v>
      </c>
      <c r="M1501">
        <v>1421540</v>
      </c>
      <c r="N1501">
        <v>76</v>
      </c>
      <c r="O1501" t="s">
        <v>31</v>
      </c>
      <c r="P1501" t="s">
        <v>4178</v>
      </c>
    </row>
    <row r="1502" spans="1:16" x14ac:dyDescent="0.35">
      <c r="A1502" t="s">
        <v>2113</v>
      </c>
      <c r="B1502" t="s">
        <v>2114</v>
      </c>
      <c r="C1502" t="s">
        <v>53</v>
      </c>
      <c r="D1502" t="s">
        <v>4178</v>
      </c>
      <c r="E1502" t="s">
        <v>99</v>
      </c>
      <c r="F1502" s="1">
        <v>45285</v>
      </c>
      <c r="G1502">
        <v>2009</v>
      </c>
      <c r="H1502" t="s">
        <v>81</v>
      </c>
      <c r="I1502" t="s">
        <v>162</v>
      </c>
      <c r="J1502" t="s">
        <v>96</v>
      </c>
      <c r="K1502">
        <v>8.1</v>
      </c>
      <c r="L1502">
        <v>4675336</v>
      </c>
      <c r="M1502">
        <v>4798108</v>
      </c>
      <c r="N1502">
        <v>62</v>
      </c>
      <c r="O1502" t="s">
        <v>123</v>
      </c>
      <c r="P1502" t="s">
        <v>32</v>
      </c>
    </row>
    <row r="1503" spans="1:16" x14ac:dyDescent="0.35">
      <c r="A1503" t="s">
        <v>1924</v>
      </c>
      <c r="B1503" t="s">
        <v>1925</v>
      </c>
      <c r="C1503" t="s">
        <v>53</v>
      </c>
      <c r="D1503" t="s">
        <v>61</v>
      </c>
      <c r="E1503" t="s">
        <v>55</v>
      </c>
      <c r="F1503" s="1">
        <v>45286</v>
      </c>
      <c r="G1503">
        <v>2018</v>
      </c>
      <c r="H1503" t="s">
        <v>114</v>
      </c>
      <c r="I1503" t="s">
        <v>118</v>
      </c>
      <c r="J1503" t="s">
        <v>133</v>
      </c>
      <c r="K1503">
        <v>8.9</v>
      </c>
      <c r="L1503">
        <v>7841022</v>
      </c>
      <c r="M1503">
        <v>3867467</v>
      </c>
      <c r="N1503">
        <v>77</v>
      </c>
      <c r="O1503" t="s">
        <v>41</v>
      </c>
      <c r="P1503" t="s">
        <v>4181</v>
      </c>
    </row>
    <row r="1504" spans="1:16" x14ac:dyDescent="0.35">
      <c r="A1504" t="s">
        <v>1358</v>
      </c>
      <c r="B1504" t="s">
        <v>1359</v>
      </c>
      <c r="C1504" t="s">
        <v>4178</v>
      </c>
      <c r="D1504" t="s">
        <v>61</v>
      </c>
      <c r="E1504" t="s">
        <v>4178</v>
      </c>
      <c r="F1504" s="1">
        <v>45290</v>
      </c>
      <c r="G1504">
        <v>2026</v>
      </c>
      <c r="H1504" t="s">
        <v>81</v>
      </c>
      <c r="I1504" t="s">
        <v>56</v>
      </c>
      <c r="J1504" t="s">
        <v>23</v>
      </c>
      <c r="K1504">
        <v>7</v>
      </c>
      <c r="L1504">
        <v>1646549</v>
      </c>
      <c r="M1504">
        <v>1785636</v>
      </c>
      <c r="N1504">
        <v>74</v>
      </c>
      <c r="O1504" t="s">
        <v>65</v>
      </c>
      <c r="P1504" t="s">
        <v>4181</v>
      </c>
    </row>
    <row r="1505" spans="1:16" x14ac:dyDescent="0.35">
      <c r="A1505" t="s">
        <v>642</v>
      </c>
      <c r="B1505" t="s">
        <v>643</v>
      </c>
      <c r="C1505" t="s">
        <v>4178</v>
      </c>
      <c r="D1505" t="s">
        <v>54</v>
      </c>
      <c r="E1505" t="s">
        <v>4196</v>
      </c>
      <c r="F1505" s="1">
        <v>45292</v>
      </c>
      <c r="G1505">
        <v>2022</v>
      </c>
      <c r="H1505" t="s">
        <v>107</v>
      </c>
      <c r="I1505" t="s">
        <v>118</v>
      </c>
      <c r="J1505" t="s">
        <v>72</v>
      </c>
      <c r="K1505">
        <v>5.3</v>
      </c>
      <c r="L1505">
        <v>1806071</v>
      </c>
      <c r="M1505">
        <v>4538794</v>
      </c>
      <c r="N1505">
        <v>100</v>
      </c>
      <c r="O1505" t="s">
        <v>91</v>
      </c>
      <c r="P1505" t="s">
        <v>50</v>
      </c>
    </row>
    <row r="1506" spans="1:16" x14ac:dyDescent="0.35">
      <c r="A1506" t="s">
        <v>2844</v>
      </c>
      <c r="B1506" t="s">
        <v>2845</v>
      </c>
      <c r="C1506" t="s">
        <v>53</v>
      </c>
      <c r="D1506" t="s">
        <v>156</v>
      </c>
      <c r="E1506" t="s">
        <v>113</v>
      </c>
      <c r="F1506" s="1">
        <v>45299</v>
      </c>
      <c r="G1506">
        <v>2020</v>
      </c>
      <c r="H1506" t="s">
        <v>63</v>
      </c>
      <c r="I1506" t="s">
        <v>56</v>
      </c>
      <c r="J1506" t="s">
        <v>153</v>
      </c>
      <c r="K1506">
        <v>9.5</v>
      </c>
      <c r="L1506">
        <v>10256665</v>
      </c>
      <c r="M1506">
        <v>2854127</v>
      </c>
      <c r="N1506">
        <v>54</v>
      </c>
      <c r="O1506" t="s">
        <v>24</v>
      </c>
      <c r="P1506" t="s">
        <v>50</v>
      </c>
    </row>
    <row r="1507" spans="1:16" x14ac:dyDescent="0.35">
      <c r="A1507" t="s">
        <v>3230</v>
      </c>
      <c r="B1507" t="s">
        <v>3231</v>
      </c>
      <c r="C1507" t="s">
        <v>53</v>
      </c>
      <c r="D1507" t="s">
        <v>4178</v>
      </c>
      <c r="E1507" t="s">
        <v>62</v>
      </c>
      <c r="F1507" s="1">
        <v>45299</v>
      </c>
      <c r="G1507">
        <v>2013</v>
      </c>
      <c r="H1507" t="s">
        <v>107</v>
      </c>
      <c r="I1507" t="s">
        <v>162</v>
      </c>
      <c r="J1507" t="s">
        <v>57</v>
      </c>
      <c r="K1507">
        <v>8.3000000000000007</v>
      </c>
      <c r="L1507">
        <v>876288</v>
      </c>
      <c r="M1507">
        <v>459509</v>
      </c>
      <c r="N1507">
        <v>43</v>
      </c>
      <c r="O1507" t="s">
        <v>91</v>
      </c>
      <c r="P1507" t="s">
        <v>50</v>
      </c>
    </row>
    <row r="1508" spans="1:16" x14ac:dyDescent="0.35">
      <c r="A1508" t="s">
        <v>290</v>
      </c>
      <c r="B1508" t="s">
        <v>291</v>
      </c>
      <c r="C1508" t="s">
        <v>4178</v>
      </c>
      <c r="D1508" t="s">
        <v>19</v>
      </c>
      <c r="E1508" t="s">
        <v>20</v>
      </c>
      <c r="F1508" s="1">
        <v>45302</v>
      </c>
      <c r="G1508">
        <v>2004</v>
      </c>
      <c r="H1508" t="s">
        <v>81</v>
      </c>
      <c r="I1508" t="s">
        <v>118</v>
      </c>
      <c r="J1508" t="s">
        <v>57</v>
      </c>
      <c r="K1508">
        <v>5.0999999999999996</v>
      </c>
      <c r="L1508">
        <v>2752720</v>
      </c>
      <c r="M1508">
        <v>1310922</v>
      </c>
      <c r="N1508">
        <v>41</v>
      </c>
      <c r="O1508" t="s">
        <v>41</v>
      </c>
      <c r="P1508" t="s">
        <v>50</v>
      </c>
    </row>
    <row r="1509" spans="1:16" x14ac:dyDescent="0.35">
      <c r="A1509" t="s">
        <v>2649</v>
      </c>
      <c r="B1509" t="s">
        <v>2650</v>
      </c>
      <c r="C1509" t="s">
        <v>84</v>
      </c>
      <c r="D1509" t="s">
        <v>54</v>
      </c>
      <c r="E1509" t="s">
        <v>113</v>
      </c>
      <c r="F1509" s="1">
        <v>45308</v>
      </c>
      <c r="G1509">
        <v>2005</v>
      </c>
      <c r="H1509" t="s">
        <v>121</v>
      </c>
      <c r="I1509" t="s">
        <v>4299</v>
      </c>
      <c r="J1509" t="s">
        <v>40</v>
      </c>
      <c r="K1509">
        <v>5.3</v>
      </c>
      <c r="L1509">
        <v>-855</v>
      </c>
      <c r="M1509">
        <v>1571839</v>
      </c>
      <c r="N1509">
        <v>43</v>
      </c>
      <c r="O1509" t="s">
        <v>104</v>
      </c>
      <c r="P1509" t="s">
        <v>87</v>
      </c>
    </row>
    <row r="1510" spans="1:16" x14ac:dyDescent="0.35">
      <c r="A1510" t="s">
        <v>359</v>
      </c>
      <c r="B1510" t="s">
        <v>360</v>
      </c>
      <c r="C1510" t="s">
        <v>84</v>
      </c>
      <c r="D1510" t="s">
        <v>4178</v>
      </c>
      <c r="E1510" t="s">
        <v>113</v>
      </c>
      <c r="F1510" s="1">
        <v>45309</v>
      </c>
      <c r="G1510">
        <v>2014</v>
      </c>
      <c r="H1510" t="s">
        <v>4178</v>
      </c>
      <c r="I1510" t="s">
        <v>4230</v>
      </c>
      <c r="J1510" t="s">
        <v>96</v>
      </c>
      <c r="K1510">
        <v>5.4</v>
      </c>
      <c r="L1510">
        <v>22277074</v>
      </c>
      <c r="M1510">
        <v>2949000</v>
      </c>
      <c r="N1510">
        <v>41</v>
      </c>
      <c r="O1510" t="s">
        <v>49</v>
      </c>
      <c r="P1510" t="s">
        <v>4181</v>
      </c>
    </row>
    <row r="1511" spans="1:16" x14ac:dyDescent="0.35">
      <c r="A1511" t="s">
        <v>2184</v>
      </c>
      <c r="B1511" t="s">
        <v>2185</v>
      </c>
      <c r="C1511" t="s">
        <v>84</v>
      </c>
      <c r="D1511" t="s">
        <v>4178</v>
      </c>
      <c r="E1511" t="s">
        <v>20</v>
      </c>
      <c r="F1511" s="1">
        <v>45311</v>
      </c>
      <c r="G1511">
        <v>2014</v>
      </c>
      <c r="H1511" t="s">
        <v>63</v>
      </c>
      <c r="I1511" t="s">
        <v>4305</v>
      </c>
      <c r="J1511" t="s">
        <v>133</v>
      </c>
      <c r="K1511">
        <v>6.1</v>
      </c>
      <c r="L1511">
        <v>761505</v>
      </c>
      <c r="M1511">
        <v>493039</v>
      </c>
      <c r="N1511">
        <v>46</v>
      </c>
      <c r="O1511" t="s">
        <v>4178</v>
      </c>
      <c r="P1511" t="s">
        <v>50</v>
      </c>
    </row>
    <row r="1512" spans="1:16" x14ac:dyDescent="0.35">
      <c r="A1512" t="s">
        <v>2766</v>
      </c>
      <c r="B1512" t="s">
        <v>2767</v>
      </c>
      <c r="C1512" t="s">
        <v>4178</v>
      </c>
      <c r="D1512" t="s">
        <v>156</v>
      </c>
      <c r="E1512" t="s">
        <v>4196</v>
      </c>
      <c r="F1512" s="1">
        <v>45317</v>
      </c>
      <c r="G1512">
        <v>2008</v>
      </c>
      <c r="H1512" t="s">
        <v>81</v>
      </c>
      <c r="I1512" t="s">
        <v>118</v>
      </c>
      <c r="J1512" t="s">
        <v>103</v>
      </c>
      <c r="K1512">
        <v>7</v>
      </c>
      <c r="L1512">
        <v>2015716</v>
      </c>
      <c r="M1512">
        <v>1260303</v>
      </c>
      <c r="N1512">
        <v>60</v>
      </c>
      <c r="O1512" t="s">
        <v>123</v>
      </c>
      <c r="P1512" t="s">
        <v>32</v>
      </c>
    </row>
    <row r="1513" spans="1:16" x14ac:dyDescent="0.35">
      <c r="A1513" t="s">
        <v>245</v>
      </c>
      <c r="B1513" t="s">
        <v>246</v>
      </c>
      <c r="C1513" t="s">
        <v>53</v>
      </c>
      <c r="D1513" t="s">
        <v>54</v>
      </c>
      <c r="E1513" t="s">
        <v>55</v>
      </c>
      <c r="F1513" s="1">
        <v>45320</v>
      </c>
      <c r="G1513">
        <v>2032</v>
      </c>
      <c r="H1513" t="s">
        <v>81</v>
      </c>
      <c r="I1513" t="s">
        <v>118</v>
      </c>
      <c r="J1513" t="s">
        <v>153</v>
      </c>
      <c r="K1513">
        <v>7.6</v>
      </c>
      <c r="L1513">
        <v>7679355</v>
      </c>
      <c r="M1513">
        <v>4897945</v>
      </c>
      <c r="N1513">
        <v>83</v>
      </c>
      <c r="O1513" t="s">
        <v>91</v>
      </c>
      <c r="P1513" t="s">
        <v>87</v>
      </c>
    </row>
    <row r="1514" spans="1:16" x14ac:dyDescent="0.35">
      <c r="A1514" t="s">
        <v>3127</v>
      </c>
      <c r="B1514" t="s">
        <v>3128</v>
      </c>
      <c r="C1514" t="s">
        <v>4178</v>
      </c>
      <c r="D1514" t="s">
        <v>27</v>
      </c>
      <c r="E1514" t="s">
        <v>113</v>
      </c>
      <c r="F1514" s="1">
        <v>45326</v>
      </c>
      <c r="G1514">
        <v>2012</v>
      </c>
      <c r="H1514" t="s">
        <v>107</v>
      </c>
      <c r="I1514" t="s">
        <v>56</v>
      </c>
      <c r="J1514" t="s">
        <v>23</v>
      </c>
      <c r="K1514">
        <v>8</v>
      </c>
      <c r="L1514">
        <v>20600894</v>
      </c>
      <c r="M1514">
        <v>2103487</v>
      </c>
      <c r="N1514">
        <v>95</v>
      </c>
      <c r="O1514" t="s">
        <v>31</v>
      </c>
      <c r="P1514" t="s">
        <v>87</v>
      </c>
    </row>
    <row r="1515" spans="1:16" x14ac:dyDescent="0.35">
      <c r="A1515" t="s">
        <v>3309</v>
      </c>
      <c r="B1515" t="s">
        <v>3310</v>
      </c>
      <c r="C1515" t="s">
        <v>53</v>
      </c>
      <c r="D1515" t="s">
        <v>27</v>
      </c>
      <c r="E1515" t="s">
        <v>80</v>
      </c>
      <c r="F1515" s="1">
        <v>45326</v>
      </c>
      <c r="G1515">
        <v>2020</v>
      </c>
      <c r="H1515" t="s">
        <v>114</v>
      </c>
      <c r="I1515" t="s">
        <v>64</v>
      </c>
      <c r="J1515" t="s">
        <v>153</v>
      </c>
      <c r="K1515">
        <v>5.0999999999999996</v>
      </c>
      <c r="L1515">
        <v>23021480</v>
      </c>
      <c r="M1515">
        <v>586264</v>
      </c>
      <c r="N1515">
        <v>60</v>
      </c>
      <c r="O1515" t="s">
        <v>65</v>
      </c>
      <c r="P1515" t="s">
        <v>4178</v>
      </c>
    </row>
    <row r="1516" spans="1:16" x14ac:dyDescent="0.35">
      <c r="A1516" t="s">
        <v>3062</v>
      </c>
      <c r="B1516" t="s">
        <v>3063</v>
      </c>
      <c r="C1516" t="s">
        <v>53</v>
      </c>
      <c r="D1516" t="s">
        <v>19</v>
      </c>
      <c r="E1516" t="s">
        <v>131</v>
      </c>
      <c r="F1516" s="1">
        <v>45327</v>
      </c>
      <c r="G1516">
        <v>2026</v>
      </c>
      <c r="H1516" t="s">
        <v>85</v>
      </c>
      <c r="I1516" t="s">
        <v>4178</v>
      </c>
      <c r="J1516" t="s">
        <v>72</v>
      </c>
      <c r="K1516">
        <v>9.1999999999999993</v>
      </c>
      <c r="L1516">
        <v>-392</v>
      </c>
      <c r="M1516">
        <v>1978843</v>
      </c>
      <c r="N1516">
        <v>79</v>
      </c>
      <c r="O1516" t="s">
        <v>91</v>
      </c>
      <c r="P1516" t="s">
        <v>4178</v>
      </c>
    </row>
    <row r="1517" spans="1:16" x14ac:dyDescent="0.35">
      <c r="A1517" t="s">
        <v>1331</v>
      </c>
      <c r="B1517" t="s">
        <v>4308</v>
      </c>
      <c r="C1517" t="s">
        <v>84</v>
      </c>
      <c r="D1517" t="s">
        <v>27</v>
      </c>
      <c r="E1517" t="s">
        <v>4178</v>
      </c>
      <c r="F1517" s="1">
        <v>45328</v>
      </c>
      <c r="G1517">
        <v>2005</v>
      </c>
      <c r="H1517" t="s">
        <v>107</v>
      </c>
      <c r="I1517" t="s">
        <v>4309</v>
      </c>
      <c r="J1517" t="s">
        <v>133</v>
      </c>
      <c r="K1517">
        <v>6.4</v>
      </c>
      <c r="L1517">
        <v>6242580</v>
      </c>
      <c r="M1517">
        <v>4058149</v>
      </c>
      <c r="N1517">
        <v>63</v>
      </c>
      <c r="O1517" t="s">
        <v>31</v>
      </c>
      <c r="P1517" t="s">
        <v>4178</v>
      </c>
    </row>
    <row r="1518" spans="1:16" x14ac:dyDescent="0.35">
      <c r="A1518" t="s">
        <v>2798</v>
      </c>
      <c r="B1518" t="s">
        <v>2799</v>
      </c>
      <c r="C1518" t="s">
        <v>53</v>
      </c>
      <c r="D1518" t="s">
        <v>75</v>
      </c>
      <c r="E1518" t="s">
        <v>99</v>
      </c>
      <c r="F1518" s="1">
        <v>45331</v>
      </c>
      <c r="G1518">
        <v>2006</v>
      </c>
      <c r="H1518" t="s">
        <v>114</v>
      </c>
      <c r="I1518" t="s">
        <v>4178</v>
      </c>
      <c r="J1518" t="s">
        <v>72</v>
      </c>
      <c r="K1518">
        <v>7.2</v>
      </c>
      <c r="L1518">
        <v>11725036</v>
      </c>
      <c r="M1518">
        <v>1181298</v>
      </c>
      <c r="N1518">
        <v>62</v>
      </c>
      <c r="O1518" t="s">
        <v>65</v>
      </c>
      <c r="P1518" t="s">
        <v>4181</v>
      </c>
    </row>
    <row r="1519" spans="1:16" x14ac:dyDescent="0.35">
      <c r="A1519" t="s">
        <v>574</v>
      </c>
      <c r="B1519" t="s">
        <v>575</v>
      </c>
      <c r="C1519" t="s">
        <v>53</v>
      </c>
      <c r="D1519" t="s">
        <v>75</v>
      </c>
      <c r="E1519" t="s">
        <v>55</v>
      </c>
      <c r="F1519" s="1">
        <v>45332</v>
      </c>
      <c r="G1519">
        <v>2020</v>
      </c>
      <c r="H1519" t="s">
        <v>46</v>
      </c>
      <c r="I1519" t="s">
        <v>118</v>
      </c>
      <c r="J1519" t="s">
        <v>57</v>
      </c>
      <c r="K1519">
        <v>7.6</v>
      </c>
      <c r="L1519">
        <v>23646934</v>
      </c>
      <c r="M1519">
        <v>3668659</v>
      </c>
      <c r="N1519">
        <v>91</v>
      </c>
      <c r="O1519" t="s">
        <v>49</v>
      </c>
      <c r="P1519" t="s">
        <v>87</v>
      </c>
    </row>
    <row r="1520" spans="1:16" x14ac:dyDescent="0.35">
      <c r="A1520" t="s">
        <v>2550</v>
      </c>
      <c r="B1520" t="s">
        <v>2551</v>
      </c>
      <c r="C1520" t="s">
        <v>53</v>
      </c>
      <c r="D1520" t="s">
        <v>54</v>
      </c>
      <c r="E1520" t="s">
        <v>45</v>
      </c>
      <c r="F1520" s="1">
        <v>45332</v>
      </c>
      <c r="G1520">
        <v>2018</v>
      </c>
      <c r="H1520" t="s">
        <v>107</v>
      </c>
      <c r="I1520" t="s">
        <v>39</v>
      </c>
      <c r="J1520" t="s">
        <v>96</v>
      </c>
      <c r="K1520">
        <v>9.6999999999999993</v>
      </c>
      <c r="L1520">
        <v>2575719</v>
      </c>
      <c r="M1520">
        <v>54718</v>
      </c>
      <c r="N1520">
        <v>52</v>
      </c>
      <c r="O1520" t="s">
        <v>91</v>
      </c>
      <c r="P1520" t="s">
        <v>87</v>
      </c>
    </row>
    <row r="1521" spans="1:16" x14ac:dyDescent="0.35">
      <c r="A1521" t="s">
        <v>2091</v>
      </c>
      <c r="B1521" t="s">
        <v>2092</v>
      </c>
      <c r="C1521" t="s">
        <v>4178</v>
      </c>
      <c r="D1521" t="s">
        <v>61</v>
      </c>
      <c r="E1521" t="s">
        <v>113</v>
      </c>
      <c r="F1521" s="1">
        <v>45334</v>
      </c>
      <c r="G1521">
        <v>2006</v>
      </c>
      <c r="H1521" t="s">
        <v>46</v>
      </c>
      <c r="I1521" t="s">
        <v>162</v>
      </c>
      <c r="J1521" t="s">
        <v>23</v>
      </c>
      <c r="K1521">
        <v>8</v>
      </c>
      <c r="L1521">
        <v>9335380</v>
      </c>
      <c r="M1521">
        <v>4894702</v>
      </c>
      <c r="N1521">
        <v>66</v>
      </c>
      <c r="O1521" t="s">
        <v>65</v>
      </c>
      <c r="P1521" t="s">
        <v>87</v>
      </c>
    </row>
    <row r="1522" spans="1:16" x14ac:dyDescent="0.35">
      <c r="A1522" t="s">
        <v>3693</v>
      </c>
      <c r="B1522" t="s">
        <v>3694</v>
      </c>
      <c r="C1522" t="s">
        <v>84</v>
      </c>
      <c r="D1522" t="s">
        <v>75</v>
      </c>
      <c r="E1522" t="s">
        <v>45</v>
      </c>
      <c r="F1522" s="1">
        <v>45336</v>
      </c>
      <c r="G1522">
        <v>2008</v>
      </c>
      <c r="H1522" t="s">
        <v>63</v>
      </c>
      <c r="I1522" t="s">
        <v>4306</v>
      </c>
      <c r="J1522" t="s">
        <v>48</v>
      </c>
      <c r="K1522">
        <v>6.7</v>
      </c>
      <c r="L1522">
        <v>9567259</v>
      </c>
      <c r="M1522">
        <v>1769990</v>
      </c>
      <c r="N1522">
        <v>42</v>
      </c>
      <c r="O1522" t="s">
        <v>123</v>
      </c>
      <c r="P1522" t="s">
        <v>87</v>
      </c>
    </row>
    <row r="1523" spans="1:16" x14ac:dyDescent="0.35">
      <c r="A1523" t="s">
        <v>3699</v>
      </c>
      <c r="B1523" t="s">
        <v>3700</v>
      </c>
      <c r="C1523" t="s">
        <v>4178</v>
      </c>
      <c r="D1523" t="s">
        <v>36</v>
      </c>
      <c r="E1523" t="s">
        <v>69</v>
      </c>
      <c r="F1523" s="1">
        <v>45338</v>
      </c>
      <c r="G1523">
        <v>2015</v>
      </c>
      <c r="H1523" t="s">
        <v>107</v>
      </c>
      <c r="I1523" t="s">
        <v>56</v>
      </c>
      <c r="J1523" t="s">
        <v>133</v>
      </c>
      <c r="K1523">
        <v>4.5999999999999996</v>
      </c>
      <c r="L1523">
        <v>18034561</v>
      </c>
      <c r="M1523">
        <v>439938</v>
      </c>
      <c r="N1523">
        <v>77</v>
      </c>
      <c r="O1523" t="s">
        <v>104</v>
      </c>
      <c r="P1523" t="s">
        <v>4181</v>
      </c>
    </row>
    <row r="1524" spans="1:16" x14ac:dyDescent="0.35">
      <c r="A1524" t="s">
        <v>3960</v>
      </c>
      <c r="B1524" t="s">
        <v>3961</v>
      </c>
      <c r="C1524" t="s">
        <v>53</v>
      </c>
      <c r="D1524" t="s">
        <v>27</v>
      </c>
      <c r="E1524" t="s">
        <v>28</v>
      </c>
      <c r="F1524" s="1">
        <v>45340</v>
      </c>
      <c r="G1524">
        <v>2019</v>
      </c>
      <c r="H1524" t="s">
        <v>21</v>
      </c>
      <c r="I1524" t="s">
        <v>39</v>
      </c>
      <c r="J1524" t="s">
        <v>153</v>
      </c>
      <c r="K1524">
        <v>6.3</v>
      </c>
      <c r="L1524">
        <v>17328588</v>
      </c>
      <c r="M1524">
        <v>1307241</v>
      </c>
      <c r="N1524">
        <v>89</v>
      </c>
      <c r="O1524" t="s">
        <v>123</v>
      </c>
      <c r="P1524" t="s">
        <v>4181</v>
      </c>
    </row>
    <row r="1525" spans="1:16" x14ac:dyDescent="0.35">
      <c r="A1525" t="s">
        <v>1090</v>
      </c>
      <c r="B1525" t="s">
        <v>1091</v>
      </c>
      <c r="C1525" t="s">
        <v>53</v>
      </c>
      <c r="D1525" t="s">
        <v>156</v>
      </c>
      <c r="E1525" t="s">
        <v>113</v>
      </c>
      <c r="F1525" s="1">
        <v>45341</v>
      </c>
      <c r="G1525">
        <v>2007</v>
      </c>
      <c r="H1525" t="s">
        <v>21</v>
      </c>
      <c r="I1525" t="s">
        <v>71</v>
      </c>
      <c r="J1525" t="s">
        <v>72</v>
      </c>
      <c r="K1525">
        <v>5.3</v>
      </c>
      <c r="L1525">
        <v>4433305</v>
      </c>
      <c r="M1525">
        <v>4029494</v>
      </c>
      <c r="N1525">
        <v>59</v>
      </c>
      <c r="O1525" t="s">
        <v>31</v>
      </c>
      <c r="P1525" t="s">
        <v>50</v>
      </c>
    </row>
    <row r="1526" spans="1:16" x14ac:dyDescent="0.35">
      <c r="A1526" t="s">
        <v>1944</v>
      </c>
      <c r="B1526" t="s">
        <v>1945</v>
      </c>
      <c r="C1526" t="s">
        <v>53</v>
      </c>
      <c r="D1526" t="s">
        <v>4178</v>
      </c>
      <c r="E1526" t="s">
        <v>28</v>
      </c>
      <c r="F1526" s="1">
        <v>45341</v>
      </c>
      <c r="G1526">
        <v>2026</v>
      </c>
      <c r="H1526" t="s">
        <v>107</v>
      </c>
      <c r="I1526" t="s">
        <v>64</v>
      </c>
      <c r="J1526" t="s">
        <v>57</v>
      </c>
      <c r="K1526">
        <v>9.1999999999999993</v>
      </c>
      <c r="L1526">
        <v>386059</v>
      </c>
      <c r="M1526">
        <v>2182268</v>
      </c>
      <c r="N1526">
        <v>73</v>
      </c>
      <c r="O1526" t="s">
        <v>104</v>
      </c>
      <c r="P1526" t="s">
        <v>50</v>
      </c>
    </row>
    <row r="1527" spans="1:16" x14ac:dyDescent="0.35">
      <c r="A1527" t="s">
        <v>950</v>
      </c>
      <c r="B1527" t="s">
        <v>951</v>
      </c>
      <c r="C1527" t="s">
        <v>84</v>
      </c>
      <c r="D1527" t="s">
        <v>90</v>
      </c>
      <c r="E1527" t="s">
        <v>113</v>
      </c>
      <c r="F1527" s="1">
        <v>45346</v>
      </c>
      <c r="G1527">
        <v>2004</v>
      </c>
      <c r="H1527" t="s">
        <v>114</v>
      </c>
      <c r="I1527" t="s">
        <v>4243</v>
      </c>
      <c r="J1527" t="s">
        <v>103</v>
      </c>
      <c r="K1527">
        <v>5.9</v>
      </c>
      <c r="L1527">
        <v>15546268</v>
      </c>
      <c r="M1527">
        <v>3651619</v>
      </c>
      <c r="N1527">
        <v>60</v>
      </c>
      <c r="O1527" t="s">
        <v>58</v>
      </c>
      <c r="P1527" t="s">
        <v>4178</v>
      </c>
    </row>
    <row r="1528" spans="1:16" x14ac:dyDescent="0.35">
      <c r="A1528" t="s">
        <v>3783</v>
      </c>
      <c r="B1528" t="s">
        <v>3784</v>
      </c>
      <c r="C1528" t="s">
        <v>4178</v>
      </c>
      <c r="D1528" t="s">
        <v>4178</v>
      </c>
      <c r="E1528" t="s">
        <v>131</v>
      </c>
      <c r="F1528" s="1">
        <v>45346</v>
      </c>
      <c r="G1528">
        <v>2000</v>
      </c>
      <c r="H1528" t="s">
        <v>107</v>
      </c>
      <c r="I1528" t="s">
        <v>162</v>
      </c>
      <c r="J1528" t="s">
        <v>57</v>
      </c>
      <c r="K1528">
        <v>9.6</v>
      </c>
      <c r="L1528">
        <v>14035378</v>
      </c>
      <c r="M1528">
        <v>2291332</v>
      </c>
      <c r="N1528">
        <v>88</v>
      </c>
      <c r="O1528" t="s">
        <v>41</v>
      </c>
      <c r="P1528" t="s">
        <v>87</v>
      </c>
    </row>
    <row r="1529" spans="1:16" x14ac:dyDescent="0.35">
      <c r="A1529" t="s">
        <v>2619</v>
      </c>
      <c r="B1529" t="s">
        <v>2620</v>
      </c>
      <c r="C1529" t="s">
        <v>84</v>
      </c>
      <c r="D1529" t="s">
        <v>94</v>
      </c>
      <c r="E1529" t="s">
        <v>131</v>
      </c>
      <c r="F1529" s="1">
        <v>45348</v>
      </c>
      <c r="G1529">
        <v>2018</v>
      </c>
      <c r="H1529" t="s">
        <v>46</v>
      </c>
      <c r="I1529" t="s">
        <v>4225</v>
      </c>
      <c r="J1529" t="s">
        <v>72</v>
      </c>
      <c r="K1529">
        <v>6.9</v>
      </c>
      <c r="L1529">
        <v>20660402</v>
      </c>
      <c r="M1529">
        <v>466064</v>
      </c>
      <c r="N1529">
        <v>98</v>
      </c>
      <c r="O1529" t="s">
        <v>41</v>
      </c>
      <c r="P1529" t="s">
        <v>50</v>
      </c>
    </row>
    <row r="1530" spans="1:16" x14ac:dyDescent="0.35">
      <c r="A1530" t="s">
        <v>1694</v>
      </c>
      <c r="B1530" t="s">
        <v>1695</v>
      </c>
      <c r="C1530" t="s">
        <v>84</v>
      </c>
      <c r="D1530" t="s">
        <v>36</v>
      </c>
      <c r="E1530" t="s">
        <v>20</v>
      </c>
      <c r="F1530" s="1">
        <v>45349</v>
      </c>
      <c r="G1530">
        <v>2015</v>
      </c>
      <c r="H1530" t="s">
        <v>4178</v>
      </c>
      <c r="I1530" t="s">
        <v>4189</v>
      </c>
      <c r="J1530" t="s">
        <v>103</v>
      </c>
      <c r="K1530">
        <v>8.5</v>
      </c>
      <c r="L1530">
        <v>5474328</v>
      </c>
      <c r="M1530">
        <v>1003054</v>
      </c>
      <c r="N1530">
        <v>48</v>
      </c>
      <c r="O1530" t="s">
        <v>65</v>
      </c>
      <c r="P1530" t="s">
        <v>4178</v>
      </c>
    </row>
    <row r="1531" spans="1:16" x14ac:dyDescent="0.35">
      <c r="A1531" t="s">
        <v>840</v>
      </c>
      <c r="B1531" t="s">
        <v>841</v>
      </c>
      <c r="C1531" t="s">
        <v>4178</v>
      </c>
      <c r="D1531" t="s">
        <v>156</v>
      </c>
      <c r="E1531" t="s">
        <v>4196</v>
      </c>
      <c r="F1531" s="1">
        <v>45351</v>
      </c>
      <c r="G1531">
        <v>2017</v>
      </c>
      <c r="H1531" t="s">
        <v>4178</v>
      </c>
      <c r="I1531" t="s">
        <v>56</v>
      </c>
      <c r="J1531" t="s">
        <v>96</v>
      </c>
      <c r="K1531">
        <v>5.4</v>
      </c>
      <c r="L1531">
        <v>4268092</v>
      </c>
      <c r="M1531">
        <v>2542884</v>
      </c>
      <c r="N1531">
        <v>75</v>
      </c>
      <c r="O1531" t="s">
        <v>41</v>
      </c>
      <c r="P1531" t="s">
        <v>4178</v>
      </c>
    </row>
    <row r="1532" spans="1:16" x14ac:dyDescent="0.35">
      <c r="A1532" t="s">
        <v>1905</v>
      </c>
      <c r="B1532" t="s">
        <v>1906</v>
      </c>
      <c r="C1532" t="s">
        <v>53</v>
      </c>
      <c r="D1532" t="s">
        <v>90</v>
      </c>
      <c r="E1532" t="s">
        <v>62</v>
      </c>
      <c r="F1532" s="1">
        <v>45354</v>
      </c>
      <c r="G1532">
        <v>2010</v>
      </c>
      <c r="H1532" t="s">
        <v>4178</v>
      </c>
      <c r="I1532" t="s">
        <v>118</v>
      </c>
      <c r="J1532" t="s">
        <v>103</v>
      </c>
      <c r="K1532">
        <v>7.2</v>
      </c>
      <c r="L1532">
        <v>1898437</v>
      </c>
      <c r="M1532">
        <v>264449</v>
      </c>
      <c r="N1532">
        <v>44</v>
      </c>
      <c r="O1532" t="s">
        <v>41</v>
      </c>
      <c r="P1532" t="s">
        <v>87</v>
      </c>
    </row>
    <row r="1533" spans="1:16" x14ac:dyDescent="0.35">
      <c r="A1533" t="s">
        <v>2206</v>
      </c>
      <c r="B1533" t="s">
        <v>2207</v>
      </c>
      <c r="C1533" t="s">
        <v>53</v>
      </c>
      <c r="D1533" t="s">
        <v>19</v>
      </c>
      <c r="E1533" t="s">
        <v>62</v>
      </c>
      <c r="F1533" s="1">
        <v>45355</v>
      </c>
      <c r="G1533">
        <v>2003</v>
      </c>
      <c r="H1533" t="s">
        <v>121</v>
      </c>
      <c r="I1533" t="s">
        <v>95</v>
      </c>
      <c r="J1533" t="s">
        <v>133</v>
      </c>
      <c r="K1533">
        <v>9.6999999999999993</v>
      </c>
      <c r="L1533">
        <v>10720088</v>
      </c>
      <c r="M1533">
        <v>1260536</v>
      </c>
      <c r="N1533">
        <v>88</v>
      </c>
      <c r="O1533" t="s">
        <v>41</v>
      </c>
      <c r="P1533" t="s">
        <v>4178</v>
      </c>
    </row>
    <row r="1534" spans="1:16" x14ac:dyDescent="0.35">
      <c r="A1534" t="s">
        <v>860</v>
      </c>
      <c r="B1534" t="s">
        <v>861</v>
      </c>
      <c r="C1534" t="s">
        <v>53</v>
      </c>
      <c r="D1534" t="s">
        <v>61</v>
      </c>
      <c r="E1534" t="s">
        <v>45</v>
      </c>
      <c r="F1534" s="1">
        <v>45356</v>
      </c>
      <c r="G1534">
        <v>2010</v>
      </c>
      <c r="H1534" t="s">
        <v>121</v>
      </c>
      <c r="I1534" t="s">
        <v>56</v>
      </c>
      <c r="J1534" t="s">
        <v>133</v>
      </c>
      <c r="K1534">
        <v>5.9</v>
      </c>
      <c r="L1534">
        <v>12109769</v>
      </c>
      <c r="M1534">
        <v>612424</v>
      </c>
      <c r="N1534">
        <v>99</v>
      </c>
      <c r="O1534" t="s">
        <v>58</v>
      </c>
      <c r="P1534" t="s">
        <v>4178</v>
      </c>
    </row>
    <row r="1535" spans="1:16" x14ac:dyDescent="0.35">
      <c r="A1535" t="s">
        <v>2217</v>
      </c>
      <c r="B1535" t="s">
        <v>2218</v>
      </c>
      <c r="C1535" t="s">
        <v>84</v>
      </c>
      <c r="D1535" t="s">
        <v>90</v>
      </c>
      <c r="E1535" t="s">
        <v>4178</v>
      </c>
      <c r="F1535" s="1">
        <v>45359</v>
      </c>
      <c r="G1535">
        <v>2026</v>
      </c>
      <c r="H1535" t="s">
        <v>85</v>
      </c>
      <c r="I1535" t="s">
        <v>4267</v>
      </c>
      <c r="J1535" t="s">
        <v>30</v>
      </c>
      <c r="K1535">
        <v>7.7</v>
      </c>
      <c r="L1535">
        <v>9644580</v>
      </c>
      <c r="M1535">
        <v>1138863</v>
      </c>
      <c r="N1535">
        <v>42</v>
      </c>
      <c r="O1535" t="s">
        <v>4178</v>
      </c>
      <c r="P1535" t="s">
        <v>32</v>
      </c>
    </row>
    <row r="1536" spans="1:16" x14ac:dyDescent="0.35">
      <c r="A1536" t="s">
        <v>2746</v>
      </c>
      <c r="B1536" t="s">
        <v>2747</v>
      </c>
      <c r="C1536" t="s">
        <v>84</v>
      </c>
      <c r="D1536" t="s">
        <v>36</v>
      </c>
      <c r="E1536" t="s">
        <v>45</v>
      </c>
      <c r="F1536" s="1">
        <v>45359</v>
      </c>
      <c r="G1536">
        <v>2003</v>
      </c>
      <c r="H1536" t="s">
        <v>38</v>
      </c>
      <c r="I1536" t="s">
        <v>4325</v>
      </c>
      <c r="J1536" t="s">
        <v>72</v>
      </c>
      <c r="K1536">
        <v>11.2</v>
      </c>
      <c r="L1536">
        <v>-641</v>
      </c>
      <c r="M1536">
        <v>3260832</v>
      </c>
      <c r="N1536">
        <v>73</v>
      </c>
      <c r="O1536" t="s">
        <v>4178</v>
      </c>
      <c r="P1536" t="s">
        <v>50</v>
      </c>
    </row>
    <row r="1537" spans="1:16" x14ac:dyDescent="0.35">
      <c r="A1537" t="s">
        <v>2865</v>
      </c>
      <c r="B1537" t="s">
        <v>2866</v>
      </c>
      <c r="C1537" t="s">
        <v>53</v>
      </c>
      <c r="D1537" t="s">
        <v>94</v>
      </c>
      <c r="E1537" t="s">
        <v>55</v>
      </c>
      <c r="F1537" s="1">
        <v>45359</v>
      </c>
      <c r="G1537">
        <v>2025</v>
      </c>
      <c r="H1537" t="s">
        <v>21</v>
      </c>
      <c r="I1537" t="s">
        <v>71</v>
      </c>
      <c r="J1537" t="s">
        <v>4178</v>
      </c>
      <c r="K1537">
        <v>8.9</v>
      </c>
      <c r="L1537">
        <v>19465747</v>
      </c>
      <c r="M1537">
        <v>701159</v>
      </c>
      <c r="N1537">
        <v>68</v>
      </c>
      <c r="O1537" t="s">
        <v>4178</v>
      </c>
      <c r="P1537" t="s">
        <v>32</v>
      </c>
    </row>
    <row r="1538" spans="1:16" x14ac:dyDescent="0.35">
      <c r="A1538" t="s">
        <v>1922</v>
      </c>
      <c r="B1538" t="s">
        <v>1923</v>
      </c>
      <c r="C1538" t="s">
        <v>84</v>
      </c>
      <c r="D1538" t="s">
        <v>19</v>
      </c>
      <c r="E1538" t="s">
        <v>69</v>
      </c>
      <c r="F1538" s="1">
        <v>45360</v>
      </c>
      <c r="G1538">
        <v>2016</v>
      </c>
      <c r="H1538" t="s">
        <v>38</v>
      </c>
      <c r="I1538" t="s">
        <v>4247</v>
      </c>
      <c r="J1538" t="s">
        <v>133</v>
      </c>
      <c r="K1538">
        <v>7.2</v>
      </c>
      <c r="L1538">
        <v>1810776</v>
      </c>
      <c r="M1538">
        <v>2846466</v>
      </c>
      <c r="N1538">
        <v>44</v>
      </c>
      <c r="O1538" t="s">
        <v>104</v>
      </c>
      <c r="P1538" t="s">
        <v>4178</v>
      </c>
    </row>
    <row r="1539" spans="1:16" x14ac:dyDescent="0.35">
      <c r="A1539" t="s">
        <v>1771</v>
      </c>
      <c r="B1539" t="s">
        <v>1772</v>
      </c>
      <c r="C1539" t="s">
        <v>4178</v>
      </c>
      <c r="D1539" t="s">
        <v>61</v>
      </c>
      <c r="E1539" t="s">
        <v>80</v>
      </c>
      <c r="F1539" s="1">
        <v>45361</v>
      </c>
      <c r="G1539">
        <v>2010</v>
      </c>
      <c r="H1539" t="s">
        <v>4178</v>
      </c>
      <c r="I1539" t="s">
        <v>39</v>
      </c>
      <c r="J1539" t="s">
        <v>4178</v>
      </c>
      <c r="K1539">
        <v>9.6999999999999993</v>
      </c>
      <c r="L1539">
        <v>22976706</v>
      </c>
      <c r="M1539">
        <v>600665</v>
      </c>
      <c r="N1539">
        <v>86</v>
      </c>
      <c r="O1539" t="s">
        <v>49</v>
      </c>
      <c r="P1539" t="s">
        <v>50</v>
      </c>
    </row>
    <row r="1540" spans="1:16" x14ac:dyDescent="0.35">
      <c r="A1540" t="s">
        <v>1826</v>
      </c>
      <c r="B1540" t="s">
        <v>1827</v>
      </c>
      <c r="C1540" t="s">
        <v>84</v>
      </c>
      <c r="D1540" t="s">
        <v>54</v>
      </c>
      <c r="E1540" t="s">
        <v>55</v>
      </c>
      <c r="F1540" s="1">
        <v>45361</v>
      </c>
      <c r="G1540">
        <v>2026</v>
      </c>
      <c r="H1540" t="s">
        <v>121</v>
      </c>
      <c r="I1540" t="s">
        <v>4294</v>
      </c>
      <c r="J1540" t="s">
        <v>4178</v>
      </c>
      <c r="K1540">
        <v>5.0999999999999996</v>
      </c>
      <c r="L1540">
        <v>20217115</v>
      </c>
      <c r="M1540">
        <v>1892471</v>
      </c>
      <c r="N1540">
        <v>48</v>
      </c>
      <c r="O1540" t="s">
        <v>31</v>
      </c>
      <c r="P1540" t="s">
        <v>4181</v>
      </c>
    </row>
    <row r="1541" spans="1:16" x14ac:dyDescent="0.35">
      <c r="A1541" t="s">
        <v>2806</v>
      </c>
      <c r="B1541" t="s">
        <v>2807</v>
      </c>
      <c r="C1541" t="s">
        <v>53</v>
      </c>
      <c r="D1541" t="s">
        <v>4178</v>
      </c>
      <c r="E1541" t="s">
        <v>45</v>
      </c>
      <c r="F1541" s="1">
        <v>45369</v>
      </c>
      <c r="G1541">
        <v>2000</v>
      </c>
      <c r="H1541" t="s">
        <v>81</v>
      </c>
      <c r="I1541" t="s">
        <v>56</v>
      </c>
      <c r="J1541" t="s">
        <v>40</v>
      </c>
      <c r="K1541">
        <v>6.2</v>
      </c>
      <c r="L1541">
        <v>10849592</v>
      </c>
      <c r="M1541">
        <v>3246144</v>
      </c>
      <c r="N1541">
        <v>100</v>
      </c>
      <c r="O1541" t="s">
        <v>31</v>
      </c>
      <c r="P1541" t="s">
        <v>50</v>
      </c>
    </row>
    <row r="1542" spans="1:16" x14ac:dyDescent="0.35">
      <c r="A1542" t="s">
        <v>2420</v>
      </c>
      <c r="B1542" t="s">
        <v>2421</v>
      </c>
      <c r="C1542" t="s">
        <v>84</v>
      </c>
      <c r="D1542" t="s">
        <v>36</v>
      </c>
      <c r="E1542" t="s">
        <v>20</v>
      </c>
      <c r="F1542" s="1">
        <v>45370</v>
      </c>
      <c r="G1542">
        <v>2023</v>
      </c>
      <c r="H1542" t="s">
        <v>38</v>
      </c>
      <c r="I1542" t="s">
        <v>4306</v>
      </c>
      <c r="J1542" t="s">
        <v>153</v>
      </c>
      <c r="K1542">
        <v>7.8</v>
      </c>
      <c r="L1542">
        <v>7851198</v>
      </c>
      <c r="M1542">
        <v>3736322</v>
      </c>
      <c r="N1542">
        <v>41</v>
      </c>
      <c r="O1542" t="s">
        <v>31</v>
      </c>
      <c r="P1542" t="s">
        <v>4181</v>
      </c>
    </row>
    <row r="1543" spans="1:16" x14ac:dyDescent="0.35">
      <c r="A1543" t="s">
        <v>2495</v>
      </c>
      <c r="B1543" t="s">
        <v>2496</v>
      </c>
      <c r="C1543" t="s">
        <v>84</v>
      </c>
      <c r="D1543" t="s">
        <v>27</v>
      </c>
      <c r="E1543" t="s">
        <v>55</v>
      </c>
      <c r="F1543" s="1">
        <v>45374</v>
      </c>
      <c r="G1543">
        <v>2006</v>
      </c>
      <c r="H1543" t="s">
        <v>114</v>
      </c>
      <c r="I1543" t="s">
        <v>4198</v>
      </c>
      <c r="J1543" t="s">
        <v>23</v>
      </c>
      <c r="K1543">
        <v>8.8000000000000007</v>
      </c>
      <c r="L1543">
        <v>12350615</v>
      </c>
      <c r="M1543">
        <v>726665</v>
      </c>
      <c r="N1543">
        <v>96</v>
      </c>
      <c r="O1543" t="s">
        <v>91</v>
      </c>
      <c r="P1543" t="s">
        <v>4181</v>
      </c>
    </row>
    <row r="1544" spans="1:16" x14ac:dyDescent="0.35">
      <c r="A1544" t="s">
        <v>3464</v>
      </c>
      <c r="B1544" t="s">
        <v>3465</v>
      </c>
      <c r="C1544" t="s">
        <v>53</v>
      </c>
      <c r="D1544" t="s">
        <v>27</v>
      </c>
      <c r="E1544" t="s">
        <v>62</v>
      </c>
      <c r="F1544" s="1">
        <v>45380</v>
      </c>
      <c r="G1544">
        <v>2006</v>
      </c>
      <c r="H1544" t="s">
        <v>114</v>
      </c>
      <c r="I1544" t="s">
        <v>56</v>
      </c>
      <c r="J1544" t="s">
        <v>103</v>
      </c>
      <c r="K1544">
        <v>7.1</v>
      </c>
      <c r="L1544">
        <v>1927002</v>
      </c>
      <c r="M1544">
        <v>4911121</v>
      </c>
      <c r="N1544">
        <v>53</v>
      </c>
      <c r="O1544" t="s">
        <v>104</v>
      </c>
      <c r="P1544" t="s">
        <v>4178</v>
      </c>
    </row>
    <row r="1545" spans="1:16" x14ac:dyDescent="0.35">
      <c r="A1545" t="s">
        <v>2637</v>
      </c>
      <c r="B1545" t="s">
        <v>2638</v>
      </c>
      <c r="C1545" t="s">
        <v>53</v>
      </c>
      <c r="D1545" t="s">
        <v>68</v>
      </c>
      <c r="E1545" t="s">
        <v>4196</v>
      </c>
      <c r="F1545" s="1">
        <v>45383</v>
      </c>
      <c r="G1545">
        <v>2006</v>
      </c>
      <c r="H1545" t="s">
        <v>63</v>
      </c>
      <c r="I1545" t="s">
        <v>71</v>
      </c>
      <c r="J1545" t="s">
        <v>72</v>
      </c>
      <c r="K1545">
        <v>7.5</v>
      </c>
      <c r="L1545">
        <v>8931608</v>
      </c>
      <c r="M1545">
        <v>2418122</v>
      </c>
      <c r="N1545">
        <v>45</v>
      </c>
      <c r="O1545" t="s">
        <v>123</v>
      </c>
      <c r="P1545" t="s">
        <v>50</v>
      </c>
    </row>
    <row r="1546" spans="1:16" x14ac:dyDescent="0.35">
      <c r="A1546" t="s">
        <v>1659</v>
      </c>
      <c r="B1546" t="s">
        <v>1660</v>
      </c>
      <c r="C1546" t="s">
        <v>84</v>
      </c>
      <c r="D1546" t="s">
        <v>61</v>
      </c>
      <c r="E1546" t="s">
        <v>20</v>
      </c>
      <c r="F1546" s="1">
        <v>45389</v>
      </c>
      <c r="G1546">
        <v>2002</v>
      </c>
      <c r="H1546" t="s">
        <v>81</v>
      </c>
      <c r="I1546" t="s">
        <v>4212</v>
      </c>
      <c r="J1546" t="s">
        <v>40</v>
      </c>
      <c r="K1546">
        <v>8.3000000000000007</v>
      </c>
      <c r="L1546">
        <v>2989625</v>
      </c>
      <c r="M1546">
        <v>795619</v>
      </c>
      <c r="N1546">
        <v>92</v>
      </c>
      <c r="O1546" t="s">
        <v>4178</v>
      </c>
      <c r="P1546" t="s">
        <v>4178</v>
      </c>
    </row>
    <row r="1547" spans="1:16" x14ac:dyDescent="0.35">
      <c r="A1547" t="s">
        <v>255</v>
      </c>
      <c r="B1547" t="s">
        <v>256</v>
      </c>
      <c r="C1547" t="s">
        <v>53</v>
      </c>
      <c r="D1547" t="s">
        <v>4178</v>
      </c>
      <c r="E1547" t="s">
        <v>4196</v>
      </c>
      <c r="F1547" s="1">
        <v>45390</v>
      </c>
      <c r="G1547">
        <v>2009</v>
      </c>
      <c r="H1547" t="s">
        <v>38</v>
      </c>
      <c r="I1547" t="s">
        <v>39</v>
      </c>
      <c r="J1547" t="s">
        <v>4178</v>
      </c>
      <c r="K1547">
        <v>6.4</v>
      </c>
      <c r="L1547">
        <v>8983276</v>
      </c>
      <c r="M1547">
        <v>3156362</v>
      </c>
      <c r="N1547">
        <v>67</v>
      </c>
      <c r="O1547" t="s">
        <v>91</v>
      </c>
      <c r="P1547" t="s">
        <v>32</v>
      </c>
    </row>
    <row r="1548" spans="1:16" x14ac:dyDescent="0.35">
      <c r="A1548" t="s">
        <v>2808</v>
      </c>
      <c r="B1548" t="s">
        <v>2809</v>
      </c>
      <c r="C1548" t="s">
        <v>84</v>
      </c>
      <c r="D1548" t="s">
        <v>36</v>
      </c>
      <c r="E1548" t="s">
        <v>80</v>
      </c>
      <c r="F1548" s="1">
        <v>45390</v>
      </c>
      <c r="G1548">
        <v>2002</v>
      </c>
      <c r="H1548" t="s">
        <v>107</v>
      </c>
      <c r="I1548" t="s">
        <v>4204</v>
      </c>
      <c r="J1548" t="s">
        <v>4178</v>
      </c>
      <c r="K1548">
        <v>7.5</v>
      </c>
      <c r="L1548">
        <v>7626176</v>
      </c>
      <c r="M1548">
        <v>3953273</v>
      </c>
      <c r="N1548">
        <v>93</v>
      </c>
      <c r="O1548" t="s">
        <v>104</v>
      </c>
      <c r="P1548" t="s">
        <v>50</v>
      </c>
    </row>
    <row r="1549" spans="1:16" x14ac:dyDescent="0.35">
      <c r="A1549" t="s">
        <v>718</v>
      </c>
      <c r="B1549" t="s">
        <v>719</v>
      </c>
      <c r="C1549" t="s">
        <v>84</v>
      </c>
      <c r="D1549" t="s">
        <v>68</v>
      </c>
      <c r="E1549" t="s">
        <v>45</v>
      </c>
      <c r="F1549" s="1">
        <v>45392</v>
      </c>
      <c r="G1549">
        <v>2007</v>
      </c>
      <c r="H1549" t="s">
        <v>114</v>
      </c>
      <c r="I1549" t="s">
        <v>4266</v>
      </c>
      <c r="J1549" t="s">
        <v>133</v>
      </c>
      <c r="K1549">
        <v>8.1999999999999993</v>
      </c>
      <c r="L1549">
        <v>7575761</v>
      </c>
      <c r="M1549">
        <v>1754325</v>
      </c>
      <c r="N1549">
        <v>60</v>
      </c>
      <c r="O1549" t="s">
        <v>58</v>
      </c>
      <c r="P1549" t="s">
        <v>32</v>
      </c>
    </row>
    <row r="1550" spans="1:16" x14ac:dyDescent="0.35">
      <c r="A1550" t="s">
        <v>534</v>
      </c>
      <c r="B1550" t="s">
        <v>535</v>
      </c>
      <c r="C1550" t="s">
        <v>4178</v>
      </c>
      <c r="D1550" t="s">
        <v>156</v>
      </c>
      <c r="E1550" t="s">
        <v>4196</v>
      </c>
      <c r="F1550" s="1">
        <v>45394</v>
      </c>
      <c r="G1550">
        <v>2004</v>
      </c>
      <c r="H1550" t="s">
        <v>107</v>
      </c>
      <c r="I1550" t="s">
        <v>4178</v>
      </c>
      <c r="J1550" t="s">
        <v>4178</v>
      </c>
      <c r="K1550">
        <v>8.5</v>
      </c>
      <c r="L1550">
        <v>3250527</v>
      </c>
      <c r="M1550">
        <v>1569145</v>
      </c>
      <c r="N1550">
        <v>73</v>
      </c>
      <c r="O1550" t="s">
        <v>91</v>
      </c>
      <c r="P1550" t="s">
        <v>4178</v>
      </c>
    </row>
    <row r="1551" spans="1:16" x14ac:dyDescent="0.35">
      <c r="A1551" t="s">
        <v>1467</v>
      </c>
      <c r="B1551" t="s">
        <v>1468</v>
      </c>
      <c r="C1551" t="s">
        <v>84</v>
      </c>
      <c r="D1551" t="s">
        <v>19</v>
      </c>
      <c r="E1551" t="s">
        <v>4196</v>
      </c>
      <c r="F1551" s="1">
        <v>45395</v>
      </c>
      <c r="G1551">
        <v>2017</v>
      </c>
      <c r="H1551" t="s">
        <v>46</v>
      </c>
      <c r="I1551" t="s">
        <v>4185</v>
      </c>
      <c r="J1551" t="s">
        <v>4178</v>
      </c>
      <c r="K1551">
        <v>11.2</v>
      </c>
      <c r="L1551">
        <v>11647087</v>
      </c>
      <c r="M1551">
        <v>4779282</v>
      </c>
      <c r="N1551">
        <v>58</v>
      </c>
      <c r="O1551" t="s">
        <v>24</v>
      </c>
      <c r="P1551" t="s">
        <v>87</v>
      </c>
    </row>
    <row r="1552" spans="1:16" x14ac:dyDescent="0.35">
      <c r="A1552" t="s">
        <v>2912</v>
      </c>
      <c r="B1552" t="s">
        <v>2913</v>
      </c>
      <c r="C1552" t="s">
        <v>84</v>
      </c>
      <c r="D1552" t="s">
        <v>94</v>
      </c>
      <c r="E1552" t="s">
        <v>45</v>
      </c>
      <c r="F1552" s="1">
        <v>45395</v>
      </c>
      <c r="G1552">
        <v>2019</v>
      </c>
      <c r="H1552" t="s">
        <v>46</v>
      </c>
      <c r="I1552" t="s">
        <v>4211</v>
      </c>
      <c r="J1552" t="s">
        <v>57</v>
      </c>
      <c r="K1552">
        <v>9.5</v>
      </c>
      <c r="L1552">
        <v>-566</v>
      </c>
      <c r="M1552">
        <v>3817436</v>
      </c>
      <c r="N1552">
        <v>71</v>
      </c>
      <c r="O1552" t="s">
        <v>24</v>
      </c>
      <c r="P1552" t="s">
        <v>4178</v>
      </c>
    </row>
    <row r="1553" spans="1:16" x14ac:dyDescent="0.35">
      <c r="A1553" t="s">
        <v>2754</v>
      </c>
      <c r="B1553" t="s">
        <v>2755</v>
      </c>
      <c r="C1553" t="s">
        <v>4178</v>
      </c>
      <c r="D1553" t="s">
        <v>4178</v>
      </c>
      <c r="E1553" t="s">
        <v>4178</v>
      </c>
      <c r="F1553" s="1">
        <v>45396</v>
      </c>
      <c r="G1553">
        <v>2009</v>
      </c>
      <c r="H1553" t="s">
        <v>21</v>
      </c>
      <c r="I1553" t="s">
        <v>95</v>
      </c>
      <c r="J1553" t="s">
        <v>4178</v>
      </c>
      <c r="K1553">
        <v>8.1999999999999993</v>
      </c>
      <c r="L1553">
        <v>4738406</v>
      </c>
      <c r="M1553">
        <v>4677847</v>
      </c>
      <c r="N1553">
        <v>69</v>
      </c>
      <c r="O1553" t="s">
        <v>41</v>
      </c>
      <c r="P1553" t="s">
        <v>4181</v>
      </c>
    </row>
    <row r="1554" spans="1:16" x14ac:dyDescent="0.35">
      <c r="A1554" t="s">
        <v>1192</v>
      </c>
      <c r="B1554" t="s">
        <v>1193</v>
      </c>
      <c r="C1554" t="s">
        <v>84</v>
      </c>
      <c r="D1554" t="s">
        <v>4178</v>
      </c>
      <c r="E1554" t="s">
        <v>55</v>
      </c>
      <c r="F1554" s="1">
        <v>45399</v>
      </c>
      <c r="G1554">
        <v>2007</v>
      </c>
      <c r="H1554" t="s">
        <v>38</v>
      </c>
      <c r="I1554" t="s">
        <v>4178</v>
      </c>
      <c r="J1554" t="s">
        <v>133</v>
      </c>
      <c r="K1554">
        <v>8.1</v>
      </c>
      <c r="L1554">
        <v>10989631</v>
      </c>
      <c r="M1554">
        <v>1140403</v>
      </c>
      <c r="N1554">
        <v>74</v>
      </c>
      <c r="O1554" t="s">
        <v>31</v>
      </c>
      <c r="P1554" t="s">
        <v>32</v>
      </c>
    </row>
    <row r="1555" spans="1:16" x14ac:dyDescent="0.35">
      <c r="A1555" t="s">
        <v>3655</v>
      </c>
      <c r="B1555" t="s">
        <v>3656</v>
      </c>
      <c r="C1555" t="s">
        <v>53</v>
      </c>
      <c r="D1555" t="s">
        <v>19</v>
      </c>
      <c r="E1555" t="s">
        <v>4178</v>
      </c>
      <c r="F1555" s="1">
        <v>45400</v>
      </c>
      <c r="G1555">
        <v>2013</v>
      </c>
      <c r="H1555" t="s">
        <v>107</v>
      </c>
      <c r="I1555" t="s">
        <v>162</v>
      </c>
      <c r="J1555" t="s">
        <v>96</v>
      </c>
      <c r="K1555">
        <v>8.1</v>
      </c>
      <c r="L1555">
        <v>1236952</v>
      </c>
      <c r="M1555">
        <v>4387666</v>
      </c>
      <c r="N1555">
        <v>58</v>
      </c>
      <c r="O1555" t="s">
        <v>24</v>
      </c>
      <c r="P1555" t="s">
        <v>4178</v>
      </c>
    </row>
    <row r="1556" spans="1:16" x14ac:dyDescent="0.35">
      <c r="A1556" t="s">
        <v>1205</v>
      </c>
      <c r="B1556" t="s">
        <v>1206</v>
      </c>
      <c r="C1556" t="s">
        <v>84</v>
      </c>
      <c r="D1556" t="s">
        <v>94</v>
      </c>
      <c r="E1556" t="s">
        <v>113</v>
      </c>
      <c r="F1556" s="1">
        <v>45409</v>
      </c>
      <c r="G1556">
        <v>2020</v>
      </c>
      <c r="H1556" t="s">
        <v>85</v>
      </c>
      <c r="I1556" t="s">
        <v>4297</v>
      </c>
      <c r="J1556" t="s">
        <v>72</v>
      </c>
      <c r="K1556">
        <v>5.5</v>
      </c>
      <c r="L1556">
        <v>14178833</v>
      </c>
      <c r="M1556">
        <v>2950936</v>
      </c>
      <c r="N1556">
        <v>73</v>
      </c>
      <c r="O1556" t="s">
        <v>104</v>
      </c>
      <c r="P1556" t="s">
        <v>87</v>
      </c>
    </row>
    <row r="1557" spans="1:16" x14ac:dyDescent="0.35">
      <c r="A1557" t="s">
        <v>2127</v>
      </c>
      <c r="B1557" t="s">
        <v>2128</v>
      </c>
      <c r="C1557" t="s">
        <v>84</v>
      </c>
      <c r="D1557" t="s">
        <v>75</v>
      </c>
      <c r="E1557" t="s">
        <v>45</v>
      </c>
      <c r="F1557" s="1">
        <v>45410</v>
      </c>
      <c r="G1557">
        <v>2020</v>
      </c>
      <c r="H1557" t="s">
        <v>81</v>
      </c>
      <c r="I1557" t="s">
        <v>4293</v>
      </c>
      <c r="J1557" t="s">
        <v>40</v>
      </c>
      <c r="K1557">
        <v>6.2</v>
      </c>
      <c r="L1557">
        <v>1466811</v>
      </c>
      <c r="M1557">
        <v>20433</v>
      </c>
      <c r="N1557">
        <v>73</v>
      </c>
      <c r="O1557" t="s">
        <v>41</v>
      </c>
      <c r="P1557" t="s">
        <v>50</v>
      </c>
    </row>
    <row r="1558" spans="1:16" x14ac:dyDescent="0.35">
      <c r="A1558" t="s">
        <v>497</v>
      </c>
      <c r="B1558" t="s">
        <v>498</v>
      </c>
      <c r="C1558" t="s">
        <v>4178</v>
      </c>
      <c r="D1558" t="s">
        <v>27</v>
      </c>
      <c r="E1558" t="s">
        <v>4178</v>
      </c>
      <c r="F1558" s="1">
        <v>45413</v>
      </c>
      <c r="G1558">
        <v>2019</v>
      </c>
      <c r="H1558" t="s">
        <v>85</v>
      </c>
      <c r="I1558" t="s">
        <v>136</v>
      </c>
      <c r="J1558" t="s">
        <v>48</v>
      </c>
      <c r="K1558">
        <v>8</v>
      </c>
      <c r="L1558">
        <v>12621875</v>
      </c>
      <c r="M1558">
        <v>4381374</v>
      </c>
      <c r="N1558">
        <v>43</v>
      </c>
      <c r="O1558" t="s">
        <v>49</v>
      </c>
      <c r="P1558" t="s">
        <v>32</v>
      </c>
    </row>
    <row r="1559" spans="1:16" x14ac:dyDescent="0.35">
      <c r="A1559" t="s">
        <v>3137</v>
      </c>
      <c r="B1559" t="s">
        <v>3138</v>
      </c>
      <c r="C1559" t="s">
        <v>4178</v>
      </c>
      <c r="D1559" t="s">
        <v>4178</v>
      </c>
      <c r="E1559" t="s">
        <v>69</v>
      </c>
      <c r="F1559" s="1">
        <v>45414</v>
      </c>
      <c r="G1559">
        <v>2021</v>
      </c>
      <c r="H1559" t="s">
        <v>38</v>
      </c>
      <c r="I1559" t="s">
        <v>95</v>
      </c>
      <c r="J1559" t="s">
        <v>133</v>
      </c>
      <c r="K1559">
        <v>5.8</v>
      </c>
      <c r="L1559">
        <v>14810116</v>
      </c>
      <c r="M1559">
        <v>3703843</v>
      </c>
      <c r="N1559">
        <v>120</v>
      </c>
      <c r="O1559" t="s">
        <v>24</v>
      </c>
      <c r="P1559" t="s">
        <v>4181</v>
      </c>
    </row>
    <row r="1560" spans="1:16" x14ac:dyDescent="0.35">
      <c r="A1560" t="s">
        <v>3247</v>
      </c>
      <c r="B1560" t="s">
        <v>3248</v>
      </c>
      <c r="C1560" t="s">
        <v>84</v>
      </c>
      <c r="D1560" t="s">
        <v>94</v>
      </c>
      <c r="E1560" t="s">
        <v>69</v>
      </c>
      <c r="F1560" s="1">
        <v>45414</v>
      </c>
      <c r="G1560">
        <v>2016</v>
      </c>
      <c r="H1560" t="s">
        <v>121</v>
      </c>
      <c r="I1560" t="s">
        <v>4242</v>
      </c>
      <c r="J1560" t="s">
        <v>103</v>
      </c>
      <c r="K1560">
        <v>7.1</v>
      </c>
      <c r="L1560">
        <v>937838</v>
      </c>
      <c r="M1560">
        <v>420605</v>
      </c>
      <c r="N1560">
        <v>67</v>
      </c>
      <c r="O1560" t="s">
        <v>91</v>
      </c>
      <c r="P1560" t="s">
        <v>4181</v>
      </c>
    </row>
    <row r="1561" spans="1:16" x14ac:dyDescent="0.35">
      <c r="A1561" t="s">
        <v>387</v>
      </c>
      <c r="B1561" t="s">
        <v>388</v>
      </c>
      <c r="C1561" t="s">
        <v>84</v>
      </c>
      <c r="D1561" t="s">
        <v>4178</v>
      </c>
      <c r="E1561" t="s">
        <v>20</v>
      </c>
      <c r="F1561" s="1">
        <v>45415</v>
      </c>
      <c r="G1561">
        <v>2007</v>
      </c>
      <c r="H1561" t="s">
        <v>107</v>
      </c>
      <c r="I1561" t="s">
        <v>4202</v>
      </c>
      <c r="J1561" t="s">
        <v>48</v>
      </c>
      <c r="K1561">
        <v>5.5</v>
      </c>
      <c r="L1561">
        <v>18401649</v>
      </c>
      <c r="M1561">
        <v>942804</v>
      </c>
      <c r="N1561">
        <v>93</v>
      </c>
      <c r="O1561" t="s">
        <v>123</v>
      </c>
      <c r="P1561" t="s">
        <v>87</v>
      </c>
    </row>
    <row r="1562" spans="1:16" x14ac:dyDescent="0.35">
      <c r="A1562" t="s">
        <v>2890</v>
      </c>
      <c r="B1562" t="s">
        <v>2891</v>
      </c>
      <c r="C1562" t="s">
        <v>84</v>
      </c>
      <c r="D1562" t="s">
        <v>90</v>
      </c>
      <c r="E1562" t="s">
        <v>45</v>
      </c>
      <c r="F1562" s="1">
        <v>45417</v>
      </c>
      <c r="G1562">
        <v>2007</v>
      </c>
      <c r="H1562" t="s">
        <v>38</v>
      </c>
      <c r="I1562" t="s">
        <v>4296</v>
      </c>
      <c r="J1562" t="s">
        <v>23</v>
      </c>
      <c r="K1562">
        <v>7.5</v>
      </c>
      <c r="L1562">
        <v>24409460</v>
      </c>
      <c r="M1562">
        <v>2620029</v>
      </c>
      <c r="N1562">
        <v>73</v>
      </c>
      <c r="O1562" t="s">
        <v>4178</v>
      </c>
      <c r="P1562" t="s">
        <v>50</v>
      </c>
    </row>
    <row r="1563" spans="1:16" x14ac:dyDescent="0.35">
      <c r="A1563" t="s">
        <v>3337</v>
      </c>
      <c r="B1563" t="s">
        <v>3338</v>
      </c>
      <c r="C1563" t="s">
        <v>84</v>
      </c>
      <c r="D1563" t="s">
        <v>156</v>
      </c>
      <c r="E1563" t="s">
        <v>55</v>
      </c>
      <c r="F1563" s="1">
        <v>45419</v>
      </c>
      <c r="G1563">
        <v>2000</v>
      </c>
      <c r="H1563" t="s">
        <v>46</v>
      </c>
      <c r="I1563" t="s">
        <v>4325</v>
      </c>
      <c r="J1563" t="s">
        <v>103</v>
      </c>
      <c r="K1563">
        <v>8.6</v>
      </c>
      <c r="L1563">
        <v>6810333</v>
      </c>
      <c r="M1563">
        <v>742314</v>
      </c>
      <c r="N1563">
        <v>91</v>
      </c>
      <c r="O1563" t="s">
        <v>58</v>
      </c>
      <c r="P1563" t="s">
        <v>87</v>
      </c>
    </row>
    <row r="1564" spans="1:16" x14ac:dyDescent="0.35">
      <c r="A1564" t="s">
        <v>4089</v>
      </c>
      <c r="B1564" t="s">
        <v>4090</v>
      </c>
      <c r="C1564" t="s">
        <v>84</v>
      </c>
      <c r="D1564" t="s">
        <v>94</v>
      </c>
      <c r="E1564" t="s">
        <v>28</v>
      </c>
      <c r="F1564" s="1">
        <v>45419</v>
      </c>
      <c r="G1564">
        <v>2020</v>
      </c>
      <c r="H1564" t="s">
        <v>85</v>
      </c>
      <c r="I1564" t="s">
        <v>4259</v>
      </c>
      <c r="J1564" t="s">
        <v>23</v>
      </c>
      <c r="K1564">
        <v>5.2</v>
      </c>
      <c r="L1564">
        <v>24155870</v>
      </c>
      <c r="M1564">
        <v>4358575</v>
      </c>
      <c r="N1564">
        <v>93</v>
      </c>
      <c r="O1564" t="s">
        <v>65</v>
      </c>
      <c r="P1564" t="s">
        <v>32</v>
      </c>
    </row>
    <row r="1565" spans="1:16" x14ac:dyDescent="0.35">
      <c r="A1565" t="s">
        <v>3964</v>
      </c>
      <c r="B1565" t="s">
        <v>3965</v>
      </c>
      <c r="C1565" t="s">
        <v>84</v>
      </c>
      <c r="D1565" t="s">
        <v>19</v>
      </c>
      <c r="E1565" t="s">
        <v>45</v>
      </c>
      <c r="F1565" s="1">
        <v>45424</v>
      </c>
      <c r="G1565">
        <v>2010</v>
      </c>
      <c r="H1565" t="s">
        <v>85</v>
      </c>
      <c r="I1565" t="s">
        <v>4210</v>
      </c>
      <c r="J1565" t="s">
        <v>72</v>
      </c>
      <c r="K1565">
        <v>5.6</v>
      </c>
      <c r="L1565">
        <v>17917900</v>
      </c>
      <c r="M1565">
        <v>404280</v>
      </c>
      <c r="N1565">
        <v>81</v>
      </c>
      <c r="O1565" t="s">
        <v>4178</v>
      </c>
      <c r="P1565" t="s">
        <v>50</v>
      </c>
    </row>
    <row r="1566" spans="1:16" x14ac:dyDescent="0.35">
      <c r="A1566" t="s">
        <v>214</v>
      </c>
      <c r="B1566" t="s">
        <v>215</v>
      </c>
      <c r="C1566" t="s">
        <v>53</v>
      </c>
      <c r="D1566" t="s">
        <v>36</v>
      </c>
      <c r="E1566" t="s">
        <v>20</v>
      </c>
      <c r="F1566" s="1">
        <v>45426</v>
      </c>
      <c r="G1566">
        <v>2001</v>
      </c>
      <c r="H1566" t="s">
        <v>63</v>
      </c>
      <c r="I1566" t="s">
        <v>95</v>
      </c>
      <c r="J1566" t="s">
        <v>30</v>
      </c>
      <c r="K1566">
        <v>4.5999999999999996</v>
      </c>
      <c r="L1566">
        <v>-364</v>
      </c>
      <c r="M1566">
        <v>2548945</v>
      </c>
      <c r="N1566">
        <v>62</v>
      </c>
      <c r="O1566" t="s">
        <v>65</v>
      </c>
      <c r="P1566" t="s">
        <v>4181</v>
      </c>
    </row>
    <row r="1567" spans="1:16" x14ac:dyDescent="0.35">
      <c r="A1567" t="s">
        <v>1604</v>
      </c>
      <c r="B1567" t="s">
        <v>1605</v>
      </c>
      <c r="C1567" t="s">
        <v>84</v>
      </c>
      <c r="D1567" t="s">
        <v>94</v>
      </c>
      <c r="E1567" t="s">
        <v>55</v>
      </c>
      <c r="F1567" s="1">
        <v>45426</v>
      </c>
      <c r="G1567">
        <v>2019</v>
      </c>
      <c r="H1567" t="s">
        <v>81</v>
      </c>
      <c r="I1567" t="s">
        <v>4321</v>
      </c>
      <c r="J1567" t="s">
        <v>4178</v>
      </c>
      <c r="K1567">
        <v>8.5</v>
      </c>
      <c r="L1567">
        <v>1767534</v>
      </c>
      <c r="M1567">
        <v>3766005</v>
      </c>
      <c r="N1567">
        <v>94</v>
      </c>
      <c r="O1567" t="s">
        <v>123</v>
      </c>
      <c r="P1567" t="s">
        <v>4181</v>
      </c>
    </row>
    <row r="1568" spans="1:16" x14ac:dyDescent="0.35">
      <c r="A1568" t="s">
        <v>3632</v>
      </c>
      <c r="B1568" t="s">
        <v>3633</v>
      </c>
      <c r="C1568" t="s">
        <v>84</v>
      </c>
      <c r="D1568" t="s">
        <v>54</v>
      </c>
      <c r="E1568" t="s">
        <v>55</v>
      </c>
      <c r="F1568" s="1">
        <v>45426</v>
      </c>
      <c r="G1568">
        <v>2012</v>
      </c>
      <c r="H1568" t="s">
        <v>107</v>
      </c>
      <c r="I1568" t="s">
        <v>4275</v>
      </c>
      <c r="J1568" t="s">
        <v>40</v>
      </c>
      <c r="K1568">
        <v>8.8000000000000007</v>
      </c>
      <c r="L1568">
        <v>21585753</v>
      </c>
      <c r="M1568">
        <v>826098</v>
      </c>
      <c r="N1568">
        <v>100</v>
      </c>
      <c r="O1568" t="s">
        <v>31</v>
      </c>
      <c r="P1568" t="s">
        <v>87</v>
      </c>
    </row>
    <row r="1569" spans="1:16" x14ac:dyDescent="0.35">
      <c r="A1569" t="s">
        <v>2000</v>
      </c>
      <c r="B1569" t="s">
        <v>2001</v>
      </c>
      <c r="C1569" t="s">
        <v>53</v>
      </c>
      <c r="D1569" t="s">
        <v>36</v>
      </c>
      <c r="E1569" t="s">
        <v>4178</v>
      </c>
      <c r="F1569" s="1">
        <v>45428</v>
      </c>
      <c r="G1569">
        <v>2021</v>
      </c>
      <c r="H1569" t="s">
        <v>114</v>
      </c>
      <c r="I1569" t="s">
        <v>162</v>
      </c>
      <c r="J1569" t="s">
        <v>72</v>
      </c>
      <c r="K1569">
        <v>6.7</v>
      </c>
      <c r="L1569">
        <v>10422599</v>
      </c>
      <c r="M1569">
        <v>811998</v>
      </c>
      <c r="N1569">
        <v>52</v>
      </c>
      <c r="O1569" t="s">
        <v>104</v>
      </c>
      <c r="P1569" t="s">
        <v>87</v>
      </c>
    </row>
    <row r="1570" spans="1:16" x14ac:dyDescent="0.35">
      <c r="A1570" t="s">
        <v>3577</v>
      </c>
      <c r="B1570" t="s">
        <v>3578</v>
      </c>
      <c r="C1570" t="s">
        <v>53</v>
      </c>
      <c r="D1570" t="s">
        <v>61</v>
      </c>
      <c r="E1570" t="s">
        <v>45</v>
      </c>
      <c r="F1570" s="1">
        <v>45430</v>
      </c>
      <c r="G1570">
        <v>2003</v>
      </c>
      <c r="H1570" t="s">
        <v>4178</v>
      </c>
      <c r="I1570" t="s">
        <v>95</v>
      </c>
      <c r="J1570" t="s">
        <v>72</v>
      </c>
      <c r="K1570">
        <v>5</v>
      </c>
      <c r="L1570">
        <v>-297</v>
      </c>
      <c r="M1570">
        <v>2736562</v>
      </c>
      <c r="N1570">
        <v>81</v>
      </c>
      <c r="O1570" t="s">
        <v>31</v>
      </c>
      <c r="P1570" t="s">
        <v>4181</v>
      </c>
    </row>
    <row r="1571" spans="1:16" x14ac:dyDescent="0.35">
      <c r="A1571" t="s">
        <v>3604</v>
      </c>
      <c r="B1571" t="s">
        <v>3605</v>
      </c>
      <c r="C1571" t="s">
        <v>84</v>
      </c>
      <c r="D1571" t="s">
        <v>75</v>
      </c>
      <c r="E1571" t="s">
        <v>69</v>
      </c>
      <c r="F1571" s="1">
        <v>45438</v>
      </c>
      <c r="G1571">
        <v>2007</v>
      </c>
      <c r="H1571" t="s">
        <v>21</v>
      </c>
      <c r="I1571" t="s">
        <v>4324</v>
      </c>
      <c r="J1571" t="s">
        <v>30</v>
      </c>
      <c r="K1571">
        <v>5.7</v>
      </c>
      <c r="L1571">
        <v>1732242</v>
      </c>
      <c r="M1571">
        <v>1916173</v>
      </c>
      <c r="N1571">
        <v>89</v>
      </c>
      <c r="O1571" t="s">
        <v>4178</v>
      </c>
      <c r="P1571" t="s">
        <v>4178</v>
      </c>
    </row>
    <row r="1572" spans="1:16" x14ac:dyDescent="0.35">
      <c r="A1572" t="s">
        <v>3305</v>
      </c>
      <c r="B1572" t="s">
        <v>3306</v>
      </c>
      <c r="C1572" t="s">
        <v>84</v>
      </c>
      <c r="D1572" t="s">
        <v>90</v>
      </c>
      <c r="E1572" t="s">
        <v>20</v>
      </c>
      <c r="F1572" s="1">
        <v>45441</v>
      </c>
      <c r="G1572">
        <v>2010</v>
      </c>
      <c r="H1572" t="s">
        <v>107</v>
      </c>
      <c r="I1572" t="s">
        <v>4315</v>
      </c>
      <c r="J1572" t="s">
        <v>133</v>
      </c>
      <c r="K1572">
        <v>4.9000000000000004</v>
      </c>
      <c r="L1572">
        <v>7513190</v>
      </c>
      <c r="M1572">
        <v>2619662</v>
      </c>
      <c r="N1572">
        <v>44</v>
      </c>
      <c r="O1572" t="s">
        <v>31</v>
      </c>
      <c r="P1572" t="s">
        <v>50</v>
      </c>
    </row>
    <row r="1573" spans="1:16" x14ac:dyDescent="0.35">
      <c r="A1573" t="s">
        <v>741</v>
      </c>
      <c r="B1573" t="s">
        <v>742</v>
      </c>
      <c r="C1573" t="s">
        <v>4178</v>
      </c>
      <c r="D1573" t="s">
        <v>27</v>
      </c>
      <c r="E1573" t="s">
        <v>62</v>
      </c>
      <c r="F1573" s="1">
        <v>45442</v>
      </c>
      <c r="G1573">
        <v>2006</v>
      </c>
      <c r="H1573" t="s">
        <v>21</v>
      </c>
      <c r="I1573" t="s">
        <v>56</v>
      </c>
      <c r="J1573" t="s">
        <v>153</v>
      </c>
      <c r="K1573">
        <v>8</v>
      </c>
      <c r="L1573">
        <v>21827583</v>
      </c>
      <c r="M1573">
        <v>2398229</v>
      </c>
      <c r="N1573">
        <v>76</v>
      </c>
      <c r="O1573" t="s">
        <v>58</v>
      </c>
      <c r="P1573" t="s">
        <v>4178</v>
      </c>
    </row>
    <row r="1574" spans="1:16" x14ac:dyDescent="0.35">
      <c r="A1574" t="s">
        <v>813</v>
      </c>
      <c r="B1574" t="s">
        <v>814</v>
      </c>
      <c r="C1574" t="s">
        <v>84</v>
      </c>
      <c r="D1574" t="s">
        <v>27</v>
      </c>
      <c r="E1574" t="s">
        <v>99</v>
      </c>
      <c r="F1574" s="1">
        <v>45445</v>
      </c>
      <c r="G1574">
        <v>2002</v>
      </c>
      <c r="H1574" t="s">
        <v>81</v>
      </c>
      <c r="I1574" t="s">
        <v>4189</v>
      </c>
      <c r="J1574" t="s">
        <v>72</v>
      </c>
      <c r="K1574">
        <v>5</v>
      </c>
      <c r="L1574">
        <v>17957175</v>
      </c>
      <c r="M1574">
        <v>4301123</v>
      </c>
      <c r="N1574">
        <v>73</v>
      </c>
      <c r="O1574" t="s">
        <v>31</v>
      </c>
      <c r="P1574" t="s">
        <v>4181</v>
      </c>
    </row>
    <row r="1575" spans="1:16" x14ac:dyDescent="0.35">
      <c r="A1575" t="s">
        <v>2958</v>
      </c>
      <c r="B1575" t="s">
        <v>2959</v>
      </c>
      <c r="C1575" t="s">
        <v>84</v>
      </c>
      <c r="D1575" t="s">
        <v>36</v>
      </c>
      <c r="E1575" t="s">
        <v>113</v>
      </c>
      <c r="F1575" s="1">
        <v>45446</v>
      </c>
      <c r="G1575">
        <v>2021</v>
      </c>
      <c r="H1575" t="s">
        <v>46</v>
      </c>
      <c r="I1575" t="s">
        <v>4192</v>
      </c>
      <c r="J1575" t="s">
        <v>153</v>
      </c>
      <c r="K1575">
        <v>6.2</v>
      </c>
      <c r="L1575">
        <v>18569547</v>
      </c>
      <c r="M1575">
        <v>2397054</v>
      </c>
      <c r="N1575">
        <v>76</v>
      </c>
      <c r="O1575" t="s">
        <v>65</v>
      </c>
      <c r="P1575" t="s">
        <v>87</v>
      </c>
    </row>
    <row r="1576" spans="1:16" x14ac:dyDescent="0.35">
      <c r="A1576" t="s">
        <v>1911</v>
      </c>
      <c r="B1576" t="s">
        <v>1912</v>
      </c>
      <c r="C1576" t="s">
        <v>4178</v>
      </c>
      <c r="D1576" t="s">
        <v>4178</v>
      </c>
      <c r="E1576" t="s">
        <v>113</v>
      </c>
      <c r="F1576" s="1">
        <v>45447</v>
      </c>
      <c r="G1576">
        <v>2016</v>
      </c>
      <c r="H1576" t="s">
        <v>63</v>
      </c>
      <c r="I1576" t="s">
        <v>118</v>
      </c>
      <c r="J1576" t="s">
        <v>103</v>
      </c>
      <c r="K1576">
        <v>7.7</v>
      </c>
      <c r="L1576">
        <v>13715409</v>
      </c>
      <c r="M1576">
        <v>1749031</v>
      </c>
      <c r="N1576">
        <v>77</v>
      </c>
      <c r="O1576" t="s">
        <v>31</v>
      </c>
      <c r="P1576" t="s">
        <v>32</v>
      </c>
    </row>
    <row r="1577" spans="1:16" x14ac:dyDescent="0.35">
      <c r="A1577" t="s">
        <v>3962</v>
      </c>
      <c r="B1577" t="s">
        <v>3963</v>
      </c>
      <c r="C1577" t="s">
        <v>84</v>
      </c>
      <c r="D1577" t="s">
        <v>4178</v>
      </c>
      <c r="E1577" t="s">
        <v>37</v>
      </c>
      <c r="F1577" s="1">
        <v>45447</v>
      </c>
      <c r="G1577">
        <v>2010</v>
      </c>
      <c r="H1577" t="s">
        <v>114</v>
      </c>
      <c r="I1577" t="s">
        <v>4290</v>
      </c>
      <c r="J1577" t="s">
        <v>72</v>
      </c>
      <c r="K1577">
        <v>9.3000000000000007</v>
      </c>
      <c r="L1577">
        <v>5410431</v>
      </c>
      <c r="M1577">
        <v>4505425</v>
      </c>
      <c r="N1577">
        <v>82</v>
      </c>
      <c r="O1577" t="s">
        <v>31</v>
      </c>
      <c r="P1577" t="s">
        <v>50</v>
      </c>
    </row>
    <row r="1578" spans="1:16" x14ac:dyDescent="0.35">
      <c r="A1578" t="s">
        <v>382</v>
      </c>
      <c r="B1578" t="s">
        <v>383</v>
      </c>
      <c r="C1578" t="s">
        <v>53</v>
      </c>
      <c r="D1578" t="s">
        <v>36</v>
      </c>
      <c r="E1578" t="s">
        <v>69</v>
      </c>
      <c r="F1578" s="1">
        <v>45455</v>
      </c>
      <c r="G1578">
        <v>2002</v>
      </c>
      <c r="H1578" t="s">
        <v>107</v>
      </c>
      <c r="I1578" t="s">
        <v>4178</v>
      </c>
      <c r="J1578" t="s">
        <v>96</v>
      </c>
      <c r="K1578">
        <v>5.4</v>
      </c>
      <c r="L1578">
        <v>14879834</v>
      </c>
      <c r="M1578">
        <v>4726918</v>
      </c>
      <c r="N1578">
        <v>76</v>
      </c>
      <c r="O1578" t="s">
        <v>31</v>
      </c>
      <c r="P1578" t="s">
        <v>32</v>
      </c>
    </row>
    <row r="1579" spans="1:16" x14ac:dyDescent="0.35">
      <c r="A1579" t="s">
        <v>1818</v>
      </c>
      <c r="B1579" t="s">
        <v>1819</v>
      </c>
      <c r="C1579" t="s">
        <v>53</v>
      </c>
      <c r="D1579" t="s">
        <v>156</v>
      </c>
      <c r="E1579" t="s">
        <v>99</v>
      </c>
      <c r="F1579" s="1">
        <v>45457</v>
      </c>
      <c r="G1579">
        <v>2016</v>
      </c>
      <c r="H1579" t="s">
        <v>63</v>
      </c>
      <c r="I1579" t="s">
        <v>64</v>
      </c>
      <c r="J1579" t="s">
        <v>72</v>
      </c>
      <c r="K1579">
        <v>11.2</v>
      </c>
      <c r="L1579">
        <v>2525404</v>
      </c>
      <c r="M1579">
        <v>3762811</v>
      </c>
      <c r="N1579">
        <v>47</v>
      </c>
      <c r="O1579" t="s">
        <v>49</v>
      </c>
      <c r="P1579" t="s">
        <v>50</v>
      </c>
    </row>
    <row r="1580" spans="1:16" x14ac:dyDescent="0.35">
      <c r="A1580" t="s">
        <v>2661</v>
      </c>
      <c r="B1580" t="s">
        <v>2662</v>
      </c>
      <c r="C1580" t="s">
        <v>4178</v>
      </c>
      <c r="D1580" t="s">
        <v>4178</v>
      </c>
      <c r="E1580" t="s">
        <v>62</v>
      </c>
      <c r="F1580" s="1">
        <v>45458</v>
      </c>
      <c r="G1580">
        <v>2012</v>
      </c>
      <c r="H1580" t="s">
        <v>46</v>
      </c>
      <c r="I1580" t="s">
        <v>56</v>
      </c>
      <c r="J1580" t="s">
        <v>23</v>
      </c>
      <c r="K1580">
        <v>7.7</v>
      </c>
      <c r="L1580">
        <v>14757395</v>
      </c>
      <c r="M1580">
        <v>1320038</v>
      </c>
      <c r="N1580">
        <v>89</v>
      </c>
      <c r="O1580" t="s">
        <v>49</v>
      </c>
      <c r="P1580" t="s">
        <v>50</v>
      </c>
    </row>
    <row r="1581" spans="1:16" x14ac:dyDescent="0.35">
      <c r="A1581" t="s">
        <v>2969</v>
      </c>
      <c r="B1581" t="s">
        <v>2970</v>
      </c>
      <c r="C1581" t="s">
        <v>84</v>
      </c>
      <c r="D1581" t="s">
        <v>54</v>
      </c>
      <c r="E1581" t="s">
        <v>99</v>
      </c>
      <c r="F1581" s="1">
        <v>45458</v>
      </c>
      <c r="G1581">
        <v>2013</v>
      </c>
      <c r="H1581" t="s">
        <v>85</v>
      </c>
      <c r="I1581" t="s">
        <v>4190</v>
      </c>
      <c r="J1581" t="s">
        <v>153</v>
      </c>
      <c r="K1581">
        <v>8.3000000000000007</v>
      </c>
      <c r="L1581">
        <v>14721408</v>
      </c>
      <c r="M1581">
        <v>1317914</v>
      </c>
      <c r="N1581">
        <v>97</v>
      </c>
      <c r="O1581" t="s">
        <v>4178</v>
      </c>
      <c r="P1581" t="s">
        <v>50</v>
      </c>
    </row>
    <row r="1582" spans="1:16" x14ac:dyDescent="0.35">
      <c r="A1582" t="s">
        <v>3180</v>
      </c>
      <c r="B1582" t="s">
        <v>3181</v>
      </c>
      <c r="C1582" t="s">
        <v>84</v>
      </c>
      <c r="D1582" t="s">
        <v>75</v>
      </c>
      <c r="E1582" t="s">
        <v>20</v>
      </c>
      <c r="F1582" s="1">
        <v>45459</v>
      </c>
      <c r="G1582">
        <v>2012</v>
      </c>
      <c r="H1582" t="s">
        <v>81</v>
      </c>
      <c r="I1582" t="s">
        <v>4371</v>
      </c>
      <c r="J1582" t="s">
        <v>4178</v>
      </c>
      <c r="K1582">
        <v>9.3000000000000007</v>
      </c>
      <c r="L1582">
        <v>6011024</v>
      </c>
      <c r="M1582">
        <v>4410717</v>
      </c>
      <c r="N1582">
        <v>120</v>
      </c>
      <c r="O1582" t="s">
        <v>31</v>
      </c>
      <c r="P1582" t="s">
        <v>50</v>
      </c>
    </row>
    <row r="1583" spans="1:16" x14ac:dyDescent="0.35">
      <c r="A1583" t="s">
        <v>2842</v>
      </c>
      <c r="B1583" t="s">
        <v>2843</v>
      </c>
      <c r="C1583" t="s">
        <v>84</v>
      </c>
      <c r="D1583" t="s">
        <v>90</v>
      </c>
      <c r="E1583" t="s">
        <v>99</v>
      </c>
      <c r="F1583" s="1">
        <v>45473</v>
      </c>
      <c r="G1583">
        <v>2000</v>
      </c>
      <c r="H1583" t="s">
        <v>107</v>
      </c>
      <c r="I1583" t="s">
        <v>4262</v>
      </c>
      <c r="J1583" t="s">
        <v>30</v>
      </c>
      <c r="K1583">
        <v>8.6999999999999993</v>
      </c>
      <c r="L1583">
        <v>12565231</v>
      </c>
      <c r="M1583">
        <v>513129</v>
      </c>
      <c r="N1583">
        <v>41</v>
      </c>
      <c r="O1583" t="s">
        <v>41</v>
      </c>
      <c r="P1583" t="s">
        <v>4178</v>
      </c>
    </row>
    <row r="1584" spans="1:16" x14ac:dyDescent="0.35">
      <c r="A1584" t="s">
        <v>3249</v>
      </c>
      <c r="B1584" t="s">
        <v>3250</v>
      </c>
      <c r="C1584" t="s">
        <v>53</v>
      </c>
      <c r="D1584" t="s">
        <v>27</v>
      </c>
      <c r="E1584" t="s">
        <v>113</v>
      </c>
      <c r="F1584" s="1">
        <v>45482</v>
      </c>
      <c r="G1584">
        <v>2020</v>
      </c>
      <c r="H1584" t="s">
        <v>121</v>
      </c>
      <c r="I1584" t="s">
        <v>118</v>
      </c>
      <c r="J1584" t="s">
        <v>96</v>
      </c>
      <c r="K1584">
        <v>8.4</v>
      </c>
      <c r="L1584">
        <v>6019782</v>
      </c>
      <c r="M1584">
        <v>2945333</v>
      </c>
      <c r="N1584">
        <v>66</v>
      </c>
      <c r="O1584" t="s">
        <v>41</v>
      </c>
      <c r="P1584" t="s">
        <v>4178</v>
      </c>
    </row>
    <row r="1585" spans="1:16" x14ac:dyDescent="0.35">
      <c r="A1585" t="s">
        <v>1388</v>
      </c>
      <c r="B1585" t="s">
        <v>4312</v>
      </c>
      <c r="C1585" t="s">
        <v>53</v>
      </c>
      <c r="D1585" t="s">
        <v>75</v>
      </c>
      <c r="E1585" t="s">
        <v>62</v>
      </c>
      <c r="F1585" s="1">
        <v>45485</v>
      </c>
      <c r="G1585">
        <v>2018</v>
      </c>
      <c r="H1585" t="s">
        <v>114</v>
      </c>
      <c r="I1585" t="s">
        <v>39</v>
      </c>
      <c r="J1585" t="s">
        <v>57</v>
      </c>
      <c r="K1585">
        <v>5.5</v>
      </c>
      <c r="L1585">
        <v>19638211</v>
      </c>
      <c r="M1585">
        <v>98107</v>
      </c>
      <c r="N1585">
        <v>57</v>
      </c>
      <c r="O1585" t="s">
        <v>104</v>
      </c>
      <c r="P1585" t="s">
        <v>50</v>
      </c>
    </row>
    <row r="1586" spans="1:16" x14ac:dyDescent="0.35">
      <c r="A1586" t="s">
        <v>1308</v>
      </c>
      <c r="B1586" t="s">
        <v>1309</v>
      </c>
      <c r="C1586" t="s">
        <v>84</v>
      </c>
      <c r="D1586" t="s">
        <v>90</v>
      </c>
      <c r="E1586" t="s">
        <v>20</v>
      </c>
      <c r="F1586" s="1">
        <v>45486</v>
      </c>
      <c r="G1586">
        <v>2009</v>
      </c>
      <c r="H1586" t="s">
        <v>107</v>
      </c>
      <c r="I1586" t="s">
        <v>4214</v>
      </c>
      <c r="J1586" t="s">
        <v>48</v>
      </c>
      <c r="K1586">
        <v>7.7</v>
      </c>
      <c r="L1586">
        <v>24645271</v>
      </c>
      <c r="M1586">
        <v>2541604</v>
      </c>
      <c r="N1586">
        <v>89</v>
      </c>
      <c r="O1586" t="s">
        <v>91</v>
      </c>
      <c r="P1586" t="s">
        <v>87</v>
      </c>
    </row>
    <row r="1587" spans="1:16" x14ac:dyDescent="0.35">
      <c r="A1587" t="s">
        <v>621</v>
      </c>
      <c r="B1587" t="s">
        <v>622</v>
      </c>
      <c r="C1587" t="s">
        <v>53</v>
      </c>
      <c r="D1587" t="s">
        <v>90</v>
      </c>
      <c r="E1587" t="s">
        <v>69</v>
      </c>
      <c r="F1587" s="1">
        <v>45487</v>
      </c>
      <c r="G1587">
        <v>2022</v>
      </c>
      <c r="H1587" t="s">
        <v>21</v>
      </c>
      <c r="I1587" t="s">
        <v>56</v>
      </c>
      <c r="J1587" t="s">
        <v>57</v>
      </c>
      <c r="K1587">
        <v>7.5</v>
      </c>
      <c r="L1587">
        <v>-870</v>
      </c>
      <c r="M1587">
        <v>4000701</v>
      </c>
      <c r="N1587">
        <v>80</v>
      </c>
      <c r="O1587" t="s">
        <v>58</v>
      </c>
      <c r="P1587" t="s">
        <v>32</v>
      </c>
    </row>
    <row r="1588" spans="1:16" x14ac:dyDescent="0.35">
      <c r="A1588" t="s">
        <v>1156</v>
      </c>
      <c r="B1588" t="s">
        <v>1155</v>
      </c>
      <c r="C1588" t="s">
        <v>84</v>
      </c>
      <c r="D1588" t="s">
        <v>54</v>
      </c>
      <c r="E1588" t="s">
        <v>4196</v>
      </c>
      <c r="F1588" s="1">
        <v>45490</v>
      </c>
      <c r="G1588">
        <v>2002</v>
      </c>
      <c r="H1588" t="s">
        <v>38</v>
      </c>
      <c r="I1588" t="s">
        <v>4277</v>
      </c>
      <c r="J1588" t="s">
        <v>40</v>
      </c>
      <c r="K1588">
        <v>7</v>
      </c>
      <c r="L1588">
        <v>22581731</v>
      </c>
      <c r="M1588">
        <v>701346</v>
      </c>
      <c r="N1588">
        <v>81</v>
      </c>
      <c r="O1588" t="s">
        <v>24</v>
      </c>
      <c r="P1588" t="s">
        <v>87</v>
      </c>
    </row>
    <row r="1589" spans="1:16" x14ac:dyDescent="0.35">
      <c r="A1589" t="s">
        <v>202</v>
      </c>
      <c r="B1589" t="s">
        <v>203</v>
      </c>
      <c r="C1589" t="s">
        <v>84</v>
      </c>
      <c r="D1589" t="s">
        <v>90</v>
      </c>
      <c r="E1589" t="s">
        <v>28</v>
      </c>
      <c r="F1589" s="1">
        <v>45492</v>
      </c>
      <c r="G1589">
        <v>2011</v>
      </c>
      <c r="H1589" t="s">
        <v>107</v>
      </c>
      <c r="I1589" t="s">
        <v>4205</v>
      </c>
      <c r="J1589" t="s">
        <v>96</v>
      </c>
      <c r="K1589">
        <v>7.8</v>
      </c>
      <c r="L1589">
        <v>7903711</v>
      </c>
      <c r="M1589">
        <v>3749188</v>
      </c>
      <c r="N1589">
        <v>89</v>
      </c>
      <c r="O1589" t="s">
        <v>49</v>
      </c>
      <c r="P1589" t="s">
        <v>4181</v>
      </c>
    </row>
    <row r="1590" spans="1:16" x14ac:dyDescent="0.35">
      <c r="A1590" t="s">
        <v>2519</v>
      </c>
      <c r="B1590" t="s">
        <v>2520</v>
      </c>
      <c r="C1590" t="s">
        <v>84</v>
      </c>
      <c r="D1590" t="s">
        <v>36</v>
      </c>
      <c r="E1590" t="s">
        <v>80</v>
      </c>
      <c r="F1590" s="1">
        <v>45493</v>
      </c>
      <c r="G1590">
        <v>2013</v>
      </c>
      <c r="H1590" t="s">
        <v>114</v>
      </c>
      <c r="I1590" t="s">
        <v>4200</v>
      </c>
      <c r="J1590" t="s">
        <v>48</v>
      </c>
      <c r="K1590">
        <v>5.7</v>
      </c>
      <c r="L1590">
        <v>2853762</v>
      </c>
      <c r="M1590">
        <v>864685</v>
      </c>
      <c r="N1590">
        <v>73</v>
      </c>
      <c r="O1590" t="s">
        <v>65</v>
      </c>
      <c r="P1590" t="s">
        <v>87</v>
      </c>
    </row>
    <row r="1591" spans="1:16" x14ac:dyDescent="0.35">
      <c r="A1591" t="s">
        <v>2402</v>
      </c>
      <c r="B1591" t="s">
        <v>2403</v>
      </c>
      <c r="C1591" t="s">
        <v>84</v>
      </c>
      <c r="D1591" t="s">
        <v>4178</v>
      </c>
      <c r="E1591" t="s">
        <v>4196</v>
      </c>
      <c r="F1591" s="1">
        <v>45494</v>
      </c>
      <c r="G1591">
        <v>2025</v>
      </c>
      <c r="H1591" t="s">
        <v>4178</v>
      </c>
      <c r="I1591" t="s">
        <v>4334</v>
      </c>
      <c r="J1591" t="s">
        <v>96</v>
      </c>
      <c r="K1591">
        <v>4.8</v>
      </c>
      <c r="L1591">
        <v>4596049</v>
      </c>
      <c r="M1591">
        <v>1324545</v>
      </c>
      <c r="N1591">
        <v>99</v>
      </c>
      <c r="O1591" t="s">
        <v>104</v>
      </c>
      <c r="P1591" t="s">
        <v>4178</v>
      </c>
    </row>
    <row r="1592" spans="1:16" x14ac:dyDescent="0.35">
      <c r="A1592" t="s">
        <v>2870</v>
      </c>
      <c r="B1592" t="s">
        <v>2871</v>
      </c>
      <c r="C1592" t="s">
        <v>4178</v>
      </c>
      <c r="D1592" t="s">
        <v>75</v>
      </c>
      <c r="E1592" t="s">
        <v>4178</v>
      </c>
      <c r="F1592" s="1">
        <v>45495</v>
      </c>
      <c r="G1592">
        <v>2003</v>
      </c>
      <c r="H1592" t="s">
        <v>85</v>
      </c>
      <c r="I1592" t="s">
        <v>136</v>
      </c>
      <c r="J1592" t="s">
        <v>4178</v>
      </c>
      <c r="K1592">
        <v>6.9</v>
      </c>
      <c r="L1592">
        <v>9786742</v>
      </c>
      <c r="M1592">
        <v>1679958</v>
      </c>
      <c r="N1592">
        <v>43</v>
      </c>
      <c r="O1592" t="s">
        <v>58</v>
      </c>
      <c r="P1592" t="s">
        <v>4178</v>
      </c>
    </row>
    <row r="1593" spans="1:16" x14ac:dyDescent="0.35">
      <c r="A1593" t="s">
        <v>1828</v>
      </c>
      <c r="B1593" t="s">
        <v>1829</v>
      </c>
      <c r="C1593" t="s">
        <v>4178</v>
      </c>
      <c r="D1593" t="s">
        <v>156</v>
      </c>
      <c r="E1593" t="s">
        <v>99</v>
      </c>
      <c r="F1593" s="1">
        <v>45496</v>
      </c>
      <c r="G1593">
        <v>2001</v>
      </c>
      <c r="H1593" t="s">
        <v>21</v>
      </c>
      <c r="I1593" t="s">
        <v>71</v>
      </c>
      <c r="J1593" t="s">
        <v>153</v>
      </c>
      <c r="K1593">
        <v>6.2</v>
      </c>
      <c r="L1593">
        <v>8460383</v>
      </c>
      <c r="M1593">
        <v>1034931</v>
      </c>
      <c r="N1593">
        <v>91</v>
      </c>
      <c r="O1593" t="s">
        <v>24</v>
      </c>
      <c r="P1593" t="s">
        <v>87</v>
      </c>
    </row>
    <row r="1594" spans="1:16" x14ac:dyDescent="0.35">
      <c r="A1594" t="s">
        <v>2060</v>
      </c>
      <c r="B1594" t="s">
        <v>2061</v>
      </c>
      <c r="C1594" t="s">
        <v>53</v>
      </c>
      <c r="D1594" t="s">
        <v>68</v>
      </c>
      <c r="E1594" t="s">
        <v>28</v>
      </c>
      <c r="F1594" s="1">
        <v>45496</v>
      </c>
      <c r="G1594">
        <v>2024</v>
      </c>
      <c r="H1594" t="s">
        <v>63</v>
      </c>
      <c r="I1594" t="s">
        <v>56</v>
      </c>
      <c r="J1594" t="s">
        <v>133</v>
      </c>
      <c r="K1594">
        <v>7.6</v>
      </c>
      <c r="L1594">
        <v>10049702</v>
      </c>
      <c r="M1594">
        <v>53803</v>
      </c>
      <c r="N1594">
        <v>90</v>
      </c>
      <c r="O1594" t="s">
        <v>123</v>
      </c>
      <c r="P1594" t="s">
        <v>87</v>
      </c>
    </row>
    <row r="1595" spans="1:16" x14ac:dyDescent="0.35">
      <c r="A1595" t="s">
        <v>1996</v>
      </c>
      <c r="B1595" t="s">
        <v>1997</v>
      </c>
      <c r="C1595" t="s">
        <v>53</v>
      </c>
      <c r="D1595" t="s">
        <v>75</v>
      </c>
      <c r="E1595" t="s">
        <v>55</v>
      </c>
      <c r="F1595" s="1">
        <v>45498</v>
      </c>
      <c r="G1595">
        <v>2026</v>
      </c>
      <c r="H1595" t="s">
        <v>4178</v>
      </c>
      <c r="I1595" t="s">
        <v>118</v>
      </c>
      <c r="J1595" t="s">
        <v>30</v>
      </c>
      <c r="K1595">
        <v>7.4</v>
      </c>
      <c r="L1595">
        <v>21626012</v>
      </c>
      <c r="M1595">
        <v>232716</v>
      </c>
      <c r="N1595">
        <v>120</v>
      </c>
      <c r="O1595" t="s">
        <v>123</v>
      </c>
      <c r="P1595" t="s">
        <v>4181</v>
      </c>
    </row>
    <row r="1596" spans="1:16" x14ac:dyDescent="0.35">
      <c r="A1596" t="s">
        <v>1952</v>
      </c>
      <c r="B1596" t="s">
        <v>1953</v>
      </c>
      <c r="C1596" t="s">
        <v>84</v>
      </c>
      <c r="D1596" t="s">
        <v>156</v>
      </c>
      <c r="E1596" t="s">
        <v>80</v>
      </c>
      <c r="F1596" s="1">
        <v>45499</v>
      </c>
      <c r="G1596">
        <v>2009</v>
      </c>
      <c r="H1596" t="s">
        <v>121</v>
      </c>
      <c r="I1596" t="s">
        <v>4218</v>
      </c>
      <c r="J1596" t="s">
        <v>153</v>
      </c>
      <c r="K1596">
        <v>6.6</v>
      </c>
      <c r="L1596">
        <v>10142541</v>
      </c>
      <c r="M1596">
        <v>4119115</v>
      </c>
      <c r="N1596">
        <v>89</v>
      </c>
      <c r="O1596" t="s">
        <v>104</v>
      </c>
      <c r="P1596" t="s">
        <v>4181</v>
      </c>
    </row>
    <row r="1597" spans="1:16" x14ac:dyDescent="0.35">
      <c r="A1597" t="s">
        <v>3816</v>
      </c>
      <c r="B1597" t="s">
        <v>4391</v>
      </c>
      <c r="C1597" t="s">
        <v>53</v>
      </c>
      <c r="D1597" t="s">
        <v>75</v>
      </c>
      <c r="E1597" t="s">
        <v>62</v>
      </c>
      <c r="F1597" s="1">
        <v>45504</v>
      </c>
      <c r="G1597">
        <v>2006</v>
      </c>
      <c r="H1597" t="s">
        <v>4178</v>
      </c>
      <c r="I1597" t="s">
        <v>39</v>
      </c>
      <c r="J1597" t="s">
        <v>103</v>
      </c>
      <c r="K1597">
        <v>6.6</v>
      </c>
      <c r="L1597">
        <v>18342175</v>
      </c>
      <c r="M1597">
        <v>106700</v>
      </c>
      <c r="N1597">
        <v>44</v>
      </c>
      <c r="O1597" t="s">
        <v>91</v>
      </c>
      <c r="P1597" t="s">
        <v>87</v>
      </c>
    </row>
    <row r="1598" spans="1:16" x14ac:dyDescent="0.35">
      <c r="A1598" t="s">
        <v>1141</v>
      </c>
      <c r="B1598" t="s">
        <v>1142</v>
      </c>
      <c r="C1598" t="s">
        <v>84</v>
      </c>
      <c r="D1598" t="s">
        <v>4178</v>
      </c>
      <c r="E1598" t="s">
        <v>113</v>
      </c>
      <c r="F1598" s="1">
        <v>45507</v>
      </c>
      <c r="G1598">
        <v>2002</v>
      </c>
      <c r="H1598" t="s">
        <v>85</v>
      </c>
      <c r="I1598" t="s">
        <v>4270</v>
      </c>
      <c r="J1598" t="s">
        <v>48</v>
      </c>
      <c r="K1598">
        <v>6.8</v>
      </c>
      <c r="L1598">
        <v>1040860</v>
      </c>
      <c r="M1598">
        <v>1903981</v>
      </c>
      <c r="N1598">
        <v>120</v>
      </c>
      <c r="O1598" t="s">
        <v>58</v>
      </c>
      <c r="P1598" t="s">
        <v>32</v>
      </c>
    </row>
    <row r="1599" spans="1:16" x14ac:dyDescent="0.35">
      <c r="A1599" t="s">
        <v>1180</v>
      </c>
      <c r="B1599" t="s">
        <v>1181</v>
      </c>
      <c r="C1599" t="s">
        <v>84</v>
      </c>
      <c r="D1599" t="s">
        <v>19</v>
      </c>
      <c r="E1599" t="s">
        <v>45</v>
      </c>
      <c r="F1599" s="1">
        <v>45508</v>
      </c>
      <c r="G1599">
        <v>2017</v>
      </c>
      <c r="H1599" t="s">
        <v>81</v>
      </c>
      <c r="I1599" t="s">
        <v>4190</v>
      </c>
      <c r="J1599" t="s">
        <v>153</v>
      </c>
      <c r="K1599">
        <v>8.1999999999999993</v>
      </c>
      <c r="L1599">
        <v>13996877</v>
      </c>
      <c r="M1599">
        <v>1937156</v>
      </c>
      <c r="N1599">
        <v>54</v>
      </c>
      <c r="O1599" t="s">
        <v>91</v>
      </c>
      <c r="P1599" t="s">
        <v>32</v>
      </c>
    </row>
    <row r="1600" spans="1:16" x14ac:dyDescent="0.35">
      <c r="A1600" t="s">
        <v>444</v>
      </c>
      <c r="B1600" t="s">
        <v>445</v>
      </c>
      <c r="C1600" t="s">
        <v>4178</v>
      </c>
      <c r="D1600" t="s">
        <v>19</v>
      </c>
      <c r="E1600" t="s">
        <v>113</v>
      </c>
      <c r="F1600" s="1">
        <v>45511</v>
      </c>
      <c r="G1600">
        <v>2004</v>
      </c>
      <c r="H1600" t="s">
        <v>121</v>
      </c>
      <c r="I1600" t="s">
        <v>71</v>
      </c>
      <c r="J1600" t="s">
        <v>40</v>
      </c>
      <c r="K1600">
        <v>8.8000000000000007</v>
      </c>
      <c r="L1600">
        <v>15203616</v>
      </c>
      <c r="M1600">
        <v>739199</v>
      </c>
      <c r="N1600">
        <v>58</v>
      </c>
      <c r="O1600" t="s">
        <v>49</v>
      </c>
      <c r="P1600" t="s">
        <v>87</v>
      </c>
    </row>
    <row r="1601" spans="1:16" x14ac:dyDescent="0.35">
      <c r="A1601" t="s">
        <v>409</v>
      </c>
      <c r="B1601" t="s">
        <v>410</v>
      </c>
      <c r="C1601" t="s">
        <v>84</v>
      </c>
      <c r="D1601" t="s">
        <v>19</v>
      </c>
      <c r="E1601" t="s">
        <v>62</v>
      </c>
      <c r="F1601" s="1">
        <v>45513</v>
      </c>
      <c r="G1601">
        <v>2002</v>
      </c>
      <c r="H1601" t="s">
        <v>107</v>
      </c>
      <c r="I1601" t="s">
        <v>4236</v>
      </c>
      <c r="J1601" t="s">
        <v>96</v>
      </c>
      <c r="K1601">
        <v>5.9</v>
      </c>
      <c r="L1601">
        <v>5531889</v>
      </c>
      <c r="M1601">
        <v>2249575</v>
      </c>
      <c r="N1601">
        <v>41</v>
      </c>
      <c r="O1601" t="s">
        <v>31</v>
      </c>
      <c r="P1601" t="s">
        <v>87</v>
      </c>
    </row>
    <row r="1602" spans="1:16" x14ac:dyDescent="0.35">
      <c r="A1602" t="s">
        <v>1112</v>
      </c>
      <c r="B1602" t="s">
        <v>1113</v>
      </c>
      <c r="C1602" t="s">
        <v>53</v>
      </c>
      <c r="D1602" t="s">
        <v>68</v>
      </c>
      <c r="E1602" t="s">
        <v>4178</v>
      </c>
      <c r="F1602" s="1">
        <v>45513</v>
      </c>
      <c r="G1602">
        <v>2013</v>
      </c>
      <c r="H1602" t="s">
        <v>107</v>
      </c>
      <c r="I1602" t="s">
        <v>136</v>
      </c>
      <c r="J1602" t="s">
        <v>40</v>
      </c>
      <c r="K1602">
        <v>6.2</v>
      </c>
      <c r="L1602">
        <v>22313550</v>
      </c>
      <c r="M1602">
        <v>2516988</v>
      </c>
      <c r="N1602">
        <v>81</v>
      </c>
      <c r="O1602" t="s">
        <v>91</v>
      </c>
      <c r="P1602" t="s">
        <v>50</v>
      </c>
    </row>
    <row r="1603" spans="1:16" x14ac:dyDescent="0.35">
      <c r="A1603" t="s">
        <v>3689</v>
      </c>
      <c r="B1603" t="s">
        <v>3690</v>
      </c>
      <c r="C1603" t="s">
        <v>4178</v>
      </c>
      <c r="D1603" t="s">
        <v>156</v>
      </c>
      <c r="E1603" t="s">
        <v>99</v>
      </c>
      <c r="F1603" s="1">
        <v>45515</v>
      </c>
      <c r="G1603">
        <v>2005</v>
      </c>
      <c r="H1603" t="s">
        <v>107</v>
      </c>
      <c r="I1603" t="s">
        <v>64</v>
      </c>
      <c r="J1603" t="s">
        <v>103</v>
      </c>
      <c r="K1603">
        <v>9.1999999999999993</v>
      </c>
      <c r="L1603">
        <v>12820366</v>
      </c>
      <c r="M1603">
        <v>3259193</v>
      </c>
      <c r="N1603">
        <v>85</v>
      </c>
      <c r="O1603" t="s">
        <v>104</v>
      </c>
      <c r="P1603" t="s">
        <v>50</v>
      </c>
    </row>
    <row r="1604" spans="1:16" x14ac:dyDescent="0.35">
      <c r="A1604" t="s">
        <v>4131</v>
      </c>
      <c r="B1604" t="s">
        <v>4132</v>
      </c>
      <c r="C1604" t="s">
        <v>4178</v>
      </c>
      <c r="D1604" t="s">
        <v>4178</v>
      </c>
      <c r="E1604" t="s">
        <v>131</v>
      </c>
      <c r="F1604" s="1">
        <v>45517</v>
      </c>
      <c r="G1604">
        <v>2001</v>
      </c>
      <c r="H1604" t="s">
        <v>107</v>
      </c>
      <c r="I1604" t="s">
        <v>56</v>
      </c>
      <c r="J1604" t="s">
        <v>103</v>
      </c>
      <c r="K1604">
        <v>4.8</v>
      </c>
      <c r="L1604">
        <v>21581419</v>
      </c>
      <c r="M1604">
        <v>3941895</v>
      </c>
      <c r="N1604">
        <v>69</v>
      </c>
      <c r="O1604" t="s">
        <v>31</v>
      </c>
      <c r="P1604" t="s">
        <v>87</v>
      </c>
    </row>
    <row r="1605" spans="1:16" x14ac:dyDescent="0.35">
      <c r="A1605" t="s">
        <v>3135</v>
      </c>
      <c r="B1605" t="s">
        <v>3136</v>
      </c>
      <c r="C1605" t="s">
        <v>84</v>
      </c>
      <c r="D1605" t="s">
        <v>19</v>
      </c>
      <c r="E1605" t="s">
        <v>62</v>
      </c>
      <c r="F1605" s="1">
        <v>45518</v>
      </c>
      <c r="G1605">
        <v>2006</v>
      </c>
      <c r="H1605" t="s">
        <v>85</v>
      </c>
      <c r="I1605" t="s">
        <v>4199</v>
      </c>
      <c r="J1605" t="s">
        <v>72</v>
      </c>
      <c r="K1605">
        <v>7</v>
      </c>
      <c r="L1605">
        <v>18483932</v>
      </c>
      <c r="M1605">
        <v>4854350</v>
      </c>
      <c r="N1605">
        <v>73</v>
      </c>
      <c r="O1605" t="s">
        <v>91</v>
      </c>
      <c r="P1605" t="s">
        <v>4178</v>
      </c>
    </row>
    <row r="1606" spans="1:16" x14ac:dyDescent="0.35">
      <c r="A1606" t="s">
        <v>1148</v>
      </c>
      <c r="B1606" t="s">
        <v>1149</v>
      </c>
      <c r="C1606" t="s">
        <v>4178</v>
      </c>
      <c r="D1606" t="s">
        <v>4178</v>
      </c>
      <c r="E1606" t="s">
        <v>4196</v>
      </c>
      <c r="F1606" s="1">
        <v>45521</v>
      </c>
      <c r="G1606">
        <v>2008</v>
      </c>
      <c r="H1606" t="s">
        <v>85</v>
      </c>
      <c r="I1606" t="s">
        <v>39</v>
      </c>
      <c r="J1606" t="s">
        <v>96</v>
      </c>
      <c r="K1606">
        <v>6.3</v>
      </c>
      <c r="L1606">
        <v>23279895</v>
      </c>
      <c r="M1606">
        <v>1868863</v>
      </c>
      <c r="N1606">
        <v>76</v>
      </c>
      <c r="O1606" t="s">
        <v>58</v>
      </c>
      <c r="P1606" t="s">
        <v>4178</v>
      </c>
    </row>
    <row r="1607" spans="1:16" x14ac:dyDescent="0.35">
      <c r="A1607" t="s">
        <v>3107</v>
      </c>
      <c r="B1607" t="s">
        <v>3108</v>
      </c>
      <c r="C1607" t="s">
        <v>4178</v>
      </c>
      <c r="D1607" t="s">
        <v>4178</v>
      </c>
      <c r="E1607" t="s">
        <v>131</v>
      </c>
      <c r="F1607" s="1">
        <v>45525</v>
      </c>
      <c r="G1607">
        <v>2014</v>
      </c>
      <c r="H1607" t="s">
        <v>107</v>
      </c>
      <c r="I1607" t="s">
        <v>56</v>
      </c>
      <c r="J1607" t="s">
        <v>96</v>
      </c>
      <c r="K1607">
        <v>7.8</v>
      </c>
      <c r="L1607">
        <v>2937679</v>
      </c>
      <c r="M1607">
        <v>3516345</v>
      </c>
      <c r="N1607">
        <v>88</v>
      </c>
      <c r="O1607" t="s">
        <v>123</v>
      </c>
      <c r="P1607" t="s">
        <v>4178</v>
      </c>
    </row>
    <row r="1608" spans="1:16" x14ac:dyDescent="0.35">
      <c r="A1608" t="s">
        <v>340</v>
      </c>
      <c r="B1608" t="s">
        <v>341</v>
      </c>
      <c r="C1608" t="s">
        <v>84</v>
      </c>
      <c r="D1608" t="s">
        <v>90</v>
      </c>
      <c r="E1608" t="s">
        <v>99</v>
      </c>
      <c r="F1608" s="1">
        <v>45528</v>
      </c>
      <c r="G1608">
        <v>2011</v>
      </c>
      <c r="H1608" t="s">
        <v>114</v>
      </c>
      <c r="I1608" t="s">
        <v>4207</v>
      </c>
      <c r="J1608" t="s">
        <v>40</v>
      </c>
      <c r="K1608">
        <v>4.5999999999999996</v>
      </c>
      <c r="L1608">
        <v>7703083</v>
      </c>
      <c r="M1608">
        <v>831189</v>
      </c>
      <c r="N1608">
        <v>72</v>
      </c>
      <c r="O1608" t="s">
        <v>58</v>
      </c>
      <c r="P1608" t="s">
        <v>4178</v>
      </c>
    </row>
    <row r="1609" spans="1:16" x14ac:dyDescent="0.35">
      <c r="A1609" t="s">
        <v>1417</v>
      </c>
      <c r="B1609" t="s">
        <v>1418</v>
      </c>
      <c r="C1609" t="s">
        <v>53</v>
      </c>
      <c r="D1609" t="s">
        <v>27</v>
      </c>
      <c r="E1609" t="s">
        <v>4178</v>
      </c>
      <c r="F1609" s="1">
        <v>45528</v>
      </c>
      <c r="G1609">
        <v>2012</v>
      </c>
      <c r="H1609" t="s">
        <v>107</v>
      </c>
      <c r="I1609" t="s">
        <v>136</v>
      </c>
      <c r="J1609" t="s">
        <v>72</v>
      </c>
      <c r="K1609">
        <v>4.7</v>
      </c>
      <c r="L1609">
        <v>4413880</v>
      </c>
      <c r="M1609">
        <v>3987687</v>
      </c>
      <c r="N1609">
        <v>80</v>
      </c>
      <c r="O1609" t="s">
        <v>104</v>
      </c>
      <c r="P1609" t="s">
        <v>4178</v>
      </c>
    </row>
    <row r="1610" spans="1:16" x14ac:dyDescent="0.35">
      <c r="A1610" t="s">
        <v>2475</v>
      </c>
      <c r="B1610" t="s">
        <v>2476</v>
      </c>
      <c r="C1610" t="s">
        <v>84</v>
      </c>
      <c r="D1610" t="s">
        <v>90</v>
      </c>
      <c r="E1610" t="s">
        <v>113</v>
      </c>
      <c r="F1610" s="1">
        <v>45529</v>
      </c>
      <c r="G1610">
        <v>2001</v>
      </c>
      <c r="H1610" t="s">
        <v>121</v>
      </c>
      <c r="I1610" t="s">
        <v>4259</v>
      </c>
      <c r="J1610" t="s">
        <v>153</v>
      </c>
      <c r="K1610">
        <v>6.8</v>
      </c>
      <c r="L1610">
        <v>10999525</v>
      </c>
      <c r="M1610">
        <v>4915831</v>
      </c>
      <c r="N1610">
        <v>82</v>
      </c>
      <c r="O1610" t="s">
        <v>31</v>
      </c>
      <c r="P1610" t="s">
        <v>50</v>
      </c>
    </row>
    <row r="1611" spans="1:16" x14ac:dyDescent="0.35">
      <c r="A1611" t="s">
        <v>4085</v>
      </c>
      <c r="B1611" t="s">
        <v>4086</v>
      </c>
      <c r="C1611" t="s">
        <v>53</v>
      </c>
      <c r="D1611" t="s">
        <v>19</v>
      </c>
      <c r="E1611" t="s">
        <v>69</v>
      </c>
      <c r="F1611" s="1">
        <v>45529</v>
      </c>
      <c r="G1611">
        <v>2014</v>
      </c>
      <c r="H1611" t="s">
        <v>63</v>
      </c>
      <c r="I1611" t="s">
        <v>136</v>
      </c>
      <c r="J1611" t="s">
        <v>57</v>
      </c>
      <c r="K1611">
        <v>5.9</v>
      </c>
      <c r="L1611">
        <v>14140176</v>
      </c>
      <c r="M1611">
        <v>4651395</v>
      </c>
      <c r="N1611">
        <v>80</v>
      </c>
      <c r="O1611" t="s">
        <v>49</v>
      </c>
      <c r="P1611" t="s">
        <v>87</v>
      </c>
    </row>
    <row r="1612" spans="1:16" x14ac:dyDescent="0.35">
      <c r="A1612" t="s">
        <v>3900</v>
      </c>
      <c r="B1612" t="s">
        <v>4397</v>
      </c>
      <c r="C1612" t="s">
        <v>84</v>
      </c>
      <c r="D1612" t="s">
        <v>90</v>
      </c>
      <c r="E1612" t="s">
        <v>69</v>
      </c>
      <c r="F1612" s="1">
        <v>45532</v>
      </c>
      <c r="G1612">
        <v>2012</v>
      </c>
      <c r="H1612" t="s">
        <v>121</v>
      </c>
      <c r="I1612" t="s">
        <v>4267</v>
      </c>
      <c r="J1612" t="s">
        <v>23</v>
      </c>
      <c r="K1612">
        <v>8.9</v>
      </c>
      <c r="L1612">
        <v>22308640</v>
      </c>
      <c r="M1612">
        <v>1830631</v>
      </c>
      <c r="N1612">
        <v>72</v>
      </c>
      <c r="O1612" t="s">
        <v>49</v>
      </c>
      <c r="P1612" t="s">
        <v>32</v>
      </c>
    </row>
    <row r="1613" spans="1:16" x14ac:dyDescent="0.35">
      <c r="A1613" t="s">
        <v>273</v>
      </c>
      <c r="B1613" t="s">
        <v>274</v>
      </c>
      <c r="C1613" t="s">
        <v>84</v>
      </c>
      <c r="D1613" t="s">
        <v>90</v>
      </c>
      <c r="E1613" t="s">
        <v>55</v>
      </c>
      <c r="F1613" s="1">
        <v>45533</v>
      </c>
      <c r="G1613">
        <v>2018</v>
      </c>
      <c r="H1613" t="s">
        <v>114</v>
      </c>
      <c r="I1613" t="s">
        <v>4216</v>
      </c>
      <c r="J1613" t="s">
        <v>103</v>
      </c>
      <c r="K1613">
        <v>5.0999999999999996</v>
      </c>
      <c r="L1613">
        <v>19314580</v>
      </c>
      <c r="M1613">
        <v>3395437</v>
      </c>
      <c r="N1613">
        <v>40</v>
      </c>
      <c r="O1613" t="s">
        <v>58</v>
      </c>
      <c r="P1613" t="s">
        <v>4178</v>
      </c>
    </row>
    <row r="1614" spans="1:16" x14ac:dyDescent="0.35">
      <c r="A1614" t="s">
        <v>2158</v>
      </c>
      <c r="B1614" t="s">
        <v>4343</v>
      </c>
      <c r="C1614" t="s">
        <v>4178</v>
      </c>
      <c r="D1614" t="s">
        <v>156</v>
      </c>
      <c r="E1614" t="s">
        <v>131</v>
      </c>
      <c r="F1614" s="1">
        <v>45535</v>
      </c>
      <c r="G1614">
        <v>2013</v>
      </c>
      <c r="H1614" t="s">
        <v>21</v>
      </c>
      <c r="I1614" t="s">
        <v>162</v>
      </c>
      <c r="J1614" t="s">
        <v>30</v>
      </c>
      <c r="K1614">
        <v>4.8</v>
      </c>
      <c r="L1614">
        <v>18765432</v>
      </c>
      <c r="M1614">
        <v>301175</v>
      </c>
      <c r="N1614">
        <v>49</v>
      </c>
      <c r="O1614" t="s">
        <v>41</v>
      </c>
      <c r="P1614" t="s">
        <v>4178</v>
      </c>
    </row>
    <row r="1615" spans="1:16" x14ac:dyDescent="0.35">
      <c r="A1615" t="s">
        <v>2784</v>
      </c>
      <c r="B1615" t="s">
        <v>2785</v>
      </c>
      <c r="C1615" t="s">
        <v>84</v>
      </c>
      <c r="D1615" t="s">
        <v>94</v>
      </c>
      <c r="E1615" t="s">
        <v>131</v>
      </c>
      <c r="F1615" s="1">
        <v>45535</v>
      </c>
      <c r="G1615">
        <v>2025</v>
      </c>
      <c r="H1615" t="s">
        <v>85</v>
      </c>
      <c r="I1615" t="s">
        <v>4195</v>
      </c>
      <c r="J1615" t="s">
        <v>57</v>
      </c>
      <c r="K1615">
        <v>6.1</v>
      </c>
      <c r="L1615">
        <v>24735832</v>
      </c>
      <c r="M1615">
        <v>2230857</v>
      </c>
      <c r="N1615">
        <v>70</v>
      </c>
      <c r="O1615" t="s">
        <v>49</v>
      </c>
      <c r="P1615" t="s">
        <v>87</v>
      </c>
    </row>
    <row r="1616" spans="1:16" x14ac:dyDescent="0.35">
      <c r="A1616" t="s">
        <v>3789</v>
      </c>
      <c r="B1616" t="s">
        <v>3790</v>
      </c>
      <c r="C1616" t="s">
        <v>84</v>
      </c>
      <c r="D1616" t="s">
        <v>75</v>
      </c>
      <c r="E1616" t="s">
        <v>4178</v>
      </c>
      <c r="F1616" s="1">
        <v>45542</v>
      </c>
      <c r="G1616">
        <v>2019</v>
      </c>
      <c r="H1616" t="s">
        <v>107</v>
      </c>
      <c r="I1616" t="s">
        <v>4256</v>
      </c>
      <c r="J1616" t="s">
        <v>57</v>
      </c>
      <c r="K1616">
        <v>7.1</v>
      </c>
      <c r="L1616">
        <v>20447779</v>
      </c>
      <c r="M1616">
        <v>674899</v>
      </c>
      <c r="N1616">
        <v>72</v>
      </c>
      <c r="O1616" t="s">
        <v>49</v>
      </c>
      <c r="P1616" t="s">
        <v>4181</v>
      </c>
    </row>
    <row r="1617" spans="1:16" x14ac:dyDescent="0.35">
      <c r="A1617" t="s">
        <v>1152</v>
      </c>
      <c r="B1617" t="s">
        <v>1153</v>
      </c>
      <c r="C1617" t="s">
        <v>53</v>
      </c>
      <c r="D1617" t="s">
        <v>54</v>
      </c>
      <c r="E1617" t="s">
        <v>113</v>
      </c>
      <c r="F1617" s="1">
        <v>45548</v>
      </c>
      <c r="G1617">
        <v>2011</v>
      </c>
      <c r="H1617" t="s">
        <v>121</v>
      </c>
      <c r="I1617" t="s">
        <v>71</v>
      </c>
      <c r="J1617" t="s">
        <v>153</v>
      </c>
      <c r="K1617">
        <v>5.0999999999999996</v>
      </c>
      <c r="L1617">
        <v>-856</v>
      </c>
      <c r="M1617">
        <v>4001447</v>
      </c>
      <c r="N1617">
        <v>68</v>
      </c>
      <c r="O1617" t="s">
        <v>123</v>
      </c>
      <c r="P1617" t="s">
        <v>87</v>
      </c>
    </row>
    <row r="1618" spans="1:16" x14ac:dyDescent="0.35">
      <c r="A1618" t="s">
        <v>3168</v>
      </c>
      <c r="B1618" t="s">
        <v>3169</v>
      </c>
      <c r="C1618" t="s">
        <v>53</v>
      </c>
      <c r="D1618" t="s">
        <v>36</v>
      </c>
      <c r="E1618" t="s">
        <v>55</v>
      </c>
      <c r="F1618" s="1">
        <v>45551</v>
      </c>
      <c r="G1618">
        <v>2032</v>
      </c>
      <c r="H1618" t="s">
        <v>38</v>
      </c>
      <c r="I1618" t="s">
        <v>136</v>
      </c>
      <c r="J1618" t="s">
        <v>57</v>
      </c>
      <c r="K1618">
        <v>9.1</v>
      </c>
      <c r="L1618">
        <v>4248061</v>
      </c>
      <c r="M1618">
        <v>1244197</v>
      </c>
      <c r="N1618">
        <v>120</v>
      </c>
      <c r="O1618" t="s">
        <v>58</v>
      </c>
      <c r="P1618" t="s">
        <v>32</v>
      </c>
    </row>
    <row r="1619" spans="1:16" x14ac:dyDescent="0.35">
      <c r="A1619" t="s">
        <v>1199</v>
      </c>
      <c r="B1619" t="s">
        <v>1200</v>
      </c>
      <c r="C1619" t="s">
        <v>84</v>
      </c>
      <c r="D1619" t="s">
        <v>27</v>
      </c>
      <c r="E1619" t="s">
        <v>4178</v>
      </c>
      <c r="F1619" s="1">
        <v>45553</v>
      </c>
      <c r="G1619">
        <v>2000</v>
      </c>
      <c r="H1619" t="s">
        <v>38</v>
      </c>
      <c r="I1619" t="s">
        <v>4296</v>
      </c>
      <c r="J1619" t="s">
        <v>57</v>
      </c>
      <c r="K1619">
        <v>9.6</v>
      </c>
      <c r="L1619">
        <v>14783449</v>
      </c>
      <c r="M1619">
        <v>4370763</v>
      </c>
      <c r="N1619">
        <v>98</v>
      </c>
      <c r="O1619" t="s">
        <v>123</v>
      </c>
      <c r="P1619" t="s">
        <v>50</v>
      </c>
    </row>
    <row r="1620" spans="1:16" x14ac:dyDescent="0.35">
      <c r="A1620" t="s">
        <v>1509</v>
      </c>
      <c r="B1620" t="s">
        <v>1510</v>
      </c>
      <c r="C1620" t="s">
        <v>84</v>
      </c>
      <c r="D1620" t="s">
        <v>4178</v>
      </c>
      <c r="E1620" t="s">
        <v>37</v>
      </c>
      <c r="F1620" s="1">
        <v>45554</v>
      </c>
      <c r="G1620">
        <v>2017</v>
      </c>
      <c r="H1620" t="s">
        <v>21</v>
      </c>
      <c r="I1620" t="s">
        <v>4206</v>
      </c>
      <c r="J1620" t="s">
        <v>4178</v>
      </c>
      <c r="K1620">
        <v>9.8000000000000007</v>
      </c>
      <c r="L1620">
        <v>23509534</v>
      </c>
      <c r="M1620">
        <v>3209453</v>
      </c>
      <c r="N1620">
        <v>91</v>
      </c>
      <c r="O1620" t="s">
        <v>104</v>
      </c>
      <c r="P1620" t="s">
        <v>50</v>
      </c>
    </row>
    <row r="1621" spans="1:16" x14ac:dyDescent="0.35">
      <c r="A1621" t="s">
        <v>3192</v>
      </c>
      <c r="B1621" t="s">
        <v>3193</v>
      </c>
      <c r="C1621" t="s">
        <v>4178</v>
      </c>
      <c r="D1621" t="s">
        <v>4178</v>
      </c>
      <c r="E1621" t="s">
        <v>99</v>
      </c>
      <c r="F1621" s="1">
        <v>45555</v>
      </c>
      <c r="G1621">
        <v>2003</v>
      </c>
      <c r="H1621" t="s">
        <v>38</v>
      </c>
      <c r="I1621" t="s">
        <v>118</v>
      </c>
      <c r="J1621" t="s">
        <v>48</v>
      </c>
      <c r="K1621">
        <v>7.4</v>
      </c>
      <c r="L1621">
        <v>293227</v>
      </c>
      <c r="M1621">
        <v>4630386</v>
      </c>
      <c r="N1621">
        <v>85</v>
      </c>
      <c r="O1621" t="s">
        <v>91</v>
      </c>
      <c r="P1621" t="s">
        <v>32</v>
      </c>
    </row>
    <row r="1622" spans="1:16" x14ac:dyDescent="0.35">
      <c r="A1622" t="s">
        <v>2975</v>
      </c>
      <c r="B1622" t="s">
        <v>2976</v>
      </c>
      <c r="C1622" t="s">
        <v>53</v>
      </c>
      <c r="D1622" t="s">
        <v>54</v>
      </c>
      <c r="E1622" t="s">
        <v>99</v>
      </c>
      <c r="F1622" s="1">
        <v>45558</v>
      </c>
      <c r="G1622">
        <v>2022</v>
      </c>
      <c r="H1622" t="s">
        <v>107</v>
      </c>
      <c r="I1622" t="s">
        <v>95</v>
      </c>
      <c r="J1622" t="s">
        <v>72</v>
      </c>
      <c r="K1622">
        <v>8.5</v>
      </c>
      <c r="L1622">
        <v>14546215</v>
      </c>
      <c r="M1622">
        <v>4230667</v>
      </c>
      <c r="N1622">
        <v>40</v>
      </c>
      <c r="O1622" t="s">
        <v>4178</v>
      </c>
      <c r="P1622" t="s">
        <v>87</v>
      </c>
    </row>
    <row r="1623" spans="1:16" x14ac:dyDescent="0.35">
      <c r="A1623" t="s">
        <v>3657</v>
      </c>
      <c r="B1623" t="s">
        <v>3658</v>
      </c>
      <c r="C1623" t="s">
        <v>84</v>
      </c>
      <c r="D1623" t="s">
        <v>75</v>
      </c>
      <c r="E1623" t="s">
        <v>4178</v>
      </c>
      <c r="F1623" s="1">
        <v>45558</v>
      </c>
      <c r="G1623">
        <v>2001</v>
      </c>
      <c r="H1623" t="s">
        <v>114</v>
      </c>
      <c r="I1623" t="s">
        <v>4371</v>
      </c>
      <c r="J1623" t="s">
        <v>48</v>
      </c>
      <c r="K1623">
        <v>9.1</v>
      </c>
      <c r="L1623">
        <v>15646452</v>
      </c>
      <c r="M1623">
        <v>776227</v>
      </c>
      <c r="N1623">
        <v>71</v>
      </c>
      <c r="O1623" t="s">
        <v>31</v>
      </c>
      <c r="P1623" t="s">
        <v>32</v>
      </c>
    </row>
    <row r="1624" spans="1:16" x14ac:dyDescent="0.35">
      <c r="A1624" t="s">
        <v>3166</v>
      </c>
      <c r="B1624" t="s">
        <v>3167</v>
      </c>
      <c r="C1624" t="s">
        <v>4178</v>
      </c>
      <c r="D1624" t="s">
        <v>4178</v>
      </c>
      <c r="E1624" t="s">
        <v>113</v>
      </c>
      <c r="F1624" s="1">
        <v>45559</v>
      </c>
      <c r="G1624">
        <v>2016</v>
      </c>
      <c r="H1624" t="s">
        <v>4178</v>
      </c>
      <c r="I1624" t="s">
        <v>64</v>
      </c>
      <c r="J1624" t="s">
        <v>96</v>
      </c>
      <c r="K1624">
        <v>4.9000000000000004</v>
      </c>
      <c r="L1624">
        <v>21030363</v>
      </c>
      <c r="M1624">
        <v>1748875</v>
      </c>
      <c r="N1624">
        <v>70</v>
      </c>
      <c r="O1624" t="s">
        <v>31</v>
      </c>
      <c r="P1624" t="s">
        <v>50</v>
      </c>
    </row>
    <row r="1625" spans="1:16" x14ac:dyDescent="0.35">
      <c r="A1625" t="s">
        <v>2867</v>
      </c>
      <c r="B1625" t="s">
        <v>2866</v>
      </c>
      <c r="C1625" t="s">
        <v>53</v>
      </c>
      <c r="D1625" t="s">
        <v>61</v>
      </c>
      <c r="E1625" t="s">
        <v>131</v>
      </c>
      <c r="F1625" s="1">
        <v>45561</v>
      </c>
      <c r="G1625">
        <v>2013</v>
      </c>
      <c r="H1625" t="s">
        <v>107</v>
      </c>
      <c r="I1625" t="s">
        <v>95</v>
      </c>
      <c r="J1625" t="s">
        <v>72</v>
      </c>
      <c r="K1625">
        <v>4.8</v>
      </c>
      <c r="L1625">
        <v>2210508</v>
      </c>
      <c r="M1625">
        <v>1647584</v>
      </c>
      <c r="N1625">
        <v>81</v>
      </c>
      <c r="O1625" t="s">
        <v>31</v>
      </c>
      <c r="P1625" t="s">
        <v>87</v>
      </c>
    </row>
    <row r="1626" spans="1:16" x14ac:dyDescent="0.35">
      <c r="A1626" t="s">
        <v>2316</v>
      </c>
      <c r="B1626" t="s">
        <v>2317</v>
      </c>
      <c r="C1626" t="s">
        <v>84</v>
      </c>
      <c r="D1626" t="s">
        <v>36</v>
      </c>
      <c r="E1626" t="s">
        <v>45</v>
      </c>
      <c r="F1626" s="1">
        <v>45562</v>
      </c>
      <c r="G1626">
        <v>2016</v>
      </c>
      <c r="H1626" t="s">
        <v>107</v>
      </c>
      <c r="I1626" t="s">
        <v>4205</v>
      </c>
      <c r="J1626" t="s">
        <v>23</v>
      </c>
      <c r="K1626">
        <v>5.7</v>
      </c>
      <c r="L1626">
        <v>20649081</v>
      </c>
      <c r="M1626">
        <v>2009632</v>
      </c>
      <c r="N1626">
        <v>88</v>
      </c>
      <c r="O1626" t="s">
        <v>31</v>
      </c>
      <c r="P1626" t="s">
        <v>4178</v>
      </c>
    </row>
    <row r="1627" spans="1:16" x14ac:dyDescent="0.35">
      <c r="A1627" t="s">
        <v>3319</v>
      </c>
      <c r="B1627" t="s">
        <v>3320</v>
      </c>
      <c r="C1627" t="s">
        <v>84</v>
      </c>
      <c r="D1627" t="s">
        <v>75</v>
      </c>
      <c r="E1627" t="s">
        <v>4178</v>
      </c>
      <c r="F1627" s="1">
        <v>45564</v>
      </c>
      <c r="G1627">
        <v>2005</v>
      </c>
      <c r="H1627" t="s">
        <v>121</v>
      </c>
      <c r="I1627" t="s">
        <v>4273</v>
      </c>
      <c r="J1627" t="s">
        <v>23</v>
      </c>
      <c r="K1627">
        <v>5.4</v>
      </c>
      <c r="L1627">
        <v>9705062</v>
      </c>
      <c r="M1627">
        <v>2531199</v>
      </c>
      <c r="N1627">
        <v>45</v>
      </c>
      <c r="O1627" t="s">
        <v>24</v>
      </c>
      <c r="P1627" t="s">
        <v>4178</v>
      </c>
    </row>
    <row r="1628" spans="1:16" x14ac:dyDescent="0.35">
      <c r="A1628" t="s">
        <v>2914</v>
      </c>
      <c r="B1628" t="s">
        <v>2915</v>
      </c>
      <c r="C1628" t="s">
        <v>53</v>
      </c>
      <c r="D1628" t="s">
        <v>36</v>
      </c>
      <c r="E1628" t="s">
        <v>62</v>
      </c>
      <c r="F1628" s="1">
        <v>45568</v>
      </c>
      <c r="G1628">
        <v>2025</v>
      </c>
      <c r="H1628" t="s">
        <v>107</v>
      </c>
      <c r="I1628" t="s">
        <v>118</v>
      </c>
      <c r="J1628" t="s">
        <v>57</v>
      </c>
      <c r="K1628">
        <v>7.6</v>
      </c>
      <c r="L1628">
        <v>20719524</v>
      </c>
      <c r="M1628">
        <v>1794420</v>
      </c>
      <c r="N1628">
        <v>93</v>
      </c>
      <c r="O1628" t="s">
        <v>123</v>
      </c>
      <c r="P1628" t="s">
        <v>32</v>
      </c>
    </row>
    <row r="1629" spans="1:16" x14ac:dyDescent="0.35">
      <c r="A1629" t="s">
        <v>3303</v>
      </c>
      <c r="B1629" t="s">
        <v>3304</v>
      </c>
      <c r="C1629" t="s">
        <v>84</v>
      </c>
      <c r="D1629" t="s">
        <v>36</v>
      </c>
      <c r="E1629" t="s">
        <v>113</v>
      </c>
      <c r="F1629" s="1">
        <v>45572</v>
      </c>
      <c r="G1629">
        <v>2012</v>
      </c>
      <c r="H1629" t="s">
        <v>121</v>
      </c>
      <c r="I1629" t="s">
        <v>4227</v>
      </c>
      <c r="J1629" t="s">
        <v>57</v>
      </c>
      <c r="K1629">
        <v>7.6</v>
      </c>
      <c r="L1629">
        <v>12103759</v>
      </c>
      <c r="M1629">
        <v>177238</v>
      </c>
      <c r="N1629">
        <v>61</v>
      </c>
      <c r="O1629" t="s">
        <v>65</v>
      </c>
      <c r="P1629" t="s">
        <v>4178</v>
      </c>
    </row>
    <row r="1630" spans="1:16" x14ac:dyDescent="0.35">
      <c r="A1630" t="s">
        <v>321</v>
      </c>
      <c r="B1630" t="s">
        <v>322</v>
      </c>
      <c r="C1630" t="s">
        <v>84</v>
      </c>
      <c r="D1630" t="s">
        <v>90</v>
      </c>
      <c r="E1630" t="s">
        <v>37</v>
      </c>
      <c r="F1630" s="1">
        <v>45573</v>
      </c>
      <c r="G1630">
        <v>2018</v>
      </c>
      <c r="H1630" t="s">
        <v>85</v>
      </c>
      <c r="I1630" t="s">
        <v>4226</v>
      </c>
      <c r="J1630" t="s">
        <v>103</v>
      </c>
      <c r="K1630">
        <v>7.2</v>
      </c>
      <c r="L1630">
        <v>11868802</v>
      </c>
      <c r="M1630">
        <v>2092149</v>
      </c>
      <c r="N1630">
        <v>82</v>
      </c>
      <c r="O1630" t="s">
        <v>24</v>
      </c>
      <c r="P1630" t="s">
        <v>50</v>
      </c>
    </row>
    <row r="1631" spans="1:16" x14ac:dyDescent="0.35">
      <c r="A1631" t="s">
        <v>567</v>
      </c>
      <c r="B1631" t="s">
        <v>568</v>
      </c>
      <c r="C1631" t="s">
        <v>53</v>
      </c>
      <c r="D1631" t="s">
        <v>4178</v>
      </c>
      <c r="E1631" t="s">
        <v>113</v>
      </c>
      <c r="F1631" s="1">
        <v>45573</v>
      </c>
      <c r="G1631">
        <v>2003</v>
      </c>
      <c r="H1631" t="s">
        <v>114</v>
      </c>
      <c r="I1631" t="s">
        <v>118</v>
      </c>
      <c r="J1631" t="s">
        <v>133</v>
      </c>
      <c r="K1631">
        <v>9.6</v>
      </c>
      <c r="L1631">
        <v>14105772</v>
      </c>
      <c r="M1631">
        <v>616239</v>
      </c>
      <c r="N1631">
        <v>94</v>
      </c>
      <c r="O1631" t="s">
        <v>123</v>
      </c>
      <c r="P1631" t="s">
        <v>4178</v>
      </c>
    </row>
    <row r="1632" spans="1:16" x14ac:dyDescent="0.35">
      <c r="A1632" t="s">
        <v>2030</v>
      </c>
      <c r="B1632" t="s">
        <v>2031</v>
      </c>
      <c r="C1632" t="s">
        <v>4178</v>
      </c>
      <c r="D1632" t="s">
        <v>4178</v>
      </c>
      <c r="E1632" t="s">
        <v>62</v>
      </c>
      <c r="F1632" s="1">
        <v>45574</v>
      </c>
      <c r="G1632">
        <v>2015</v>
      </c>
      <c r="H1632" t="s">
        <v>4178</v>
      </c>
      <c r="I1632" t="s">
        <v>39</v>
      </c>
      <c r="J1632" t="s">
        <v>40</v>
      </c>
      <c r="K1632">
        <v>6.7</v>
      </c>
      <c r="L1632">
        <v>13189313</v>
      </c>
      <c r="M1632">
        <v>2492422</v>
      </c>
      <c r="N1632">
        <v>100</v>
      </c>
      <c r="O1632" t="s">
        <v>91</v>
      </c>
      <c r="P1632" t="s">
        <v>50</v>
      </c>
    </row>
    <row r="1633" spans="1:16" x14ac:dyDescent="0.35">
      <c r="A1633" t="s">
        <v>224</v>
      </c>
      <c r="B1633" t="s">
        <v>225</v>
      </c>
      <c r="C1633" t="s">
        <v>84</v>
      </c>
      <c r="D1633" t="s">
        <v>61</v>
      </c>
      <c r="E1633" t="s">
        <v>28</v>
      </c>
      <c r="F1633" s="1">
        <v>45577</v>
      </c>
      <c r="G1633">
        <v>2016</v>
      </c>
      <c r="H1633" t="s">
        <v>121</v>
      </c>
      <c r="I1633" t="s">
        <v>4209</v>
      </c>
      <c r="J1633" t="s">
        <v>23</v>
      </c>
      <c r="K1633">
        <v>7.2</v>
      </c>
      <c r="L1633">
        <v>7932513</v>
      </c>
      <c r="M1633">
        <v>1702011</v>
      </c>
      <c r="N1633">
        <v>87</v>
      </c>
      <c r="O1633" t="s">
        <v>41</v>
      </c>
      <c r="P1633" t="s">
        <v>4181</v>
      </c>
    </row>
    <row r="1634" spans="1:16" x14ac:dyDescent="0.35">
      <c r="A1634" t="s">
        <v>3367</v>
      </c>
      <c r="B1634" t="s">
        <v>3368</v>
      </c>
      <c r="C1634" t="s">
        <v>84</v>
      </c>
      <c r="D1634" t="s">
        <v>156</v>
      </c>
      <c r="E1634" t="s">
        <v>4196</v>
      </c>
      <c r="F1634" s="1">
        <v>45577</v>
      </c>
      <c r="G1634">
        <v>2010</v>
      </c>
      <c r="H1634" t="s">
        <v>107</v>
      </c>
      <c r="I1634" t="s">
        <v>4190</v>
      </c>
      <c r="J1634" t="s">
        <v>96</v>
      </c>
      <c r="K1634">
        <v>6.4</v>
      </c>
      <c r="L1634">
        <v>23582747</v>
      </c>
      <c r="M1634">
        <v>2639423</v>
      </c>
      <c r="N1634">
        <v>98</v>
      </c>
      <c r="O1634" t="s">
        <v>4178</v>
      </c>
      <c r="P1634" t="s">
        <v>4181</v>
      </c>
    </row>
    <row r="1635" spans="1:16" x14ac:dyDescent="0.35">
      <c r="A1635" t="s">
        <v>3878</v>
      </c>
      <c r="B1635" t="s">
        <v>3879</v>
      </c>
      <c r="C1635" t="s">
        <v>53</v>
      </c>
      <c r="D1635" t="s">
        <v>19</v>
      </c>
      <c r="E1635" t="s">
        <v>80</v>
      </c>
      <c r="F1635" s="1">
        <v>45580</v>
      </c>
      <c r="G1635">
        <v>2021</v>
      </c>
      <c r="H1635" t="s">
        <v>114</v>
      </c>
      <c r="I1635" t="s">
        <v>39</v>
      </c>
      <c r="J1635" t="s">
        <v>72</v>
      </c>
      <c r="K1635">
        <v>5.0999999999999996</v>
      </c>
      <c r="L1635">
        <v>18210025</v>
      </c>
      <c r="M1635">
        <v>702858</v>
      </c>
      <c r="N1635">
        <v>93</v>
      </c>
      <c r="O1635" t="s">
        <v>24</v>
      </c>
      <c r="P1635" t="s">
        <v>87</v>
      </c>
    </row>
    <row r="1636" spans="1:16" x14ac:dyDescent="0.35">
      <c r="A1636" t="s">
        <v>721</v>
      </c>
      <c r="B1636" t="s">
        <v>722</v>
      </c>
      <c r="C1636" t="s">
        <v>84</v>
      </c>
      <c r="D1636" t="s">
        <v>156</v>
      </c>
      <c r="E1636" t="s">
        <v>80</v>
      </c>
      <c r="F1636" s="1">
        <v>45585</v>
      </c>
      <c r="G1636">
        <v>2016</v>
      </c>
      <c r="H1636" t="s">
        <v>107</v>
      </c>
      <c r="I1636" t="s">
        <v>4247</v>
      </c>
      <c r="J1636" t="s">
        <v>153</v>
      </c>
      <c r="K1636">
        <v>8.9</v>
      </c>
      <c r="L1636">
        <v>1657617</v>
      </c>
      <c r="M1636">
        <v>4696175</v>
      </c>
      <c r="N1636">
        <v>100</v>
      </c>
      <c r="O1636" t="s">
        <v>4178</v>
      </c>
      <c r="P1636" t="s">
        <v>4181</v>
      </c>
    </row>
    <row r="1637" spans="1:16" x14ac:dyDescent="0.35">
      <c r="A1637" t="s">
        <v>2404</v>
      </c>
      <c r="B1637" t="s">
        <v>2405</v>
      </c>
      <c r="C1637" t="s">
        <v>4178</v>
      </c>
      <c r="D1637" t="s">
        <v>90</v>
      </c>
      <c r="E1637" t="s">
        <v>80</v>
      </c>
      <c r="F1637" s="1">
        <v>45587</v>
      </c>
      <c r="G1637">
        <v>2024</v>
      </c>
      <c r="H1637" t="s">
        <v>121</v>
      </c>
      <c r="I1637" t="s">
        <v>39</v>
      </c>
      <c r="J1637" t="s">
        <v>48</v>
      </c>
      <c r="K1637">
        <v>9</v>
      </c>
      <c r="L1637">
        <v>17326589</v>
      </c>
      <c r="M1637">
        <v>2523795</v>
      </c>
      <c r="N1637">
        <v>91</v>
      </c>
      <c r="O1637" t="s">
        <v>104</v>
      </c>
      <c r="P1637" t="s">
        <v>4181</v>
      </c>
    </row>
    <row r="1638" spans="1:16" x14ac:dyDescent="0.35">
      <c r="A1638" t="s">
        <v>163</v>
      </c>
      <c r="B1638" t="s">
        <v>164</v>
      </c>
      <c r="C1638" t="s">
        <v>4178</v>
      </c>
      <c r="D1638" t="s">
        <v>27</v>
      </c>
      <c r="E1638" t="s">
        <v>4196</v>
      </c>
      <c r="F1638" s="1">
        <v>45588</v>
      </c>
      <c r="G1638">
        <v>2003</v>
      </c>
      <c r="H1638" t="s">
        <v>46</v>
      </c>
      <c r="I1638" t="s">
        <v>118</v>
      </c>
      <c r="J1638" t="s">
        <v>103</v>
      </c>
      <c r="K1638">
        <v>5.5</v>
      </c>
      <c r="L1638">
        <v>20178257</v>
      </c>
      <c r="M1638">
        <v>10663</v>
      </c>
      <c r="N1638">
        <v>120</v>
      </c>
      <c r="O1638" t="s">
        <v>123</v>
      </c>
      <c r="P1638" t="s">
        <v>32</v>
      </c>
    </row>
    <row r="1639" spans="1:16" x14ac:dyDescent="0.35">
      <c r="A1639" t="s">
        <v>2479</v>
      </c>
      <c r="B1639" t="s">
        <v>2480</v>
      </c>
      <c r="C1639" t="s">
        <v>84</v>
      </c>
      <c r="D1639" t="s">
        <v>156</v>
      </c>
      <c r="E1639" t="s">
        <v>99</v>
      </c>
      <c r="F1639" s="1">
        <v>45588</v>
      </c>
      <c r="G1639">
        <v>2005</v>
      </c>
      <c r="H1639" t="s">
        <v>107</v>
      </c>
      <c r="I1639" t="s">
        <v>4210</v>
      </c>
      <c r="J1639" t="s">
        <v>4178</v>
      </c>
      <c r="K1639">
        <v>7.9</v>
      </c>
      <c r="L1639">
        <v>14703822</v>
      </c>
      <c r="M1639">
        <v>1384901</v>
      </c>
      <c r="N1639">
        <v>80</v>
      </c>
      <c r="O1639" t="s">
        <v>49</v>
      </c>
      <c r="P1639" t="s">
        <v>4181</v>
      </c>
    </row>
    <row r="1640" spans="1:16" x14ac:dyDescent="0.35">
      <c r="A1640" t="s">
        <v>3472</v>
      </c>
      <c r="B1640" t="s">
        <v>3473</v>
      </c>
      <c r="C1640" t="s">
        <v>53</v>
      </c>
      <c r="D1640" t="s">
        <v>36</v>
      </c>
      <c r="E1640" t="s">
        <v>28</v>
      </c>
      <c r="F1640" s="1">
        <v>45589</v>
      </c>
      <c r="G1640">
        <v>2015</v>
      </c>
      <c r="H1640" t="s">
        <v>114</v>
      </c>
      <c r="I1640" t="s">
        <v>136</v>
      </c>
      <c r="J1640" t="s">
        <v>23</v>
      </c>
      <c r="K1640">
        <v>8.5</v>
      </c>
      <c r="L1640">
        <v>8623189</v>
      </c>
      <c r="M1640">
        <v>1136940</v>
      </c>
      <c r="N1640">
        <v>96</v>
      </c>
      <c r="O1640" t="s">
        <v>104</v>
      </c>
      <c r="P1640" t="s">
        <v>50</v>
      </c>
    </row>
    <row r="1641" spans="1:16" x14ac:dyDescent="0.35">
      <c r="A1641" t="s">
        <v>3898</v>
      </c>
      <c r="B1641" t="s">
        <v>3899</v>
      </c>
      <c r="C1641" t="s">
        <v>84</v>
      </c>
      <c r="D1641" t="s">
        <v>4178</v>
      </c>
      <c r="E1641" t="s">
        <v>37</v>
      </c>
      <c r="F1641" s="1">
        <v>45589</v>
      </c>
      <c r="G1641">
        <v>2002</v>
      </c>
      <c r="H1641" t="s">
        <v>121</v>
      </c>
      <c r="I1641" t="s">
        <v>4266</v>
      </c>
      <c r="J1641" t="s">
        <v>72</v>
      </c>
      <c r="K1641">
        <v>4.8</v>
      </c>
      <c r="L1641">
        <v>19319830</v>
      </c>
      <c r="M1641">
        <v>2269984</v>
      </c>
      <c r="N1641">
        <v>51</v>
      </c>
      <c r="O1641" t="s">
        <v>24</v>
      </c>
      <c r="P1641" t="s">
        <v>4178</v>
      </c>
    </row>
    <row r="1642" spans="1:16" x14ac:dyDescent="0.35">
      <c r="A1642" t="s">
        <v>2260</v>
      </c>
      <c r="B1642" t="s">
        <v>2261</v>
      </c>
      <c r="C1642" t="s">
        <v>4178</v>
      </c>
      <c r="D1642" t="s">
        <v>4178</v>
      </c>
      <c r="E1642" t="s">
        <v>28</v>
      </c>
      <c r="F1642" s="1">
        <v>45598</v>
      </c>
      <c r="G1642">
        <v>2006</v>
      </c>
      <c r="H1642" t="s">
        <v>63</v>
      </c>
      <c r="I1642" t="s">
        <v>118</v>
      </c>
      <c r="J1642" t="s">
        <v>72</v>
      </c>
      <c r="K1642">
        <v>9.8000000000000007</v>
      </c>
      <c r="L1642">
        <v>23044339</v>
      </c>
      <c r="M1642">
        <v>738255</v>
      </c>
      <c r="N1642">
        <v>96</v>
      </c>
      <c r="O1642" t="s">
        <v>65</v>
      </c>
      <c r="P1642" t="s">
        <v>50</v>
      </c>
    </row>
    <row r="1643" spans="1:16" x14ac:dyDescent="0.35">
      <c r="A1643" t="s">
        <v>3123</v>
      </c>
      <c r="B1643" t="s">
        <v>3124</v>
      </c>
      <c r="C1643" t="s">
        <v>84</v>
      </c>
      <c r="D1643" t="s">
        <v>68</v>
      </c>
      <c r="E1643" t="s">
        <v>45</v>
      </c>
      <c r="F1643" s="1">
        <v>45600</v>
      </c>
      <c r="G1643">
        <v>2009</v>
      </c>
      <c r="H1643" t="s">
        <v>81</v>
      </c>
      <c r="I1643" t="s">
        <v>4202</v>
      </c>
      <c r="J1643" t="s">
        <v>40</v>
      </c>
      <c r="K1643">
        <v>6.7</v>
      </c>
      <c r="L1643">
        <v>18868746</v>
      </c>
      <c r="M1643">
        <v>2503610</v>
      </c>
      <c r="N1643">
        <v>51</v>
      </c>
      <c r="O1643" t="s">
        <v>104</v>
      </c>
      <c r="P1643" t="s">
        <v>4178</v>
      </c>
    </row>
    <row r="1644" spans="1:16" x14ac:dyDescent="0.35">
      <c r="A1644" t="s">
        <v>428</v>
      </c>
      <c r="B1644" t="s">
        <v>429</v>
      </c>
      <c r="C1644" t="s">
        <v>53</v>
      </c>
      <c r="D1644" t="s">
        <v>61</v>
      </c>
      <c r="E1644" t="s">
        <v>4178</v>
      </c>
      <c r="F1644" s="1">
        <v>45601</v>
      </c>
      <c r="G1644">
        <v>2004</v>
      </c>
      <c r="H1644" t="s">
        <v>121</v>
      </c>
      <c r="I1644" t="s">
        <v>39</v>
      </c>
      <c r="J1644" t="s">
        <v>4178</v>
      </c>
      <c r="K1644">
        <v>9.6999999999999993</v>
      </c>
      <c r="L1644">
        <v>-934</v>
      </c>
      <c r="M1644">
        <v>2540303</v>
      </c>
      <c r="N1644">
        <v>87</v>
      </c>
      <c r="O1644" t="s">
        <v>41</v>
      </c>
      <c r="P1644" t="s">
        <v>87</v>
      </c>
    </row>
    <row r="1645" spans="1:16" x14ac:dyDescent="0.35">
      <c r="A1645" t="s">
        <v>2390</v>
      </c>
      <c r="B1645" t="s">
        <v>2391</v>
      </c>
      <c r="C1645" t="s">
        <v>84</v>
      </c>
      <c r="D1645" t="s">
        <v>90</v>
      </c>
      <c r="E1645" t="s">
        <v>37</v>
      </c>
      <c r="F1645" s="1">
        <v>45609</v>
      </c>
      <c r="G1645">
        <v>2025</v>
      </c>
      <c r="H1645" t="s">
        <v>85</v>
      </c>
      <c r="I1645" t="s">
        <v>4197</v>
      </c>
      <c r="J1645" t="s">
        <v>57</v>
      </c>
      <c r="K1645">
        <v>5.7</v>
      </c>
      <c r="L1645">
        <v>14396528</v>
      </c>
      <c r="M1645">
        <v>622735</v>
      </c>
      <c r="N1645">
        <v>96</v>
      </c>
      <c r="O1645" t="s">
        <v>65</v>
      </c>
      <c r="P1645" t="s">
        <v>4181</v>
      </c>
    </row>
    <row r="1646" spans="1:16" x14ac:dyDescent="0.35">
      <c r="A1646" t="s">
        <v>2572</v>
      </c>
      <c r="B1646" t="s">
        <v>2573</v>
      </c>
      <c r="C1646" t="s">
        <v>84</v>
      </c>
      <c r="D1646" t="s">
        <v>27</v>
      </c>
      <c r="E1646" t="s">
        <v>45</v>
      </c>
      <c r="F1646" s="1">
        <v>45609</v>
      </c>
      <c r="G1646">
        <v>2020</v>
      </c>
      <c r="H1646" t="s">
        <v>63</v>
      </c>
      <c r="I1646" t="s">
        <v>4336</v>
      </c>
      <c r="J1646" t="s">
        <v>72</v>
      </c>
      <c r="K1646">
        <v>6.4</v>
      </c>
      <c r="L1646">
        <v>5093202</v>
      </c>
      <c r="M1646">
        <v>2189471</v>
      </c>
      <c r="N1646">
        <v>83</v>
      </c>
      <c r="O1646" t="s">
        <v>58</v>
      </c>
      <c r="P1646" t="s">
        <v>4178</v>
      </c>
    </row>
    <row r="1647" spans="1:16" x14ac:dyDescent="0.35">
      <c r="A1647" t="s">
        <v>3395</v>
      </c>
      <c r="B1647" t="s">
        <v>3396</v>
      </c>
      <c r="C1647" t="s">
        <v>53</v>
      </c>
      <c r="D1647" t="s">
        <v>61</v>
      </c>
      <c r="E1647" t="s">
        <v>4196</v>
      </c>
      <c r="F1647" s="1">
        <v>45610</v>
      </c>
      <c r="G1647">
        <v>2025</v>
      </c>
      <c r="H1647" t="s">
        <v>107</v>
      </c>
      <c r="I1647" t="s">
        <v>64</v>
      </c>
      <c r="J1647" t="s">
        <v>23</v>
      </c>
      <c r="K1647">
        <v>7.8</v>
      </c>
      <c r="L1647">
        <v>7691461</v>
      </c>
      <c r="M1647">
        <v>4303561</v>
      </c>
      <c r="N1647">
        <v>73</v>
      </c>
      <c r="O1647" t="s">
        <v>31</v>
      </c>
      <c r="P1647" t="s">
        <v>50</v>
      </c>
    </row>
    <row r="1648" spans="1:16" x14ac:dyDescent="0.35">
      <c r="A1648" t="s">
        <v>3496</v>
      </c>
      <c r="B1648" t="s">
        <v>3497</v>
      </c>
      <c r="C1648" t="s">
        <v>84</v>
      </c>
      <c r="D1648" t="s">
        <v>68</v>
      </c>
      <c r="E1648" t="s">
        <v>4178</v>
      </c>
      <c r="F1648" s="1">
        <v>45612</v>
      </c>
      <c r="G1648">
        <v>2023</v>
      </c>
      <c r="H1648" t="s">
        <v>107</v>
      </c>
      <c r="I1648" t="s">
        <v>4259</v>
      </c>
      <c r="J1648" t="s">
        <v>30</v>
      </c>
      <c r="K1648">
        <v>7.8</v>
      </c>
      <c r="L1648">
        <v>18560504</v>
      </c>
      <c r="M1648">
        <v>1190126</v>
      </c>
      <c r="N1648">
        <v>84</v>
      </c>
      <c r="O1648" t="s">
        <v>49</v>
      </c>
      <c r="P1648" t="s">
        <v>32</v>
      </c>
    </row>
    <row r="1649" spans="1:16" x14ac:dyDescent="0.35">
      <c r="A1649" t="s">
        <v>66</v>
      </c>
      <c r="B1649" t="s">
        <v>67</v>
      </c>
      <c r="C1649" t="s">
        <v>53</v>
      </c>
      <c r="D1649" t="s">
        <v>68</v>
      </c>
      <c r="E1649" t="s">
        <v>69</v>
      </c>
      <c r="F1649" s="1">
        <v>45614</v>
      </c>
      <c r="G1649">
        <v>2010</v>
      </c>
      <c r="H1649" t="s">
        <v>107</v>
      </c>
      <c r="I1649" t="s">
        <v>71</v>
      </c>
      <c r="J1649" t="s">
        <v>72</v>
      </c>
      <c r="K1649">
        <v>7.3</v>
      </c>
      <c r="L1649">
        <v>20603605</v>
      </c>
      <c r="M1649">
        <v>214916</v>
      </c>
      <c r="N1649">
        <v>53</v>
      </c>
      <c r="O1649" t="s">
        <v>4178</v>
      </c>
      <c r="P1649" t="s">
        <v>32</v>
      </c>
    </row>
    <row r="1650" spans="1:16" x14ac:dyDescent="0.35">
      <c r="A1650" t="s">
        <v>1621</v>
      </c>
      <c r="B1650" t="s">
        <v>1620</v>
      </c>
      <c r="C1650" t="s">
        <v>4178</v>
      </c>
      <c r="D1650" t="s">
        <v>19</v>
      </c>
      <c r="E1650" t="s">
        <v>80</v>
      </c>
      <c r="F1650" s="1">
        <v>45616</v>
      </c>
      <c r="G1650">
        <v>2013</v>
      </c>
      <c r="H1650" t="s">
        <v>81</v>
      </c>
      <c r="I1650" t="s">
        <v>136</v>
      </c>
      <c r="J1650" t="s">
        <v>96</v>
      </c>
      <c r="K1650">
        <v>6.6</v>
      </c>
      <c r="L1650">
        <v>10431447</v>
      </c>
      <c r="M1650">
        <v>2075487</v>
      </c>
      <c r="N1650">
        <v>74</v>
      </c>
      <c r="O1650" t="s">
        <v>31</v>
      </c>
      <c r="P1650" t="s">
        <v>32</v>
      </c>
    </row>
    <row r="1651" spans="1:16" x14ac:dyDescent="0.35">
      <c r="A1651" t="s">
        <v>3188</v>
      </c>
      <c r="B1651" t="s">
        <v>3189</v>
      </c>
      <c r="C1651" t="s">
        <v>4178</v>
      </c>
      <c r="D1651" t="s">
        <v>4178</v>
      </c>
      <c r="E1651" t="s">
        <v>55</v>
      </c>
      <c r="F1651" s="1">
        <v>45616</v>
      </c>
      <c r="G1651">
        <v>2021</v>
      </c>
      <c r="H1651" t="s">
        <v>114</v>
      </c>
      <c r="I1651" t="s">
        <v>39</v>
      </c>
      <c r="J1651" t="s">
        <v>72</v>
      </c>
      <c r="K1651">
        <v>5.7</v>
      </c>
      <c r="L1651">
        <v>17026551</v>
      </c>
      <c r="M1651">
        <v>4612987</v>
      </c>
      <c r="N1651">
        <v>98</v>
      </c>
      <c r="O1651" t="s">
        <v>65</v>
      </c>
      <c r="P1651" t="s">
        <v>4178</v>
      </c>
    </row>
    <row r="1652" spans="1:16" x14ac:dyDescent="0.35">
      <c r="A1652" t="s">
        <v>1687</v>
      </c>
      <c r="B1652" t="s">
        <v>1688</v>
      </c>
      <c r="C1652" t="s">
        <v>84</v>
      </c>
      <c r="D1652" t="s">
        <v>90</v>
      </c>
      <c r="E1652" t="s">
        <v>55</v>
      </c>
      <c r="F1652" s="1">
        <v>45617</v>
      </c>
      <c r="G1652">
        <v>2017</v>
      </c>
      <c r="H1652" t="s">
        <v>107</v>
      </c>
      <c r="I1652" t="s">
        <v>4266</v>
      </c>
      <c r="J1652" t="s">
        <v>103</v>
      </c>
      <c r="K1652">
        <v>7.1</v>
      </c>
      <c r="L1652">
        <v>11903536</v>
      </c>
      <c r="M1652">
        <v>2333038</v>
      </c>
      <c r="N1652">
        <v>67</v>
      </c>
      <c r="O1652" t="s">
        <v>49</v>
      </c>
      <c r="P1652" t="s">
        <v>4178</v>
      </c>
    </row>
    <row r="1653" spans="1:16" x14ac:dyDescent="0.35">
      <c r="A1653" t="s">
        <v>542</v>
      </c>
      <c r="B1653" t="s">
        <v>543</v>
      </c>
      <c r="C1653" t="s">
        <v>53</v>
      </c>
      <c r="D1653" t="s">
        <v>27</v>
      </c>
      <c r="E1653" t="s">
        <v>20</v>
      </c>
      <c r="F1653" s="1">
        <v>45623</v>
      </c>
      <c r="G1653">
        <v>2004</v>
      </c>
      <c r="H1653" t="s">
        <v>121</v>
      </c>
      <c r="I1653" t="s">
        <v>71</v>
      </c>
      <c r="J1653" t="s">
        <v>40</v>
      </c>
      <c r="K1653">
        <v>6.5</v>
      </c>
      <c r="L1653">
        <v>5477188</v>
      </c>
      <c r="M1653">
        <v>3971443</v>
      </c>
      <c r="N1653">
        <v>93</v>
      </c>
      <c r="O1653" t="s">
        <v>41</v>
      </c>
      <c r="P1653" t="s">
        <v>50</v>
      </c>
    </row>
    <row r="1654" spans="1:16" x14ac:dyDescent="0.35">
      <c r="A1654" t="s">
        <v>3275</v>
      </c>
      <c r="B1654" t="s">
        <v>3276</v>
      </c>
      <c r="C1654" t="s">
        <v>84</v>
      </c>
      <c r="D1654" t="s">
        <v>19</v>
      </c>
      <c r="E1654" t="s">
        <v>4178</v>
      </c>
      <c r="F1654" s="1">
        <v>45624</v>
      </c>
      <c r="G1654">
        <v>2015</v>
      </c>
      <c r="H1654" t="s">
        <v>107</v>
      </c>
      <c r="I1654" t="s">
        <v>4265</v>
      </c>
      <c r="J1654" t="s">
        <v>133</v>
      </c>
      <c r="K1654">
        <v>8.1999999999999993</v>
      </c>
      <c r="L1654">
        <v>20122719</v>
      </c>
      <c r="M1654">
        <v>1493228</v>
      </c>
      <c r="N1654">
        <v>75</v>
      </c>
      <c r="O1654" t="s">
        <v>31</v>
      </c>
      <c r="P1654" t="s">
        <v>32</v>
      </c>
    </row>
    <row r="1655" spans="1:16" x14ac:dyDescent="0.35">
      <c r="A1655" t="s">
        <v>3236</v>
      </c>
      <c r="B1655" t="s">
        <v>3237</v>
      </c>
      <c r="C1655" t="s">
        <v>84</v>
      </c>
      <c r="D1655" t="s">
        <v>90</v>
      </c>
      <c r="E1655" t="s">
        <v>69</v>
      </c>
      <c r="F1655" s="1">
        <v>45625</v>
      </c>
      <c r="G1655">
        <v>2011</v>
      </c>
      <c r="H1655" t="s">
        <v>107</v>
      </c>
      <c r="I1655" t="s">
        <v>4178</v>
      </c>
      <c r="J1655" t="s">
        <v>48</v>
      </c>
      <c r="K1655">
        <v>5.0999999999999996</v>
      </c>
      <c r="L1655">
        <v>15557954</v>
      </c>
      <c r="M1655">
        <v>2124061</v>
      </c>
      <c r="N1655">
        <v>98</v>
      </c>
      <c r="O1655" t="s">
        <v>41</v>
      </c>
      <c r="P1655" t="s">
        <v>32</v>
      </c>
    </row>
    <row r="1656" spans="1:16" x14ac:dyDescent="0.35">
      <c r="A1656" t="s">
        <v>493</v>
      </c>
      <c r="B1656" t="s">
        <v>494</v>
      </c>
      <c r="C1656" t="s">
        <v>84</v>
      </c>
      <c r="D1656" t="s">
        <v>75</v>
      </c>
      <c r="E1656" t="s">
        <v>28</v>
      </c>
      <c r="F1656" s="1">
        <v>45626</v>
      </c>
      <c r="G1656">
        <v>2017</v>
      </c>
      <c r="H1656" t="s">
        <v>81</v>
      </c>
      <c r="I1656" t="s">
        <v>4198</v>
      </c>
      <c r="J1656" t="s">
        <v>72</v>
      </c>
      <c r="K1656">
        <v>6.5</v>
      </c>
      <c r="L1656">
        <v>13085149</v>
      </c>
      <c r="M1656">
        <v>2278344</v>
      </c>
      <c r="N1656">
        <v>49</v>
      </c>
      <c r="O1656" t="s">
        <v>41</v>
      </c>
      <c r="P1656" t="s">
        <v>4181</v>
      </c>
    </row>
    <row r="1657" spans="1:16" x14ac:dyDescent="0.35">
      <c r="A1657" t="s">
        <v>3210</v>
      </c>
      <c r="B1657" t="s">
        <v>3211</v>
      </c>
      <c r="C1657" t="s">
        <v>84</v>
      </c>
      <c r="D1657" t="s">
        <v>75</v>
      </c>
      <c r="E1657" t="s">
        <v>20</v>
      </c>
      <c r="F1657" s="1">
        <v>45630</v>
      </c>
      <c r="G1657">
        <v>2019</v>
      </c>
      <c r="H1657" t="s">
        <v>63</v>
      </c>
      <c r="I1657" t="s">
        <v>4244</v>
      </c>
      <c r="J1657" t="s">
        <v>133</v>
      </c>
      <c r="K1657">
        <v>6</v>
      </c>
      <c r="L1657">
        <v>1967109</v>
      </c>
      <c r="M1657">
        <v>4334443</v>
      </c>
      <c r="N1657">
        <v>89</v>
      </c>
      <c r="O1657" t="s">
        <v>91</v>
      </c>
      <c r="P1657" t="s">
        <v>50</v>
      </c>
    </row>
    <row r="1658" spans="1:16" x14ac:dyDescent="0.35">
      <c r="A1658" t="s">
        <v>1282</v>
      </c>
      <c r="B1658" t="s">
        <v>1283</v>
      </c>
      <c r="C1658" t="s">
        <v>84</v>
      </c>
      <c r="D1658" t="s">
        <v>75</v>
      </c>
      <c r="E1658" t="s">
        <v>37</v>
      </c>
      <c r="F1658" s="1">
        <v>45631</v>
      </c>
      <c r="G1658">
        <v>2008</v>
      </c>
      <c r="H1658" t="s">
        <v>46</v>
      </c>
      <c r="I1658" t="s">
        <v>4230</v>
      </c>
      <c r="J1658" t="s">
        <v>23</v>
      </c>
      <c r="K1658">
        <v>6.8</v>
      </c>
      <c r="L1658">
        <v>19869096</v>
      </c>
      <c r="M1658">
        <v>195165</v>
      </c>
      <c r="N1658">
        <v>47</v>
      </c>
      <c r="O1658" t="s">
        <v>58</v>
      </c>
      <c r="P1658" t="s">
        <v>32</v>
      </c>
    </row>
    <row r="1659" spans="1:16" x14ac:dyDescent="0.35">
      <c r="A1659" t="s">
        <v>3640</v>
      </c>
      <c r="B1659" t="s">
        <v>3641</v>
      </c>
      <c r="C1659" t="s">
        <v>84</v>
      </c>
      <c r="D1659" t="s">
        <v>54</v>
      </c>
      <c r="E1659" t="s">
        <v>37</v>
      </c>
      <c r="F1659" s="1">
        <v>45632</v>
      </c>
      <c r="G1659">
        <v>2006</v>
      </c>
      <c r="H1659" t="s">
        <v>38</v>
      </c>
      <c r="I1659" t="s">
        <v>4293</v>
      </c>
      <c r="J1659" t="s">
        <v>96</v>
      </c>
      <c r="K1659">
        <v>9</v>
      </c>
      <c r="L1659">
        <v>8309086</v>
      </c>
      <c r="M1659">
        <v>3368512</v>
      </c>
      <c r="N1659">
        <v>60</v>
      </c>
      <c r="O1659" t="s">
        <v>58</v>
      </c>
      <c r="P1659" t="s">
        <v>4178</v>
      </c>
    </row>
    <row r="1660" spans="1:16" x14ac:dyDescent="0.35">
      <c r="A1660" t="s">
        <v>2635</v>
      </c>
      <c r="B1660" t="s">
        <v>2636</v>
      </c>
      <c r="C1660" t="s">
        <v>4178</v>
      </c>
      <c r="D1660" t="s">
        <v>94</v>
      </c>
      <c r="E1660" t="s">
        <v>62</v>
      </c>
      <c r="F1660" s="1">
        <v>45633</v>
      </c>
      <c r="G1660">
        <v>2014</v>
      </c>
      <c r="H1660" t="s">
        <v>114</v>
      </c>
      <c r="I1660" t="s">
        <v>71</v>
      </c>
      <c r="J1660" t="s">
        <v>133</v>
      </c>
      <c r="K1660">
        <v>9.4</v>
      </c>
      <c r="L1660">
        <v>8905275</v>
      </c>
      <c r="M1660">
        <v>3450149</v>
      </c>
      <c r="N1660">
        <v>61</v>
      </c>
      <c r="O1660" t="s">
        <v>65</v>
      </c>
      <c r="P1660" t="s">
        <v>32</v>
      </c>
    </row>
    <row r="1661" spans="1:16" x14ac:dyDescent="0.35">
      <c r="A1661" t="s">
        <v>2673</v>
      </c>
      <c r="B1661" t="s">
        <v>2674</v>
      </c>
      <c r="C1661" t="s">
        <v>84</v>
      </c>
      <c r="D1661" t="s">
        <v>90</v>
      </c>
      <c r="E1661" t="s">
        <v>69</v>
      </c>
      <c r="F1661" s="1">
        <v>45636</v>
      </c>
      <c r="G1661">
        <v>2005</v>
      </c>
      <c r="H1661" t="s">
        <v>107</v>
      </c>
      <c r="I1661" t="s">
        <v>4301</v>
      </c>
      <c r="J1661" t="s">
        <v>133</v>
      </c>
      <c r="K1661">
        <v>6</v>
      </c>
      <c r="L1661">
        <v>9063948</v>
      </c>
      <c r="M1661">
        <v>2737168</v>
      </c>
      <c r="N1661">
        <v>47</v>
      </c>
      <c r="O1661" t="s">
        <v>91</v>
      </c>
      <c r="P1661" t="s">
        <v>32</v>
      </c>
    </row>
    <row r="1662" spans="1:16" x14ac:dyDescent="0.35">
      <c r="A1662" t="s">
        <v>1492</v>
      </c>
      <c r="B1662" t="s">
        <v>1493</v>
      </c>
      <c r="C1662" t="s">
        <v>84</v>
      </c>
      <c r="D1662" t="s">
        <v>94</v>
      </c>
      <c r="E1662" t="s">
        <v>80</v>
      </c>
      <c r="F1662" s="1">
        <v>45638</v>
      </c>
      <c r="G1662">
        <v>2004</v>
      </c>
      <c r="H1662" t="s">
        <v>85</v>
      </c>
      <c r="I1662" t="s">
        <v>4186</v>
      </c>
      <c r="J1662" t="s">
        <v>72</v>
      </c>
      <c r="K1662">
        <v>6.4</v>
      </c>
      <c r="L1662">
        <v>19983208</v>
      </c>
      <c r="M1662">
        <v>2329520</v>
      </c>
      <c r="N1662">
        <v>45</v>
      </c>
      <c r="O1662" t="s">
        <v>31</v>
      </c>
      <c r="P1662" t="s">
        <v>32</v>
      </c>
    </row>
    <row r="1663" spans="1:16" x14ac:dyDescent="0.35">
      <c r="A1663" t="s">
        <v>2916</v>
      </c>
      <c r="B1663" t="s">
        <v>2917</v>
      </c>
      <c r="C1663" t="s">
        <v>84</v>
      </c>
      <c r="D1663" t="s">
        <v>90</v>
      </c>
      <c r="E1663" t="s">
        <v>4178</v>
      </c>
      <c r="F1663" s="1">
        <v>45638</v>
      </c>
      <c r="G1663">
        <v>2026</v>
      </c>
      <c r="H1663" t="s">
        <v>21</v>
      </c>
      <c r="I1663" t="s">
        <v>4208</v>
      </c>
      <c r="J1663" t="s">
        <v>133</v>
      </c>
      <c r="K1663">
        <v>5.8</v>
      </c>
      <c r="L1663">
        <v>11151115</v>
      </c>
      <c r="M1663">
        <v>4380251</v>
      </c>
      <c r="N1663">
        <v>70</v>
      </c>
      <c r="O1663" t="s">
        <v>65</v>
      </c>
      <c r="P1663" t="s">
        <v>87</v>
      </c>
    </row>
    <row r="1664" spans="1:16" x14ac:dyDescent="0.35">
      <c r="A1664" t="s">
        <v>3820</v>
      </c>
      <c r="B1664" t="s">
        <v>3821</v>
      </c>
      <c r="C1664" t="s">
        <v>84</v>
      </c>
      <c r="D1664" t="s">
        <v>75</v>
      </c>
      <c r="E1664" t="s">
        <v>131</v>
      </c>
      <c r="F1664" s="1">
        <v>45639</v>
      </c>
      <c r="G1664">
        <v>2012</v>
      </c>
      <c r="H1664" t="s">
        <v>107</v>
      </c>
      <c r="I1664" t="s">
        <v>4285</v>
      </c>
      <c r="J1664" t="s">
        <v>133</v>
      </c>
      <c r="K1664">
        <v>9.8000000000000007</v>
      </c>
      <c r="L1664">
        <v>23328296</v>
      </c>
      <c r="M1664">
        <v>4554145</v>
      </c>
      <c r="N1664">
        <v>82</v>
      </c>
      <c r="O1664" t="s">
        <v>91</v>
      </c>
      <c r="P1664" t="s">
        <v>50</v>
      </c>
    </row>
    <row r="1665" spans="1:16" x14ac:dyDescent="0.35">
      <c r="A1665" t="s">
        <v>2713</v>
      </c>
      <c r="B1665" t="s">
        <v>2714</v>
      </c>
      <c r="C1665" t="s">
        <v>84</v>
      </c>
      <c r="D1665" t="s">
        <v>156</v>
      </c>
      <c r="E1665" t="s">
        <v>37</v>
      </c>
      <c r="F1665" s="1">
        <v>45640</v>
      </c>
      <c r="G1665">
        <v>2002</v>
      </c>
      <c r="H1665" t="s">
        <v>46</v>
      </c>
      <c r="I1665" t="s">
        <v>4254</v>
      </c>
      <c r="J1665" t="s">
        <v>103</v>
      </c>
      <c r="K1665">
        <v>5.8</v>
      </c>
      <c r="L1665">
        <v>6991087</v>
      </c>
      <c r="M1665">
        <v>72597</v>
      </c>
      <c r="N1665">
        <v>75</v>
      </c>
      <c r="O1665" t="s">
        <v>49</v>
      </c>
      <c r="P1665" t="s">
        <v>87</v>
      </c>
    </row>
    <row r="1666" spans="1:16" x14ac:dyDescent="0.35">
      <c r="A1666" t="s">
        <v>3725</v>
      </c>
      <c r="B1666" t="s">
        <v>3726</v>
      </c>
      <c r="C1666" t="s">
        <v>84</v>
      </c>
      <c r="D1666" t="s">
        <v>75</v>
      </c>
      <c r="E1666" t="s">
        <v>131</v>
      </c>
      <c r="F1666" s="1">
        <v>45640</v>
      </c>
      <c r="G1666">
        <v>2017</v>
      </c>
      <c r="H1666" t="s">
        <v>4178</v>
      </c>
      <c r="I1666" t="s">
        <v>4213</v>
      </c>
      <c r="J1666" t="s">
        <v>103</v>
      </c>
      <c r="K1666">
        <v>5.2</v>
      </c>
      <c r="L1666">
        <v>277774</v>
      </c>
      <c r="M1666">
        <v>4745580</v>
      </c>
      <c r="N1666">
        <v>45</v>
      </c>
      <c r="O1666" t="s">
        <v>104</v>
      </c>
      <c r="P1666" t="s">
        <v>4181</v>
      </c>
    </row>
    <row r="1667" spans="1:16" x14ac:dyDescent="0.35">
      <c r="A1667" t="s">
        <v>1677</v>
      </c>
      <c r="B1667" t="s">
        <v>1678</v>
      </c>
      <c r="C1667" t="s">
        <v>84</v>
      </c>
      <c r="D1667" t="s">
        <v>54</v>
      </c>
      <c r="E1667" t="s">
        <v>62</v>
      </c>
      <c r="F1667" s="1">
        <v>45647</v>
      </c>
      <c r="G1667">
        <v>2009</v>
      </c>
      <c r="H1667" t="s">
        <v>81</v>
      </c>
      <c r="I1667" t="s">
        <v>4227</v>
      </c>
      <c r="J1667" t="s">
        <v>96</v>
      </c>
      <c r="K1667">
        <v>7.1</v>
      </c>
      <c r="L1667">
        <v>14465104</v>
      </c>
      <c r="M1667">
        <v>842233</v>
      </c>
      <c r="N1667">
        <v>59</v>
      </c>
      <c r="O1667" t="s">
        <v>58</v>
      </c>
      <c r="P1667" t="s">
        <v>87</v>
      </c>
    </row>
    <row r="1668" spans="1:16" x14ac:dyDescent="0.35">
      <c r="A1668" t="s">
        <v>3644</v>
      </c>
      <c r="B1668" t="s">
        <v>3645</v>
      </c>
      <c r="C1668" t="s">
        <v>84</v>
      </c>
      <c r="D1668" t="s">
        <v>27</v>
      </c>
      <c r="E1668" t="s">
        <v>37</v>
      </c>
      <c r="F1668" s="1">
        <v>45647</v>
      </c>
      <c r="G1668">
        <v>2001</v>
      </c>
      <c r="H1668" t="s">
        <v>4178</v>
      </c>
      <c r="I1668" t="s">
        <v>4294</v>
      </c>
      <c r="J1668" t="s">
        <v>72</v>
      </c>
      <c r="K1668">
        <v>6.4</v>
      </c>
      <c r="L1668">
        <v>13030000</v>
      </c>
      <c r="M1668">
        <v>2634778</v>
      </c>
      <c r="N1668">
        <v>94</v>
      </c>
      <c r="O1668" t="s">
        <v>104</v>
      </c>
      <c r="P1668" t="s">
        <v>32</v>
      </c>
    </row>
    <row r="1669" spans="1:16" x14ac:dyDescent="0.35">
      <c r="A1669" t="s">
        <v>2172</v>
      </c>
      <c r="B1669" t="s">
        <v>2173</v>
      </c>
      <c r="C1669" t="s">
        <v>53</v>
      </c>
      <c r="D1669" t="s">
        <v>19</v>
      </c>
      <c r="E1669" t="s">
        <v>4196</v>
      </c>
      <c r="F1669" s="1">
        <v>45652</v>
      </c>
      <c r="G1669">
        <v>2020</v>
      </c>
      <c r="H1669" t="s">
        <v>46</v>
      </c>
      <c r="I1669" t="s">
        <v>39</v>
      </c>
      <c r="J1669" t="s">
        <v>30</v>
      </c>
      <c r="K1669">
        <v>5.7</v>
      </c>
      <c r="L1669">
        <v>287387</v>
      </c>
      <c r="M1669">
        <v>1867400</v>
      </c>
      <c r="N1669">
        <v>89</v>
      </c>
      <c r="O1669" t="s">
        <v>65</v>
      </c>
      <c r="P1669" t="s">
        <v>32</v>
      </c>
    </row>
    <row r="1670" spans="1:16" x14ac:dyDescent="0.35">
      <c r="A1670" t="s">
        <v>1913</v>
      </c>
      <c r="B1670" t="s">
        <v>1914</v>
      </c>
      <c r="C1670" t="s">
        <v>53</v>
      </c>
      <c r="D1670" t="s">
        <v>75</v>
      </c>
      <c r="E1670" t="s">
        <v>80</v>
      </c>
      <c r="F1670" s="1">
        <v>45653</v>
      </c>
      <c r="G1670">
        <v>2008</v>
      </c>
      <c r="H1670" t="s">
        <v>21</v>
      </c>
      <c r="I1670" t="s">
        <v>39</v>
      </c>
      <c r="J1670" t="s">
        <v>103</v>
      </c>
      <c r="K1670">
        <v>9.1999999999999993</v>
      </c>
      <c r="L1670">
        <v>20037546</v>
      </c>
      <c r="M1670">
        <v>582480</v>
      </c>
      <c r="N1670">
        <v>83</v>
      </c>
      <c r="O1670" t="s">
        <v>41</v>
      </c>
      <c r="P1670" t="s">
        <v>50</v>
      </c>
    </row>
    <row r="1671" spans="1:16" x14ac:dyDescent="0.35">
      <c r="A1671" t="s">
        <v>2663</v>
      </c>
      <c r="B1671" t="s">
        <v>2664</v>
      </c>
      <c r="C1671" t="s">
        <v>84</v>
      </c>
      <c r="D1671" t="s">
        <v>54</v>
      </c>
      <c r="E1671" t="s">
        <v>55</v>
      </c>
      <c r="F1671" s="1">
        <v>45659</v>
      </c>
      <c r="G1671">
        <v>2023</v>
      </c>
      <c r="H1671" t="s">
        <v>63</v>
      </c>
      <c r="I1671" t="s">
        <v>4283</v>
      </c>
      <c r="J1671" t="s">
        <v>72</v>
      </c>
      <c r="K1671">
        <v>8.6</v>
      </c>
      <c r="L1671">
        <v>8259701</v>
      </c>
      <c r="M1671">
        <v>4405442</v>
      </c>
      <c r="N1671">
        <v>43</v>
      </c>
      <c r="O1671" t="s">
        <v>49</v>
      </c>
      <c r="P1671" t="s">
        <v>50</v>
      </c>
    </row>
    <row r="1672" spans="1:16" x14ac:dyDescent="0.35">
      <c r="A1672" t="s">
        <v>395</v>
      </c>
      <c r="B1672" t="s">
        <v>396</v>
      </c>
      <c r="C1672" t="s">
        <v>84</v>
      </c>
      <c r="D1672" t="s">
        <v>68</v>
      </c>
      <c r="E1672" t="s">
        <v>28</v>
      </c>
      <c r="F1672" s="1">
        <v>45664</v>
      </c>
      <c r="G1672">
        <v>2018</v>
      </c>
      <c r="H1672" t="s">
        <v>107</v>
      </c>
      <c r="I1672" t="s">
        <v>4234</v>
      </c>
      <c r="J1672" t="s">
        <v>72</v>
      </c>
      <c r="K1672">
        <v>4.9000000000000004</v>
      </c>
      <c r="L1672">
        <v>5051379</v>
      </c>
      <c r="M1672">
        <v>4650354</v>
      </c>
      <c r="N1672">
        <v>95</v>
      </c>
      <c r="O1672" t="s">
        <v>58</v>
      </c>
      <c r="P1672" t="s">
        <v>4181</v>
      </c>
    </row>
    <row r="1673" spans="1:16" x14ac:dyDescent="0.35">
      <c r="A1673" t="s">
        <v>2145</v>
      </c>
      <c r="B1673" t="s">
        <v>2146</v>
      </c>
      <c r="C1673" t="s">
        <v>84</v>
      </c>
      <c r="D1673" t="s">
        <v>36</v>
      </c>
      <c r="E1673" t="s">
        <v>20</v>
      </c>
      <c r="F1673" s="1">
        <v>45667</v>
      </c>
      <c r="G1673">
        <v>2016</v>
      </c>
      <c r="H1673" t="s">
        <v>46</v>
      </c>
      <c r="I1673" t="s">
        <v>4237</v>
      </c>
      <c r="J1673" t="s">
        <v>96</v>
      </c>
      <c r="K1673">
        <v>9.6999999999999993</v>
      </c>
      <c r="L1673">
        <v>21664533</v>
      </c>
      <c r="M1673">
        <v>3347590</v>
      </c>
      <c r="N1673">
        <v>60</v>
      </c>
      <c r="O1673" t="s">
        <v>65</v>
      </c>
      <c r="P1673" t="s">
        <v>4181</v>
      </c>
    </row>
    <row r="1674" spans="1:16" x14ac:dyDescent="0.35">
      <c r="A1674" t="s">
        <v>2888</v>
      </c>
      <c r="B1674" t="s">
        <v>2889</v>
      </c>
      <c r="C1674" t="s">
        <v>84</v>
      </c>
      <c r="D1674" t="s">
        <v>61</v>
      </c>
      <c r="E1674" t="s">
        <v>69</v>
      </c>
      <c r="F1674" s="1">
        <v>45669</v>
      </c>
      <c r="G1674">
        <v>2004</v>
      </c>
      <c r="H1674" t="s">
        <v>4178</v>
      </c>
      <c r="I1674" t="s">
        <v>4264</v>
      </c>
      <c r="J1674" t="s">
        <v>72</v>
      </c>
      <c r="K1674">
        <v>5.0999999999999996</v>
      </c>
      <c r="L1674">
        <v>11733790</v>
      </c>
      <c r="M1674">
        <v>2651005</v>
      </c>
      <c r="N1674">
        <v>91</v>
      </c>
      <c r="O1674" t="s">
        <v>4178</v>
      </c>
      <c r="P1674" t="s">
        <v>87</v>
      </c>
    </row>
    <row r="1675" spans="1:16" x14ac:dyDescent="0.35">
      <c r="A1675" t="s">
        <v>2282</v>
      </c>
      <c r="B1675" t="s">
        <v>2283</v>
      </c>
      <c r="C1675" t="s">
        <v>4178</v>
      </c>
      <c r="D1675" t="s">
        <v>75</v>
      </c>
      <c r="E1675" t="s">
        <v>69</v>
      </c>
      <c r="F1675" s="1">
        <v>45674</v>
      </c>
      <c r="G1675">
        <v>2020</v>
      </c>
      <c r="H1675" t="s">
        <v>121</v>
      </c>
      <c r="I1675" t="s">
        <v>162</v>
      </c>
      <c r="J1675" t="s">
        <v>96</v>
      </c>
      <c r="K1675">
        <v>6.5</v>
      </c>
      <c r="L1675">
        <v>9355876</v>
      </c>
      <c r="M1675">
        <v>2421162</v>
      </c>
      <c r="N1675">
        <v>56</v>
      </c>
      <c r="O1675" t="s">
        <v>4178</v>
      </c>
      <c r="P1675" t="s">
        <v>32</v>
      </c>
    </row>
    <row r="1676" spans="1:16" x14ac:dyDescent="0.35">
      <c r="A1676" t="s">
        <v>3245</v>
      </c>
      <c r="B1676" t="s">
        <v>3246</v>
      </c>
      <c r="C1676" t="s">
        <v>84</v>
      </c>
      <c r="D1676" t="s">
        <v>36</v>
      </c>
      <c r="E1676" t="s">
        <v>99</v>
      </c>
      <c r="F1676" s="1">
        <v>45675</v>
      </c>
      <c r="G1676">
        <v>2002</v>
      </c>
      <c r="H1676" t="s">
        <v>107</v>
      </c>
      <c r="I1676" t="s">
        <v>4260</v>
      </c>
      <c r="J1676" t="s">
        <v>133</v>
      </c>
      <c r="K1676">
        <v>9.4</v>
      </c>
      <c r="L1676">
        <v>7519269</v>
      </c>
      <c r="M1676">
        <v>4741772</v>
      </c>
      <c r="N1676">
        <v>93</v>
      </c>
      <c r="O1676" t="s">
        <v>91</v>
      </c>
      <c r="P1676" t="s">
        <v>50</v>
      </c>
    </row>
    <row r="1677" spans="1:16" x14ac:dyDescent="0.35">
      <c r="A1677" t="s">
        <v>1043</v>
      </c>
      <c r="B1677" t="s">
        <v>1044</v>
      </c>
      <c r="C1677" t="s">
        <v>84</v>
      </c>
      <c r="D1677" t="s">
        <v>94</v>
      </c>
      <c r="E1677" t="s">
        <v>80</v>
      </c>
      <c r="F1677" s="1">
        <v>45678</v>
      </c>
      <c r="G1677">
        <v>2000</v>
      </c>
      <c r="H1677" t="s">
        <v>107</v>
      </c>
      <c r="I1677" t="s">
        <v>4214</v>
      </c>
      <c r="J1677" t="s">
        <v>23</v>
      </c>
      <c r="K1677">
        <v>4.7</v>
      </c>
      <c r="L1677">
        <v>11386666</v>
      </c>
      <c r="M1677">
        <v>2197668</v>
      </c>
      <c r="N1677">
        <v>74</v>
      </c>
      <c r="O1677" t="s">
        <v>91</v>
      </c>
      <c r="P1677" t="s">
        <v>4178</v>
      </c>
    </row>
    <row r="1678" spans="1:16" x14ac:dyDescent="0.35">
      <c r="A1678" t="s">
        <v>2810</v>
      </c>
      <c r="B1678" t="s">
        <v>2811</v>
      </c>
      <c r="C1678" t="s">
        <v>53</v>
      </c>
      <c r="D1678" t="s">
        <v>68</v>
      </c>
      <c r="E1678" t="s">
        <v>99</v>
      </c>
      <c r="F1678" s="1">
        <v>45678</v>
      </c>
      <c r="G1678">
        <v>2014</v>
      </c>
      <c r="H1678" t="s">
        <v>85</v>
      </c>
      <c r="I1678" t="s">
        <v>118</v>
      </c>
      <c r="J1678" t="s">
        <v>103</v>
      </c>
      <c r="K1678">
        <v>6.2</v>
      </c>
      <c r="L1678">
        <v>7949201</v>
      </c>
      <c r="M1678">
        <v>2833673</v>
      </c>
      <c r="N1678">
        <v>72</v>
      </c>
      <c r="O1678" t="s">
        <v>58</v>
      </c>
      <c r="P1678" t="s">
        <v>4181</v>
      </c>
    </row>
    <row r="1679" spans="1:16" x14ac:dyDescent="0.35">
      <c r="A1679" t="s">
        <v>2322</v>
      </c>
      <c r="B1679" t="s">
        <v>2323</v>
      </c>
      <c r="C1679" t="s">
        <v>84</v>
      </c>
      <c r="D1679" t="s">
        <v>156</v>
      </c>
      <c r="E1679" t="s">
        <v>4196</v>
      </c>
      <c r="F1679" s="1">
        <v>45679</v>
      </c>
      <c r="G1679">
        <v>2010</v>
      </c>
      <c r="H1679" t="s">
        <v>38</v>
      </c>
      <c r="I1679" t="s">
        <v>4180</v>
      </c>
      <c r="J1679" t="s">
        <v>133</v>
      </c>
      <c r="K1679">
        <v>7</v>
      </c>
      <c r="L1679">
        <v>13735907</v>
      </c>
      <c r="M1679">
        <v>1552107</v>
      </c>
      <c r="N1679">
        <v>46</v>
      </c>
      <c r="O1679" t="s">
        <v>65</v>
      </c>
      <c r="P1679" t="s">
        <v>4181</v>
      </c>
    </row>
    <row r="1680" spans="1:16" x14ac:dyDescent="0.35">
      <c r="A1680" t="s">
        <v>3741</v>
      </c>
      <c r="B1680" t="s">
        <v>3742</v>
      </c>
      <c r="C1680" t="s">
        <v>84</v>
      </c>
      <c r="D1680" t="s">
        <v>156</v>
      </c>
      <c r="E1680" t="s">
        <v>4178</v>
      </c>
      <c r="F1680" s="1">
        <v>45680</v>
      </c>
      <c r="G1680">
        <v>2025</v>
      </c>
      <c r="H1680" t="s">
        <v>107</v>
      </c>
      <c r="I1680" t="s">
        <v>4178</v>
      </c>
      <c r="J1680" t="s">
        <v>48</v>
      </c>
      <c r="K1680">
        <v>8.9</v>
      </c>
      <c r="L1680">
        <v>20306270</v>
      </c>
      <c r="M1680">
        <v>3225581</v>
      </c>
      <c r="N1680">
        <v>40</v>
      </c>
      <c r="O1680" t="s">
        <v>4178</v>
      </c>
      <c r="P1680" t="s">
        <v>4178</v>
      </c>
    </row>
    <row r="1681" spans="1:16" x14ac:dyDescent="0.35">
      <c r="A1681" t="s">
        <v>846</v>
      </c>
      <c r="B1681" t="s">
        <v>847</v>
      </c>
      <c r="C1681" t="s">
        <v>53</v>
      </c>
      <c r="D1681" t="s">
        <v>156</v>
      </c>
      <c r="E1681" t="s">
        <v>99</v>
      </c>
      <c r="F1681" s="1">
        <v>45686</v>
      </c>
      <c r="G1681">
        <v>2002</v>
      </c>
      <c r="H1681" t="s">
        <v>121</v>
      </c>
      <c r="I1681" t="s">
        <v>39</v>
      </c>
      <c r="J1681" t="s">
        <v>133</v>
      </c>
      <c r="K1681">
        <v>9.6</v>
      </c>
      <c r="L1681">
        <v>17757801</v>
      </c>
      <c r="M1681">
        <v>2374221</v>
      </c>
      <c r="N1681">
        <v>74</v>
      </c>
      <c r="O1681" t="s">
        <v>91</v>
      </c>
      <c r="P1681" t="s">
        <v>32</v>
      </c>
    </row>
    <row r="1682" spans="1:16" x14ac:dyDescent="0.35">
      <c r="A1682" t="s">
        <v>1275</v>
      </c>
      <c r="B1682" t="s">
        <v>1276</v>
      </c>
      <c r="C1682" t="s">
        <v>53</v>
      </c>
      <c r="D1682" t="s">
        <v>68</v>
      </c>
      <c r="E1682" t="s">
        <v>4196</v>
      </c>
      <c r="F1682" s="1">
        <v>45686</v>
      </c>
      <c r="G1682">
        <v>2002</v>
      </c>
      <c r="H1682" t="s">
        <v>85</v>
      </c>
      <c r="I1682" t="s">
        <v>95</v>
      </c>
      <c r="J1682" t="s">
        <v>40</v>
      </c>
      <c r="K1682">
        <v>4.9000000000000004</v>
      </c>
      <c r="L1682">
        <v>4731789</v>
      </c>
      <c r="M1682">
        <v>4035909</v>
      </c>
      <c r="N1682">
        <v>87</v>
      </c>
      <c r="O1682" t="s">
        <v>49</v>
      </c>
      <c r="P1682" t="s">
        <v>4178</v>
      </c>
    </row>
    <row r="1683" spans="1:16" x14ac:dyDescent="0.35">
      <c r="A1683" t="s">
        <v>2768</v>
      </c>
      <c r="B1683" t="s">
        <v>2769</v>
      </c>
      <c r="C1683" t="s">
        <v>53</v>
      </c>
      <c r="D1683" t="s">
        <v>4178</v>
      </c>
      <c r="E1683" t="s">
        <v>20</v>
      </c>
      <c r="F1683" s="1">
        <v>45686</v>
      </c>
      <c r="G1683">
        <v>2025</v>
      </c>
      <c r="H1683" t="s">
        <v>114</v>
      </c>
      <c r="I1683" t="s">
        <v>71</v>
      </c>
      <c r="J1683" t="s">
        <v>103</v>
      </c>
      <c r="K1683">
        <v>5.0999999999999996</v>
      </c>
      <c r="L1683">
        <v>7495746</v>
      </c>
      <c r="M1683">
        <v>2704054</v>
      </c>
      <c r="N1683">
        <v>57</v>
      </c>
      <c r="O1683" t="s">
        <v>41</v>
      </c>
      <c r="P1683" t="s">
        <v>87</v>
      </c>
    </row>
    <row r="1684" spans="1:16" x14ac:dyDescent="0.35">
      <c r="A1684" t="s">
        <v>2794</v>
      </c>
      <c r="B1684" t="s">
        <v>2795</v>
      </c>
      <c r="C1684" t="s">
        <v>84</v>
      </c>
      <c r="D1684" t="s">
        <v>68</v>
      </c>
      <c r="E1684" t="s">
        <v>69</v>
      </c>
      <c r="F1684" s="1">
        <v>45690</v>
      </c>
      <c r="G1684">
        <v>2022</v>
      </c>
      <c r="H1684" t="s">
        <v>114</v>
      </c>
      <c r="I1684" t="s">
        <v>4264</v>
      </c>
      <c r="J1684" t="s">
        <v>57</v>
      </c>
      <c r="K1684">
        <v>6.7</v>
      </c>
      <c r="L1684">
        <v>5285366</v>
      </c>
      <c r="M1684">
        <v>4903397</v>
      </c>
      <c r="N1684">
        <v>57</v>
      </c>
      <c r="O1684" t="s">
        <v>104</v>
      </c>
      <c r="P1684" t="s">
        <v>32</v>
      </c>
    </row>
    <row r="1685" spans="1:16" x14ac:dyDescent="0.35">
      <c r="A1685" t="s">
        <v>1253</v>
      </c>
      <c r="B1685" t="s">
        <v>1254</v>
      </c>
      <c r="C1685" t="s">
        <v>53</v>
      </c>
      <c r="D1685" t="s">
        <v>36</v>
      </c>
      <c r="E1685" t="s">
        <v>62</v>
      </c>
      <c r="F1685" s="1">
        <v>45691</v>
      </c>
      <c r="G1685">
        <v>2021</v>
      </c>
      <c r="H1685" t="s">
        <v>38</v>
      </c>
      <c r="I1685" t="s">
        <v>4178</v>
      </c>
      <c r="J1685" t="s">
        <v>133</v>
      </c>
      <c r="K1685">
        <v>8.4</v>
      </c>
      <c r="L1685">
        <v>1449031</v>
      </c>
      <c r="M1685">
        <v>4199311</v>
      </c>
      <c r="N1685">
        <v>51</v>
      </c>
      <c r="O1685" t="s">
        <v>123</v>
      </c>
      <c r="P1685" t="s">
        <v>87</v>
      </c>
    </row>
    <row r="1686" spans="1:16" x14ac:dyDescent="0.35">
      <c r="A1686" t="s">
        <v>3025</v>
      </c>
      <c r="B1686" t="s">
        <v>3026</v>
      </c>
      <c r="C1686" t="s">
        <v>53</v>
      </c>
      <c r="D1686" t="s">
        <v>68</v>
      </c>
      <c r="E1686" t="s">
        <v>37</v>
      </c>
      <c r="F1686" s="1">
        <v>45691</v>
      </c>
      <c r="G1686">
        <v>2032</v>
      </c>
      <c r="H1686" t="s">
        <v>4178</v>
      </c>
      <c r="I1686" t="s">
        <v>71</v>
      </c>
      <c r="J1686" t="s">
        <v>48</v>
      </c>
      <c r="K1686">
        <v>5.5</v>
      </c>
      <c r="L1686">
        <v>14533072</v>
      </c>
      <c r="M1686">
        <v>4705676</v>
      </c>
      <c r="N1686">
        <v>53</v>
      </c>
      <c r="O1686" t="s">
        <v>104</v>
      </c>
      <c r="P1686" t="s">
        <v>32</v>
      </c>
    </row>
    <row r="1687" spans="1:16" x14ac:dyDescent="0.35">
      <c r="A1687" t="s">
        <v>3838</v>
      </c>
      <c r="B1687" t="s">
        <v>3839</v>
      </c>
      <c r="C1687" t="s">
        <v>53</v>
      </c>
      <c r="D1687" t="s">
        <v>61</v>
      </c>
      <c r="E1687" t="s">
        <v>80</v>
      </c>
      <c r="F1687" s="1">
        <v>45692</v>
      </c>
      <c r="G1687">
        <v>2021</v>
      </c>
      <c r="H1687" t="s">
        <v>121</v>
      </c>
      <c r="I1687" t="s">
        <v>56</v>
      </c>
      <c r="J1687" t="s">
        <v>23</v>
      </c>
      <c r="K1687">
        <v>7.9</v>
      </c>
      <c r="L1687">
        <v>14387668</v>
      </c>
      <c r="M1687">
        <v>4228927</v>
      </c>
      <c r="N1687">
        <v>81</v>
      </c>
      <c r="O1687" t="s">
        <v>31</v>
      </c>
      <c r="P1687" t="s">
        <v>32</v>
      </c>
    </row>
    <row r="1688" spans="1:16" x14ac:dyDescent="0.35">
      <c r="A1688" t="s">
        <v>3650</v>
      </c>
      <c r="B1688" t="s">
        <v>3651</v>
      </c>
      <c r="C1688" t="s">
        <v>53</v>
      </c>
      <c r="D1688" t="s">
        <v>94</v>
      </c>
      <c r="E1688" t="s">
        <v>99</v>
      </c>
      <c r="F1688" s="1">
        <v>45695</v>
      </c>
      <c r="G1688">
        <v>2007</v>
      </c>
      <c r="H1688" t="s">
        <v>81</v>
      </c>
      <c r="I1688" t="s">
        <v>95</v>
      </c>
      <c r="J1688" t="s">
        <v>23</v>
      </c>
      <c r="K1688">
        <v>8.1</v>
      </c>
      <c r="L1688">
        <v>24017495</v>
      </c>
      <c r="M1688">
        <v>61954</v>
      </c>
      <c r="N1688">
        <v>68</v>
      </c>
      <c r="O1688" t="s">
        <v>58</v>
      </c>
      <c r="P1688" t="s">
        <v>4181</v>
      </c>
    </row>
    <row r="1689" spans="1:16" x14ac:dyDescent="0.35">
      <c r="A1689" t="s">
        <v>2455</v>
      </c>
      <c r="B1689" t="s">
        <v>2456</v>
      </c>
      <c r="C1689" t="s">
        <v>84</v>
      </c>
      <c r="D1689" t="s">
        <v>94</v>
      </c>
      <c r="E1689" t="s">
        <v>131</v>
      </c>
      <c r="F1689" s="1">
        <v>45696</v>
      </c>
      <c r="G1689">
        <v>2007</v>
      </c>
      <c r="H1689" t="s">
        <v>21</v>
      </c>
      <c r="I1689" t="s">
        <v>4242</v>
      </c>
      <c r="J1689" t="s">
        <v>133</v>
      </c>
      <c r="K1689">
        <v>8.8000000000000007</v>
      </c>
      <c r="L1689">
        <v>17219885</v>
      </c>
      <c r="M1689">
        <v>2574908</v>
      </c>
      <c r="N1689">
        <v>46</v>
      </c>
      <c r="O1689" t="s">
        <v>65</v>
      </c>
      <c r="P1689" t="s">
        <v>32</v>
      </c>
    </row>
    <row r="1690" spans="1:16" x14ac:dyDescent="0.35">
      <c r="A1690" t="s">
        <v>2434</v>
      </c>
      <c r="B1690" t="s">
        <v>2433</v>
      </c>
      <c r="C1690" t="s">
        <v>53</v>
      </c>
      <c r="D1690" t="s">
        <v>156</v>
      </c>
      <c r="E1690" t="s">
        <v>45</v>
      </c>
      <c r="F1690" s="1">
        <v>45706</v>
      </c>
      <c r="G1690">
        <v>2001</v>
      </c>
      <c r="H1690" t="s">
        <v>81</v>
      </c>
      <c r="I1690" t="s">
        <v>162</v>
      </c>
      <c r="J1690" t="s">
        <v>96</v>
      </c>
      <c r="K1690">
        <v>8.3000000000000007</v>
      </c>
      <c r="L1690">
        <v>22828888</v>
      </c>
      <c r="M1690">
        <v>3159533</v>
      </c>
      <c r="N1690">
        <v>94</v>
      </c>
      <c r="O1690" t="s">
        <v>31</v>
      </c>
      <c r="P1690" t="s">
        <v>50</v>
      </c>
    </row>
    <row r="1691" spans="1:16" x14ac:dyDescent="0.35">
      <c r="A1691" t="s">
        <v>3535</v>
      </c>
      <c r="B1691" t="s">
        <v>3536</v>
      </c>
      <c r="C1691" t="s">
        <v>84</v>
      </c>
      <c r="D1691" t="s">
        <v>94</v>
      </c>
      <c r="E1691" t="s">
        <v>55</v>
      </c>
      <c r="F1691" s="1">
        <v>45708</v>
      </c>
      <c r="G1691">
        <v>2000</v>
      </c>
      <c r="H1691" t="s">
        <v>121</v>
      </c>
      <c r="I1691" t="s">
        <v>4281</v>
      </c>
      <c r="J1691" t="s">
        <v>133</v>
      </c>
      <c r="K1691">
        <v>9.8000000000000007</v>
      </c>
      <c r="L1691">
        <v>16678846</v>
      </c>
      <c r="M1691">
        <v>2909544</v>
      </c>
      <c r="N1691">
        <v>74</v>
      </c>
      <c r="O1691" t="s">
        <v>91</v>
      </c>
      <c r="P1691" t="s">
        <v>50</v>
      </c>
    </row>
    <row r="1692" spans="1:16" x14ac:dyDescent="0.35">
      <c r="A1692" t="s">
        <v>1964</v>
      </c>
      <c r="B1692" t="s">
        <v>1965</v>
      </c>
      <c r="C1692" t="s">
        <v>84</v>
      </c>
      <c r="D1692" t="s">
        <v>54</v>
      </c>
      <c r="E1692" t="s">
        <v>20</v>
      </c>
      <c r="F1692" s="1">
        <v>45709</v>
      </c>
      <c r="G1692">
        <v>2020</v>
      </c>
      <c r="H1692" t="s">
        <v>107</v>
      </c>
      <c r="I1692" t="s">
        <v>4305</v>
      </c>
      <c r="J1692" t="s">
        <v>133</v>
      </c>
      <c r="K1692">
        <v>6.4</v>
      </c>
      <c r="L1692">
        <v>10010117</v>
      </c>
      <c r="M1692">
        <v>2365529</v>
      </c>
      <c r="N1692">
        <v>59</v>
      </c>
      <c r="O1692" t="s">
        <v>4178</v>
      </c>
      <c r="P1692" t="s">
        <v>4181</v>
      </c>
    </row>
    <row r="1693" spans="1:16" x14ac:dyDescent="0.35">
      <c r="A1693" t="s">
        <v>2776</v>
      </c>
      <c r="B1693" t="s">
        <v>2777</v>
      </c>
      <c r="C1693" t="s">
        <v>84</v>
      </c>
      <c r="D1693" t="s">
        <v>4178</v>
      </c>
      <c r="E1693" t="s">
        <v>28</v>
      </c>
      <c r="F1693" s="1">
        <v>45711</v>
      </c>
      <c r="G1693">
        <v>2023</v>
      </c>
      <c r="H1693" t="s">
        <v>107</v>
      </c>
      <c r="I1693" t="s">
        <v>4247</v>
      </c>
      <c r="J1693" t="s">
        <v>23</v>
      </c>
      <c r="K1693">
        <v>9</v>
      </c>
      <c r="L1693">
        <v>24124170</v>
      </c>
      <c r="M1693">
        <v>1916770</v>
      </c>
      <c r="N1693">
        <v>120</v>
      </c>
      <c r="O1693" t="s">
        <v>58</v>
      </c>
      <c r="P1693" t="s">
        <v>50</v>
      </c>
    </row>
    <row r="1694" spans="1:16" x14ac:dyDescent="0.35">
      <c r="A1694" t="s">
        <v>2074</v>
      </c>
      <c r="B1694" t="s">
        <v>2075</v>
      </c>
      <c r="C1694" t="s">
        <v>84</v>
      </c>
      <c r="D1694" t="s">
        <v>75</v>
      </c>
      <c r="E1694" t="s">
        <v>4178</v>
      </c>
      <c r="F1694" s="1">
        <v>45712</v>
      </c>
      <c r="G1694">
        <v>2014</v>
      </c>
      <c r="H1694" t="s">
        <v>107</v>
      </c>
      <c r="I1694" t="s">
        <v>4315</v>
      </c>
      <c r="J1694" t="s">
        <v>133</v>
      </c>
      <c r="K1694">
        <v>9.6999999999999993</v>
      </c>
      <c r="L1694">
        <v>18406214</v>
      </c>
      <c r="M1694">
        <v>3567425</v>
      </c>
      <c r="N1694">
        <v>46</v>
      </c>
      <c r="O1694" t="s">
        <v>65</v>
      </c>
      <c r="P1694" t="s">
        <v>4181</v>
      </c>
    </row>
    <row r="1695" spans="1:16" x14ac:dyDescent="0.35">
      <c r="A1695" t="s">
        <v>367</v>
      </c>
      <c r="B1695" t="s">
        <v>368</v>
      </c>
      <c r="C1695" t="s">
        <v>53</v>
      </c>
      <c r="D1695" t="s">
        <v>19</v>
      </c>
      <c r="E1695" t="s">
        <v>80</v>
      </c>
      <c r="F1695" s="1">
        <v>45714</v>
      </c>
      <c r="G1695">
        <v>2021</v>
      </c>
      <c r="H1695" t="s">
        <v>81</v>
      </c>
      <c r="I1695" t="s">
        <v>162</v>
      </c>
      <c r="J1695" t="s">
        <v>103</v>
      </c>
      <c r="K1695">
        <v>8.6</v>
      </c>
      <c r="L1695">
        <v>6361722</v>
      </c>
      <c r="M1695">
        <v>367508</v>
      </c>
      <c r="N1695">
        <v>92</v>
      </c>
      <c r="O1695" t="s">
        <v>65</v>
      </c>
      <c r="P1695" t="s">
        <v>50</v>
      </c>
    </row>
    <row r="1696" spans="1:16" x14ac:dyDescent="0.35">
      <c r="A1696" t="s">
        <v>407</v>
      </c>
      <c r="B1696" t="s">
        <v>408</v>
      </c>
      <c r="C1696" t="s">
        <v>53</v>
      </c>
      <c r="D1696" t="s">
        <v>68</v>
      </c>
      <c r="E1696" t="s">
        <v>55</v>
      </c>
      <c r="F1696" s="1">
        <v>45717</v>
      </c>
      <c r="G1696">
        <v>2012</v>
      </c>
      <c r="H1696" t="s">
        <v>107</v>
      </c>
      <c r="I1696" t="s">
        <v>95</v>
      </c>
      <c r="J1696" t="s">
        <v>96</v>
      </c>
      <c r="K1696">
        <v>5.3</v>
      </c>
      <c r="L1696">
        <v>8469664</v>
      </c>
      <c r="M1696">
        <v>4798432</v>
      </c>
      <c r="N1696">
        <v>99</v>
      </c>
      <c r="O1696" t="s">
        <v>41</v>
      </c>
      <c r="P1696" t="s">
        <v>87</v>
      </c>
    </row>
    <row r="1697" spans="1:16" x14ac:dyDescent="0.35">
      <c r="A1697" t="s">
        <v>418</v>
      </c>
      <c r="B1697" t="s">
        <v>419</v>
      </c>
      <c r="C1697" t="s">
        <v>84</v>
      </c>
      <c r="D1697" t="s">
        <v>4178</v>
      </c>
      <c r="E1697" t="s">
        <v>28</v>
      </c>
      <c r="F1697" s="1">
        <v>45717</v>
      </c>
      <c r="G1697">
        <v>2011</v>
      </c>
      <c r="H1697" t="s">
        <v>38</v>
      </c>
      <c r="I1697" t="s">
        <v>4237</v>
      </c>
      <c r="J1697" t="s">
        <v>48</v>
      </c>
      <c r="K1697">
        <v>4.5</v>
      </c>
      <c r="L1697">
        <v>22000268</v>
      </c>
      <c r="M1697">
        <v>3041860</v>
      </c>
      <c r="N1697">
        <v>80</v>
      </c>
      <c r="O1697" t="s">
        <v>31</v>
      </c>
      <c r="P1697" t="s">
        <v>32</v>
      </c>
    </row>
    <row r="1698" spans="1:16" x14ac:dyDescent="0.35">
      <c r="A1698" t="s">
        <v>3938</v>
      </c>
      <c r="B1698" t="s">
        <v>3939</v>
      </c>
      <c r="C1698" t="s">
        <v>84</v>
      </c>
      <c r="D1698" t="s">
        <v>27</v>
      </c>
      <c r="E1698" t="s">
        <v>113</v>
      </c>
      <c r="F1698" s="1">
        <v>45717</v>
      </c>
      <c r="G1698">
        <v>2026</v>
      </c>
      <c r="H1698" t="s">
        <v>21</v>
      </c>
      <c r="I1698" t="s">
        <v>4286</v>
      </c>
      <c r="J1698" t="s">
        <v>133</v>
      </c>
      <c r="K1698">
        <v>9.4</v>
      </c>
      <c r="L1698">
        <v>17648597</v>
      </c>
      <c r="M1698">
        <v>1140139</v>
      </c>
      <c r="N1698">
        <v>95</v>
      </c>
      <c r="O1698" t="s">
        <v>49</v>
      </c>
      <c r="P1698" t="s">
        <v>87</v>
      </c>
    </row>
    <row r="1699" spans="1:16" x14ac:dyDescent="0.35">
      <c r="A1699" t="s">
        <v>3549</v>
      </c>
      <c r="B1699" t="s">
        <v>3550</v>
      </c>
      <c r="C1699" t="s">
        <v>84</v>
      </c>
      <c r="D1699" t="s">
        <v>36</v>
      </c>
      <c r="E1699" t="s">
        <v>4196</v>
      </c>
      <c r="F1699" s="1">
        <v>45719</v>
      </c>
      <c r="G1699">
        <v>2026</v>
      </c>
      <c r="H1699" t="s">
        <v>121</v>
      </c>
      <c r="I1699" t="s">
        <v>4247</v>
      </c>
      <c r="J1699" t="s">
        <v>72</v>
      </c>
      <c r="K1699">
        <v>7.9</v>
      </c>
      <c r="L1699">
        <v>7430572</v>
      </c>
      <c r="M1699">
        <v>2204468</v>
      </c>
      <c r="N1699">
        <v>68</v>
      </c>
      <c r="O1699" t="s">
        <v>65</v>
      </c>
      <c r="P1699" t="s">
        <v>32</v>
      </c>
    </row>
    <row r="1700" spans="1:16" x14ac:dyDescent="0.35">
      <c r="A1700" t="s">
        <v>3423</v>
      </c>
      <c r="B1700" t="s">
        <v>3424</v>
      </c>
      <c r="C1700" t="s">
        <v>84</v>
      </c>
      <c r="D1700" t="s">
        <v>54</v>
      </c>
      <c r="E1700" t="s">
        <v>4178</v>
      </c>
      <c r="F1700" s="1">
        <v>45721</v>
      </c>
      <c r="G1700">
        <v>2024</v>
      </c>
      <c r="H1700" t="s">
        <v>38</v>
      </c>
      <c r="I1700" t="s">
        <v>4283</v>
      </c>
      <c r="J1700" t="s">
        <v>72</v>
      </c>
      <c r="K1700">
        <v>8.1</v>
      </c>
      <c r="L1700">
        <v>299893</v>
      </c>
      <c r="M1700">
        <v>1179707</v>
      </c>
      <c r="N1700">
        <v>98</v>
      </c>
      <c r="O1700" t="s">
        <v>58</v>
      </c>
      <c r="P1700" t="s">
        <v>87</v>
      </c>
    </row>
    <row r="1701" spans="1:16" x14ac:dyDescent="0.35">
      <c r="A1701" t="s">
        <v>1836</v>
      </c>
      <c r="B1701" t="s">
        <v>1837</v>
      </c>
      <c r="C1701" t="s">
        <v>84</v>
      </c>
      <c r="D1701" t="s">
        <v>36</v>
      </c>
      <c r="E1701" t="s">
        <v>4178</v>
      </c>
      <c r="F1701" s="1">
        <v>45722</v>
      </c>
      <c r="G1701">
        <v>2011</v>
      </c>
      <c r="H1701" t="s">
        <v>63</v>
      </c>
      <c r="I1701" t="s">
        <v>4217</v>
      </c>
      <c r="J1701" t="s">
        <v>23</v>
      </c>
      <c r="K1701">
        <v>7</v>
      </c>
      <c r="L1701">
        <v>11614044</v>
      </c>
      <c r="M1701">
        <v>175564</v>
      </c>
      <c r="N1701">
        <v>44</v>
      </c>
      <c r="O1701" t="s">
        <v>65</v>
      </c>
      <c r="P1701" t="s">
        <v>32</v>
      </c>
    </row>
    <row r="1702" spans="1:16" x14ac:dyDescent="0.35">
      <c r="A1702" t="s">
        <v>1635</v>
      </c>
      <c r="B1702" t="s">
        <v>1636</v>
      </c>
      <c r="C1702" t="s">
        <v>53</v>
      </c>
      <c r="D1702" t="s">
        <v>75</v>
      </c>
      <c r="E1702" t="s">
        <v>113</v>
      </c>
      <c r="F1702" s="1">
        <v>45724</v>
      </c>
      <c r="G1702">
        <v>2004</v>
      </c>
      <c r="H1702" t="s">
        <v>121</v>
      </c>
      <c r="I1702" t="s">
        <v>56</v>
      </c>
      <c r="J1702" t="s">
        <v>4178</v>
      </c>
      <c r="K1702">
        <v>8.4</v>
      </c>
      <c r="L1702">
        <v>8792607</v>
      </c>
      <c r="M1702">
        <v>3015184</v>
      </c>
      <c r="N1702">
        <v>95</v>
      </c>
      <c r="O1702" t="s">
        <v>4178</v>
      </c>
      <c r="P1702" t="s">
        <v>32</v>
      </c>
    </row>
    <row r="1703" spans="1:16" x14ac:dyDescent="0.35">
      <c r="A1703" t="s">
        <v>2344</v>
      </c>
      <c r="B1703" t="s">
        <v>2345</v>
      </c>
      <c r="C1703" t="s">
        <v>84</v>
      </c>
      <c r="D1703" t="s">
        <v>54</v>
      </c>
      <c r="E1703" t="s">
        <v>62</v>
      </c>
      <c r="F1703" s="1">
        <v>45724</v>
      </c>
      <c r="G1703">
        <v>2016</v>
      </c>
      <c r="H1703" t="s">
        <v>114</v>
      </c>
      <c r="I1703" t="s">
        <v>4273</v>
      </c>
      <c r="J1703" t="s">
        <v>153</v>
      </c>
      <c r="K1703">
        <v>8.8000000000000007</v>
      </c>
      <c r="L1703">
        <v>21616158</v>
      </c>
      <c r="M1703">
        <v>3797597</v>
      </c>
      <c r="N1703">
        <v>73</v>
      </c>
      <c r="O1703" t="s">
        <v>41</v>
      </c>
      <c r="P1703" t="s">
        <v>4181</v>
      </c>
    </row>
    <row r="1704" spans="1:16" x14ac:dyDescent="0.35">
      <c r="A1704" t="s">
        <v>782</v>
      </c>
      <c r="B1704" t="s">
        <v>783</v>
      </c>
      <c r="C1704" t="s">
        <v>53</v>
      </c>
      <c r="D1704" t="s">
        <v>90</v>
      </c>
      <c r="E1704" t="s">
        <v>37</v>
      </c>
      <c r="F1704" s="1">
        <v>45727</v>
      </c>
      <c r="G1704">
        <v>2011</v>
      </c>
      <c r="H1704" t="s">
        <v>21</v>
      </c>
      <c r="I1704" t="s">
        <v>118</v>
      </c>
      <c r="J1704" t="s">
        <v>133</v>
      </c>
      <c r="K1704">
        <v>5.0999999999999996</v>
      </c>
      <c r="L1704">
        <v>13888886</v>
      </c>
      <c r="M1704">
        <v>2945456</v>
      </c>
      <c r="N1704">
        <v>80</v>
      </c>
      <c r="O1704" t="s">
        <v>91</v>
      </c>
      <c r="P1704" t="s">
        <v>4181</v>
      </c>
    </row>
    <row r="1705" spans="1:16" x14ac:dyDescent="0.35">
      <c r="A1705" t="s">
        <v>3091</v>
      </c>
      <c r="B1705" t="s">
        <v>3092</v>
      </c>
      <c r="C1705" t="s">
        <v>84</v>
      </c>
      <c r="D1705" t="s">
        <v>36</v>
      </c>
      <c r="E1705" t="s">
        <v>20</v>
      </c>
      <c r="F1705" s="1">
        <v>45734</v>
      </c>
      <c r="G1705">
        <v>2023</v>
      </c>
      <c r="H1705" t="s">
        <v>46</v>
      </c>
      <c r="I1705" t="s">
        <v>4321</v>
      </c>
      <c r="J1705" t="s">
        <v>133</v>
      </c>
      <c r="K1705">
        <v>6.1</v>
      </c>
      <c r="L1705">
        <v>1177635</v>
      </c>
      <c r="M1705">
        <v>3778766</v>
      </c>
      <c r="N1705">
        <v>71</v>
      </c>
      <c r="O1705" t="s">
        <v>58</v>
      </c>
      <c r="P1705" t="s">
        <v>4178</v>
      </c>
    </row>
    <row r="1706" spans="1:16" x14ac:dyDescent="0.35">
      <c r="A1706" t="s">
        <v>3043</v>
      </c>
      <c r="B1706" t="s">
        <v>3044</v>
      </c>
      <c r="C1706" t="s">
        <v>84</v>
      </c>
      <c r="D1706" t="s">
        <v>4178</v>
      </c>
      <c r="E1706" t="s">
        <v>4178</v>
      </c>
      <c r="F1706" s="1">
        <v>45736</v>
      </c>
      <c r="G1706">
        <v>2003</v>
      </c>
      <c r="H1706" t="s">
        <v>4178</v>
      </c>
      <c r="I1706" t="s">
        <v>4216</v>
      </c>
      <c r="J1706" t="s">
        <v>57</v>
      </c>
      <c r="K1706">
        <v>6.3</v>
      </c>
      <c r="L1706">
        <v>8686979</v>
      </c>
      <c r="M1706">
        <v>3913129</v>
      </c>
      <c r="N1706">
        <v>87</v>
      </c>
      <c r="O1706" t="s">
        <v>104</v>
      </c>
      <c r="P1706" t="s">
        <v>50</v>
      </c>
    </row>
    <row r="1707" spans="1:16" x14ac:dyDescent="0.35">
      <c r="A1707" t="s">
        <v>2601</v>
      </c>
      <c r="B1707" t="s">
        <v>4361</v>
      </c>
      <c r="C1707" t="s">
        <v>84</v>
      </c>
      <c r="D1707" t="s">
        <v>54</v>
      </c>
      <c r="E1707" t="s">
        <v>80</v>
      </c>
      <c r="F1707" s="1">
        <v>45740</v>
      </c>
      <c r="G1707">
        <v>2006</v>
      </c>
      <c r="H1707" t="s">
        <v>38</v>
      </c>
      <c r="I1707" t="s">
        <v>4289</v>
      </c>
      <c r="J1707" t="s">
        <v>96</v>
      </c>
      <c r="K1707">
        <v>5.2</v>
      </c>
      <c r="L1707">
        <v>20823445</v>
      </c>
      <c r="M1707">
        <v>2237383</v>
      </c>
      <c r="N1707">
        <v>56</v>
      </c>
      <c r="O1707" t="s">
        <v>58</v>
      </c>
      <c r="P1707" t="s">
        <v>87</v>
      </c>
    </row>
    <row r="1708" spans="1:16" x14ac:dyDescent="0.35">
      <c r="A1708" t="s">
        <v>459</v>
      </c>
      <c r="B1708" t="s">
        <v>460</v>
      </c>
      <c r="C1708" t="s">
        <v>4178</v>
      </c>
      <c r="D1708" t="s">
        <v>19</v>
      </c>
      <c r="E1708" t="s">
        <v>4178</v>
      </c>
      <c r="F1708" s="1">
        <v>45744</v>
      </c>
      <c r="G1708">
        <v>2017</v>
      </c>
      <c r="H1708" t="s">
        <v>4178</v>
      </c>
      <c r="I1708" t="s">
        <v>95</v>
      </c>
      <c r="J1708" t="s">
        <v>40</v>
      </c>
      <c r="K1708">
        <v>11.2</v>
      </c>
      <c r="L1708">
        <v>18965932</v>
      </c>
      <c r="M1708">
        <v>2715167</v>
      </c>
      <c r="N1708">
        <v>54</v>
      </c>
      <c r="O1708" t="s">
        <v>49</v>
      </c>
      <c r="P1708" t="s">
        <v>50</v>
      </c>
    </row>
    <row r="1709" spans="1:16" x14ac:dyDescent="0.35">
      <c r="A1709" t="s">
        <v>1886</v>
      </c>
      <c r="B1709" t="s">
        <v>1887</v>
      </c>
      <c r="C1709" t="s">
        <v>53</v>
      </c>
      <c r="D1709" t="s">
        <v>36</v>
      </c>
      <c r="E1709" t="s">
        <v>62</v>
      </c>
      <c r="F1709" s="1">
        <v>45748</v>
      </c>
      <c r="G1709">
        <v>2007</v>
      </c>
      <c r="H1709" t="s">
        <v>85</v>
      </c>
      <c r="I1709" t="s">
        <v>136</v>
      </c>
      <c r="J1709" t="s">
        <v>133</v>
      </c>
      <c r="K1709">
        <v>4.7</v>
      </c>
      <c r="L1709">
        <v>18049243</v>
      </c>
      <c r="M1709">
        <v>3200554</v>
      </c>
      <c r="N1709">
        <v>90</v>
      </c>
      <c r="O1709" t="s">
        <v>58</v>
      </c>
      <c r="P1709" t="s">
        <v>87</v>
      </c>
    </row>
    <row r="1710" spans="1:16" x14ac:dyDescent="0.35">
      <c r="A1710" t="s">
        <v>885</v>
      </c>
      <c r="B1710" t="s">
        <v>886</v>
      </c>
      <c r="C1710" t="s">
        <v>84</v>
      </c>
      <c r="D1710" t="s">
        <v>4178</v>
      </c>
      <c r="E1710" t="s">
        <v>4178</v>
      </c>
      <c r="F1710" s="1">
        <v>45750</v>
      </c>
      <c r="G1710">
        <v>2005</v>
      </c>
      <c r="H1710" t="s">
        <v>107</v>
      </c>
      <c r="I1710" t="s">
        <v>4203</v>
      </c>
      <c r="J1710" t="s">
        <v>103</v>
      </c>
      <c r="K1710">
        <v>9</v>
      </c>
      <c r="L1710">
        <v>7641207</v>
      </c>
      <c r="M1710">
        <v>4042507</v>
      </c>
      <c r="N1710">
        <v>97</v>
      </c>
      <c r="O1710" t="s">
        <v>4178</v>
      </c>
      <c r="P1710" t="s">
        <v>4178</v>
      </c>
    </row>
    <row r="1711" spans="1:16" x14ac:dyDescent="0.35">
      <c r="A1711" t="s">
        <v>3586</v>
      </c>
      <c r="B1711" t="s">
        <v>3587</v>
      </c>
      <c r="C1711" t="s">
        <v>84</v>
      </c>
      <c r="D1711" t="s">
        <v>68</v>
      </c>
      <c r="E1711" t="s">
        <v>4178</v>
      </c>
      <c r="F1711" s="1">
        <v>45750</v>
      </c>
      <c r="G1711">
        <v>2009</v>
      </c>
      <c r="H1711" t="s">
        <v>107</v>
      </c>
      <c r="I1711" t="s">
        <v>4324</v>
      </c>
      <c r="J1711" t="s">
        <v>133</v>
      </c>
      <c r="K1711">
        <v>5.5</v>
      </c>
      <c r="L1711">
        <v>3477941</v>
      </c>
      <c r="M1711">
        <v>180127</v>
      </c>
      <c r="N1711">
        <v>79</v>
      </c>
      <c r="O1711" t="s">
        <v>91</v>
      </c>
      <c r="P1711" t="s">
        <v>32</v>
      </c>
    </row>
    <row r="1712" spans="1:16" x14ac:dyDescent="0.35">
      <c r="A1712" t="s">
        <v>1026</v>
      </c>
      <c r="B1712" t="s">
        <v>1027</v>
      </c>
      <c r="C1712" t="s">
        <v>84</v>
      </c>
      <c r="D1712" t="s">
        <v>156</v>
      </c>
      <c r="E1712" t="s">
        <v>131</v>
      </c>
      <c r="F1712" s="1">
        <v>45754</v>
      </c>
      <c r="G1712">
        <v>2015</v>
      </c>
      <c r="H1712" t="s">
        <v>114</v>
      </c>
      <c r="I1712" t="s">
        <v>4264</v>
      </c>
      <c r="J1712" t="s">
        <v>57</v>
      </c>
      <c r="K1712">
        <v>6.3</v>
      </c>
      <c r="L1712">
        <v>7431376</v>
      </c>
      <c r="M1712">
        <v>2617423</v>
      </c>
      <c r="N1712">
        <v>53</v>
      </c>
      <c r="O1712" t="s">
        <v>49</v>
      </c>
      <c r="P1712" t="s">
        <v>4181</v>
      </c>
    </row>
    <row r="1713" spans="1:16" x14ac:dyDescent="0.35">
      <c r="A1713" t="s">
        <v>595</v>
      </c>
      <c r="B1713" t="s">
        <v>596</v>
      </c>
      <c r="C1713" t="s">
        <v>4178</v>
      </c>
      <c r="D1713" t="s">
        <v>19</v>
      </c>
      <c r="E1713" t="s">
        <v>69</v>
      </c>
      <c r="F1713" s="1">
        <v>45757</v>
      </c>
      <c r="G1713">
        <v>2003</v>
      </c>
      <c r="H1713" t="s">
        <v>46</v>
      </c>
      <c r="I1713" t="s">
        <v>39</v>
      </c>
      <c r="J1713" t="s">
        <v>133</v>
      </c>
      <c r="K1713">
        <v>8.3000000000000007</v>
      </c>
      <c r="L1713">
        <v>7609159</v>
      </c>
      <c r="M1713">
        <v>1552526</v>
      </c>
      <c r="N1713">
        <v>58</v>
      </c>
      <c r="O1713" t="s">
        <v>49</v>
      </c>
      <c r="P1713" t="s">
        <v>32</v>
      </c>
    </row>
    <row r="1714" spans="1:16" x14ac:dyDescent="0.35">
      <c r="A1714" t="s">
        <v>2359</v>
      </c>
      <c r="B1714" t="s">
        <v>2360</v>
      </c>
      <c r="C1714" t="s">
        <v>84</v>
      </c>
      <c r="D1714" t="s">
        <v>90</v>
      </c>
      <c r="E1714" t="s">
        <v>20</v>
      </c>
      <c r="F1714" s="1">
        <v>45759</v>
      </c>
      <c r="G1714">
        <v>2020</v>
      </c>
      <c r="H1714" t="s">
        <v>46</v>
      </c>
      <c r="I1714" t="s">
        <v>4178</v>
      </c>
      <c r="J1714" t="s">
        <v>72</v>
      </c>
      <c r="K1714">
        <v>4.7</v>
      </c>
      <c r="L1714">
        <v>24091819</v>
      </c>
      <c r="M1714">
        <v>4364444</v>
      </c>
      <c r="N1714">
        <v>58</v>
      </c>
      <c r="O1714" t="s">
        <v>58</v>
      </c>
      <c r="P1714" t="s">
        <v>87</v>
      </c>
    </row>
    <row r="1715" spans="1:16" x14ac:dyDescent="0.35">
      <c r="A1715" t="s">
        <v>3610</v>
      </c>
      <c r="B1715" t="s">
        <v>3611</v>
      </c>
      <c r="C1715" t="s">
        <v>4178</v>
      </c>
      <c r="D1715" t="s">
        <v>27</v>
      </c>
      <c r="E1715" t="s">
        <v>4196</v>
      </c>
      <c r="F1715" s="1">
        <v>45759</v>
      </c>
      <c r="G1715">
        <v>2008</v>
      </c>
      <c r="H1715" t="s">
        <v>107</v>
      </c>
      <c r="I1715" t="s">
        <v>56</v>
      </c>
      <c r="J1715" t="s">
        <v>30</v>
      </c>
      <c r="K1715">
        <v>8.1999999999999993</v>
      </c>
      <c r="L1715">
        <v>11563045</v>
      </c>
      <c r="M1715">
        <v>289392</v>
      </c>
      <c r="N1715">
        <v>54</v>
      </c>
      <c r="O1715" t="s">
        <v>58</v>
      </c>
      <c r="P1715" t="s">
        <v>87</v>
      </c>
    </row>
    <row r="1716" spans="1:16" x14ac:dyDescent="0.35">
      <c r="A1716" t="s">
        <v>2778</v>
      </c>
      <c r="B1716" t="s">
        <v>2779</v>
      </c>
      <c r="C1716" t="s">
        <v>53</v>
      </c>
      <c r="D1716" t="s">
        <v>61</v>
      </c>
      <c r="E1716" t="s">
        <v>37</v>
      </c>
      <c r="F1716" s="1">
        <v>45760</v>
      </c>
      <c r="G1716">
        <v>2015</v>
      </c>
      <c r="H1716" t="s">
        <v>85</v>
      </c>
      <c r="I1716" t="s">
        <v>118</v>
      </c>
      <c r="J1716" t="s">
        <v>40</v>
      </c>
      <c r="K1716">
        <v>6.4</v>
      </c>
      <c r="L1716">
        <v>21699329</v>
      </c>
      <c r="M1716">
        <v>4556559</v>
      </c>
      <c r="N1716">
        <v>87</v>
      </c>
      <c r="O1716" t="s">
        <v>24</v>
      </c>
      <c r="P1716" t="s">
        <v>32</v>
      </c>
    </row>
    <row r="1717" spans="1:16" x14ac:dyDescent="0.35">
      <c r="A1717" t="s">
        <v>3238</v>
      </c>
      <c r="B1717" t="s">
        <v>3237</v>
      </c>
      <c r="C1717" t="s">
        <v>84</v>
      </c>
      <c r="D1717" t="s">
        <v>90</v>
      </c>
      <c r="E1717" t="s">
        <v>4178</v>
      </c>
      <c r="F1717" s="1">
        <v>45762</v>
      </c>
      <c r="G1717">
        <v>2020</v>
      </c>
      <c r="H1717" t="s">
        <v>114</v>
      </c>
      <c r="I1717" t="s">
        <v>4216</v>
      </c>
      <c r="J1717" t="s">
        <v>4178</v>
      </c>
      <c r="K1717">
        <v>7.4</v>
      </c>
      <c r="L1717">
        <v>18310751</v>
      </c>
      <c r="M1717">
        <v>2874098</v>
      </c>
      <c r="N1717">
        <v>44</v>
      </c>
      <c r="O1717" t="s">
        <v>123</v>
      </c>
      <c r="P1717" t="s">
        <v>4181</v>
      </c>
    </row>
    <row r="1718" spans="1:16" x14ac:dyDescent="0.35">
      <c r="A1718" t="s">
        <v>3504</v>
      </c>
      <c r="B1718" t="s">
        <v>3505</v>
      </c>
      <c r="C1718" t="s">
        <v>84</v>
      </c>
      <c r="D1718" t="s">
        <v>36</v>
      </c>
      <c r="E1718" t="s">
        <v>37</v>
      </c>
      <c r="F1718" s="1">
        <v>45764</v>
      </c>
      <c r="G1718">
        <v>2017</v>
      </c>
      <c r="H1718" t="s">
        <v>81</v>
      </c>
      <c r="I1718" t="s">
        <v>4286</v>
      </c>
      <c r="J1718" t="s">
        <v>72</v>
      </c>
      <c r="K1718">
        <v>8.8000000000000007</v>
      </c>
      <c r="L1718">
        <v>13802111</v>
      </c>
      <c r="M1718">
        <v>1265654</v>
      </c>
      <c r="N1718">
        <v>43</v>
      </c>
      <c r="O1718" t="s">
        <v>31</v>
      </c>
      <c r="P1718" t="s">
        <v>50</v>
      </c>
    </row>
    <row r="1719" spans="1:16" x14ac:dyDescent="0.35">
      <c r="A1719" t="s">
        <v>2818</v>
      </c>
      <c r="B1719" t="s">
        <v>2819</v>
      </c>
      <c r="C1719" t="s">
        <v>84</v>
      </c>
      <c r="D1719" t="s">
        <v>75</v>
      </c>
      <c r="E1719" t="s">
        <v>4178</v>
      </c>
      <c r="F1719" s="1">
        <v>45765</v>
      </c>
      <c r="G1719">
        <v>2025</v>
      </c>
      <c r="H1719" t="s">
        <v>85</v>
      </c>
      <c r="I1719" t="s">
        <v>4193</v>
      </c>
      <c r="J1719" t="s">
        <v>153</v>
      </c>
      <c r="K1719">
        <v>5.8</v>
      </c>
      <c r="L1719">
        <v>19433327</v>
      </c>
      <c r="M1719">
        <v>4804160</v>
      </c>
      <c r="N1719">
        <v>56</v>
      </c>
      <c r="O1719" t="s">
        <v>91</v>
      </c>
      <c r="P1719" t="s">
        <v>32</v>
      </c>
    </row>
    <row r="1720" spans="1:16" x14ac:dyDescent="0.35">
      <c r="A1720" t="s">
        <v>1982</v>
      </c>
      <c r="B1720" t="s">
        <v>1983</v>
      </c>
      <c r="C1720" t="s">
        <v>53</v>
      </c>
      <c r="D1720" t="s">
        <v>4178</v>
      </c>
      <c r="E1720" t="s">
        <v>4178</v>
      </c>
      <c r="F1720" s="1">
        <v>45770</v>
      </c>
      <c r="G1720">
        <v>2017</v>
      </c>
      <c r="H1720" t="s">
        <v>38</v>
      </c>
      <c r="I1720" t="s">
        <v>136</v>
      </c>
      <c r="J1720" t="s">
        <v>72</v>
      </c>
      <c r="K1720">
        <v>8.5</v>
      </c>
      <c r="L1720">
        <v>21941605</v>
      </c>
      <c r="M1720">
        <v>4639406</v>
      </c>
      <c r="N1720">
        <v>43</v>
      </c>
      <c r="O1720" t="s">
        <v>41</v>
      </c>
      <c r="P1720" t="s">
        <v>4178</v>
      </c>
    </row>
    <row r="1721" spans="1:16" x14ac:dyDescent="0.35">
      <c r="A1721" t="s">
        <v>3992</v>
      </c>
      <c r="B1721" t="s">
        <v>3993</v>
      </c>
      <c r="C1721" t="s">
        <v>4178</v>
      </c>
      <c r="D1721" t="s">
        <v>27</v>
      </c>
      <c r="E1721" t="s">
        <v>80</v>
      </c>
      <c r="F1721" s="1">
        <v>45771</v>
      </c>
      <c r="G1721">
        <v>2011</v>
      </c>
      <c r="H1721" t="s">
        <v>85</v>
      </c>
      <c r="I1721" t="s">
        <v>136</v>
      </c>
      <c r="J1721" t="s">
        <v>30</v>
      </c>
      <c r="K1721">
        <v>5.6</v>
      </c>
      <c r="L1721">
        <v>22289608</v>
      </c>
      <c r="M1721">
        <v>4446113</v>
      </c>
      <c r="N1721">
        <v>69</v>
      </c>
      <c r="O1721" t="s">
        <v>104</v>
      </c>
      <c r="P1721" t="s">
        <v>4181</v>
      </c>
    </row>
    <row r="1722" spans="1:16" x14ac:dyDescent="0.35">
      <c r="A1722" t="s">
        <v>557</v>
      </c>
      <c r="B1722" t="s">
        <v>558</v>
      </c>
      <c r="C1722" t="s">
        <v>53</v>
      </c>
      <c r="D1722" t="s">
        <v>75</v>
      </c>
      <c r="E1722" t="s">
        <v>62</v>
      </c>
      <c r="F1722" s="1">
        <v>45780</v>
      </c>
      <c r="G1722">
        <v>2004</v>
      </c>
      <c r="H1722" t="s">
        <v>46</v>
      </c>
      <c r="I1722" t="s">
        <v>56</v>
      </c>
      <c r="J1722" t="s">
        <v>72</v>
      </c>
      <c r="K1722">
        <v>5.6</v>
      </c>
      <c r="L1722">
        <v>12131050</v>
      </c>
      <c r="M1722">
        <v>572648</v>
      </c>
      <c r="N1722">
        <v>70</v>
      </c>
      <c r="O1722" t="s">
        <v>49</v>
      </c>
      <c r="P1722" t="s">
        <v>50</v>
      </c>
    </row>
    <row r="1723" spans="1:16" x14ac:dyDescent="0.35">
      <c r="A1723" t="s">
        <v>2397</v>
      </c>
      <c r="B1723" t="s">
        <v>2398</v>
      </c>
      <c r="C1723" t="s">
        <v>84</v>
      </c>
      <c r="D1723" t="s">
        <v>36</v>
      </c>
      <c r="E1723" t="s">
        <v>45</v>
      </c>
      <c r="F1723" s="1">
        <v>45780</v>
      </c>
      <c r="G1723">
        <v>2006</v>
      </c>
      <c r="H1723" t="s">
        <v>85</v>
      </c>
      <c r="I1723" t="s">
        <v>4224</v>
      </c>
      <c r="J1723" t="s">
        <v>103</v>
      </c>
      <c r="K1723">
        <v>9.3000000000000007</v>
      </c>
      <c r="L1723">
        <v>19162933</v>
      </c>
      <c r="M1723">
        <v>1569336</v>
      </c>
      <c r="N1723">
        <v>99</v>
      </c>
      <c r="O1723" t="s">
        <v>41</v>
      </c>
      <c r="P1723" t="s">
        <v>4181</v>
      </c>
    </row>
    <row r="1724" spans="1:16" x14ac:dyDescent="0.35">
      <c r="A1724" t="s">
        <v>1243</v>
      </c>
      <c r="B1724" t="s">
        <v>1244</v>
      </c>
      <c r="C1724" t="s">
        <v>84</v>
      </c>
      <c r="D1724" t="s">
        <v>4178</v>
      </c>
      <c r="E1724" t="s">
        <v>45</v>
      </c>
      <c r="F1724" s="1">
        <v>45786</v>
      </c>
      <c r="G1724">
        <v>2013</v>
      </c>
      <c r="H1724" t="s">
        <v>21</v>
      </c>
      <c r="I1724" t="s">
        <v>4198</v>
      </c>
      <c r="J1724" t="s">
        <v>133</v>
      </c>
      <c r="K1724">
        <v>11.2</v>
      </c>
      <c r="L1724">
        <v>19024405</v>
      </c>
      <c r="M1724">
        <v>1403941</v>
      </c>
      <c r="N1724">
        <v>82</v>
      </c>
      <c r="O1724" t="s">
        <v>65</v>
      </c>
      <c r="P1724" t="s">
        <v>4178</v>
      </c>
    </row>
    <row r="1725" spans="1:16" x14ac:dyDescent="0.35">
      <c r="A1725" t="s">
        <v>1840</v>
      </c>
      <c r="B1725" t="s">
        <v>1841</v>
      </c>
      <c r="C1725" t="s">
        <v>84</v>
      </c>
      <c r="D1725" t="s">
        <v>4178</v>
      </c>
      <c r="E1725" t="s">
        <v>69</v>
      </c>
      <c r="F1725" s="1">
        <v>45787</v>
      </c>
      <c r="G1725">
        <v>2008</v>
      </c>
      <c r="H1725" t="s">
        <v>38</v>
      </c>
      <c r="I1725" t="s">
        <v>4189</v>
      </c>
      <c r="J1725" t="s">
        <v>23</v>
      </c>
      <c r="K1725">
        <v>5.5</v>
      </c>
      <c r="L1725">
        <v>16910924</v>
      </c>
      <c r="M1725">
        <v>3846388</v>
      </c>
      <c r="N1725">
        <v>62</v>
      </c>
      <c r="O1725" t="s">
        <v>58</v>
      </c>
      <c r="P1725" t="s">
        <v>87</v>
      </c>
    </row>
    <row r="1726" spans="1:16" x14ac:dyDescent="0.35">
      <c r="A1726" t="s">
        <v>2024</v>
      </c>
      <c r="B1726" t="s">
        <v>2025</v>
      </c>
      <c r="C1726" t="s">
        <v>84</v>
      </c>
      <c r="D1726" t="s">
        <v>68</v>
      </c>
      <c r="E1726" t="s">
        <v>55</v>
      </c>
      <c r="F1726" s="1">
        <v>45791</v>
      </c>
      <c r="G1726">
        <v>2008</v>
      </c>
      <c r="H1726" t="s">
        <v>46</v>
      </c>
      <c r="I1726" t="s">
        <v>4281</v>
      </c>
      <c r="J1726" t="s">
        <v>72</v>
      </c>
      <c r="K1726">
        <v>5.8</v>
      </c>
      <c r="L1726">
        <v>13110876</v>
      </c>
      <c r="M1726">
        <v>209709</v>
      </c>
      <c r="N1726">
        <v>66</v>
      </c>
      <c r="O1726" t="s">
        <v>123</v>
      </c>
      <c r="P1726" t="s">
        <v>32</v>
      </c>
    </row>
    <row r="1727" spans="1:16" x14ac:dyDescent="0.35">
      <c r="A1727" t="s">
        <v>1669</v>
      </c>
      <c r="B1727" t="s">
        <v>1670</v>
      </c>
      <c r="C1727" t="s">
        <v>84</v>
      </c>
      <c r="D1727" t="s">
        <v>54</v>
      </c>
      <c r="E1727" t="s">
        <v>55</v>
      </c>
      <c r="F1727" s="1">
        <v>45792</v>
      </c>
      <c r="G1727">
        <v>2008</v>
      </c>
      <c r="H1727" t="s">
        <v>85</v>
      </c>
      <c r="I1727" t="s">
        <v>4227</v>
      </c>
      <c r="J1727" t="s">
        <v>40</v>
      </c>
      <c r="K1727">
        <v>5.2</v>
      </c>
      <c r="L1727">
        <v>21896319</v>
      </c>
      <c r="M1727">
        <v>4574482</v>
      </c>
      <c r="N1727">
        <v>48</v>
      </c>
      <c r="O1727" t="s">
        <v>41</v>
      </c>
      <c r="P1727" t="s">
        <v>32</v>
      </c>
    </row>
    <row r="1728" spans="1:16" x14ac:dyDescent="0.35">
      <c r="A1728" t="s">
        <v>750</v>
      </c>
      <c r="B1728" t="s">
        <v>751</v>
      </c>
      <c r="C1728" t="s">
        <v>84</v>
      </c>
      <c r="D1728" t="s">
        <v>90</v>
      </c>
      <c r="E1728" t="s">
        <v>131</v>
      </c>
      <c r="F1728" s="1">
        <v>45796</v>
      </c>
      <c r="G1728">
        <v>2012</v>
      </c>
      <c r="H1728" t="s">
        <v>63</v>
      </c>
      <c r="I1728" t="s">
        <v>4202</v>
      </c>
      <c r="J1728" t="s">
        <v>133</v>
      </c>
      <c r="K1728">
        <v>8.6999999999999993</v>
      </c>
      <c r="L1728">
        <v>11279404</v>
      </c>
      <c r="M1728">
        <v>3639249</v>
      </c>
      <c r="N1728">
        <v>91</v>
      </c>
      <c r="O1728" t="s">
        <v>123</v>
      </c>
      <c r="P1728" t="s">
        <v>4178</v>
      </c>
    </row>
    <row r="1729" spans="1:16" x14ac:dyDescent="0.35">
      <c r="A1729" t="s">
        <v>4017</v>
      </c>
      <c r="B1729" t="s">
        <v>4401</v>
      </c>
      <c r="C1729" t="s">
        <v>53</v>
      </c>
      <c r="D1729" t="s">
        <v>61</v>
      </c>
      <c r="E1729" t="s">
        <v>45</v>
      </c>
      <c r="F1729" s="1">
        <v>45796</v>
      </c>
      <c r="G1729">
        <v>2006</v>
      </c>
      <c r="H1729" t="s">
        <v>114</v>
      </c>
      <c r="I1729" t="s">
        <v>64</v>
      </c>
      <c r="J1729" t="s">
        <v>48</v>
      </c>
      <c r="K1729">
        <v>5.7</v>
      </c>
      <c r="L1729">
        <v>183701</v>
      </c>
      <c r="M1729">
        <v>2999989</v>
      </c>
      <c r="N1729">
        <v>40</v>
      </c>
      <c r="O1729" t="s">
        <v>91</v>
      </c>
      <c r="P1729" t="s">
        <v>87</v>
      </c>
    </row>
    <row r="1730" spans="1:16" x14ac:dyDescent="0.35">
      <c r="A1730" t="s">
        <v>586</v>
      </c>
      <c r="B1730" t="s">
        <v>587</v>
      </c>
      <c r="C1730" t="s">
        <v>4178</v>
      </c>
      <c r="D1730" t="s">
        <v>27</v>
      </c>
      <c r="E1730" t="s">
        <v>131</v>
      </c>
      <c r="F1730" s="1">
        <v>45797</v>
      </c>
      <c r="G1730">
        <v>2026</v>
      </c>
      <c r="H1730" t="s">
        <v>4178</v>
      </c>
      <c r="I1730" t="s">
        <v>118</v>
      </c>
      <c r="J1730" t="s">
        <v>4178</v>
      </c>
      <c r="K1730">
        <v>6.6</v>
      </c>
      <c r="L1730">
        <v>10290482</v>
      </c>
      <c r="M1730">
        <v>467880</v>
      </c>
      <c r="N1730">
        <v>60</v>
      </c>
      <c r="O1730" t="s">
        <v>104</v>
      </c>
      <c r="P1730" t="s">
        <v>50</v>
      </c>
    </row>
    <row r="1731" spans="1:16" x14ac:dyDescent="0.35">
      <c r="A1731" t="s">
        <v>1918</v>
      </c>
      <c r="B1731" t="s">
        <v>1919</v>
      </c>
      <c r="C1731" t="s">
        <v>4178</v>
      </c>
      <c r="D1731" t="s">
        <v>75</v>
      </c>
      <c r="E1731" t="s">
        <v>113</v>
      </c>
      <c r="F1731" s="1">
        <v>45798</v>
      </c>
      <c r="G1731">
        <v>2023</v>
      </c>
      <c r="H1731" t="s">
        <v>46</v>
      </c>
      <c r="I1731" t="s">
        <v>118</v>
      </c>
      <c r="J1731" t="s">
        <v>72</v>
      </c>
      <c r="K1731">
        <v>8.1999999999999993</v>
      </c>
      <c r="L1731">
        <v>17793982</v>
      </c>
      <c r="M1731">
        <v>568947</v>
      </c>
      <c r="N1731">
        <v>90</v>
      </c>
      <c r="O1731" t="s">
        <v>58</v>
      </c>
      <c r="P1731" t="s">
        <v>87</v>
      </c>
    </row>
    <row r="1732" spans="1:16" x14ac:dyDescent="0.35">
      <c r="A1732" t="s">
        <v>4083</v>
      </c>
      <c r="B1732" t="s">
        <v>4084</v>
      </c>
      <c r="C1732" t="s">
        <v>53</v>
      </c>
      <c r="D1732" t="s">
        <v>4178</v>
      </c>
      <c r="E1732" t="s">
        <v>80</v>
      </c>
      <c r="F1732" s="1">
        <v>45803</v>
      </c>
      <c r="G1732">
        <v>2019</v>
      </c>
      <c r="H1732" t="s">
        <v>107</v>
      </c>
      <c r="I1732" t="s">
        <v>118</v>
      </c>
      <c r="J1732" t="s">
        <v>103</v>
      </c>
      <c r="K1732">
        <v>5.0999999999999996</v>
      </c>
      <c r="L1732">
        <v>23184745</v>
      </c>
      <c r="M1732">
        <v>299006</v>
      </c>
      <c r="N1732">
        <v>52</v>
      </c>
      <c r="O1732" t="s">
        <v>24</v>
      </c>
      <c r="P1732" t="s">
        <v>87</v>
      </c>
    </row>
    <row r="1733" spans="1:16" x14ac:dyDescent="0.35">
      <c r="A1733" t="s">
        <v>969</v>
      </c>
      <c r="B1733" t="s">
        <v>970</v>
      </c>
      <c r="C1733" t="s">
        <v>53</v>
      </c>
      <c r="D1733" t="s">
        <v>90</v>
      </c>
      <c r="E1733" t="s">
        <v>4178</v>
      </c>
      <c r="F1733" s="1">
        <v>45804</v>
      </c>
      <c r="G1733">
        <v>2022</v>
      </c>
      <c r="H1733" t="s">
        <v>107</v>
      </c>
      <c r="I1733" t="s">
        <v>56</v>
      </c>
      <c r="J1733" t="s">
        <v>133</v>
      </c>
      <c r="K1733">
        <v>4.9000000000000004</v>
      </c>
      <c r="L1733">
        <v>19304511</v>
      </c>
      <c r="M1733">
        <v>2478659</v>
      </c>
      <c r="N1733">
        <v>42</v>
      </c>
      <c r="O1733" t="s">
        <v>58</v>
      </c>
      <c r="P1733" t="s">
        <v>50</v>
      </c>
    </row>
    <row r="1734" spans="1:16" x14ac:dyDescent="0.35">
      <c r="A1734" t="s">
        <v>2583</v>
      </c>
      <c r="B1734" t="s">
        <v>2584</v>
      </c>
      <c r="C1734" t="s">
        <v>84</v>
      </c>
      <c r="D1734" t="s">
        <v>36</v>
      </c>
      <c r="E1734" t="s">
        <v>37</v>
      </c>
      <c r="F1734" s="1">
        <v>45804</v>
      </c>
      <c r="G1734">
        <v>2004</v>
      </c>
      <c r="H1734" t="s">
        <v>63</v>
      </c>
      <c r="I1734" t="s">
        <v>4303</v>
      </c>
      <c r="J1734" t="s">
        <v>133</v>
      </c>
      <c r="K1734">
        <v>9.6</v>
      </c>
      <c r="L1734">
        <v>2757451</v>
      </c>
      <c r="M1734">
        <v>179013</v>
      </c>
      <c r="N1734">
        <v>97</v>
      </c>
      <c r="O1734" t="s">
        <v>123</v>
      </c>
      <c r="P1734" t="s">
        <v>32</v>
      </c>
    </row>
    <row r="1735" spans="1:16" x14ac:dyDescent="0.35">
      <c r="A1735" t="s">
        <v>2135</v>
      </c>
      <c r="B1735" t="s">
        <v>2136</v>
      </c>
      <c r="C1735" t="s">
        <v>53</v>
      </c>
      <c r="D1735" t="s">
        <v>4178</v>
      </c>
      <c r="E1735" t="s">
        <v>4178</v>
      </c>
      <c r="F1735" s="1">
        <v>45807</v>
      </c>
      <c r="G1735">
        <v>2001</v>
      </c>
      <c r="H1735" t="s">
        <v>38</v>
      </c>
      <c r="I1735" t="s">
        <v>39</v>
      </c>
      <c r="J1735" t="s">
        <v>23</v>
      </c>
      <c r="K1735">
        <v>9.6999999999999993</v>
      </c>
      <c r="L1735">
        <v>4580085</v>
      </c>
      <c r="M1735">
        <v>3256604</v>
      </c>
      <c r="N1735">
        <v>87</v>
      </c>
      <c r="O1735" t="s">
        <v>24</v>
      </c>
      <c r="P1735" t="s">
        <v>50</v>
      </c>
    </row>
    <row r="1736" spans="1:16" x14ac:dyDescent="0.35">
      <c r="A1736" t="s">
        <v>2884</v>
      </c>
      <c r="B1736" t="s">
        <v>2885</v>
      </c>
      <c r="C1736" t="s">
        <v>4178</v>
      </c>
      <c r="D1736" t="s">
        <v>156</v>
      </c>
      <c r="E1736" t="s">
        <v>80</v>
      </c>
      <c r="F1736" s="1">
        <v>45807</v>
      </c>
      <c r="G1736">
        <v>2006</v>
      </c>
      <c r="H1736" t="s">
        <v>107</v>
      </c>
      <c r="I1736" t="s">
        <v>118</v>
      </c>
      <c r="J1736" t="s">
        <v>153</v>
      </c>
      <c r="K1736">
        <v>5.7</v>
      </c>
      <c r="L1736">
        <v>22152832</v>
      </c>
      <c r="M1736">
        <v>74221</v>
      </c>
      <c r="N1736">
        <v>69</v>
      </c>
      <c r="O1736" t="s">
        <v>41</v>
      </c>
      <c r="P1736" t="s">
        <v>32</v>
      </c>
    </row>
    <row r="1737" spans="1:16" x14ac:dyDescent="0.35">
      <c r="A1737" t="s">
        <v>1719</v>
      </c>
      <c r="B1737" t="s">
        <v>4323</v>
      </c>
      <c r="C1737" t="s">
        <v>53</v>
      </c>
      <c r="D1737" t="s">
        <v>75</v>
      </c>
      <c r="E1737" t="s">
        <v>20</v>
      </c>
      <c r="F1737" s="1">
        <v>45809</v>
      </c>
      <c r="G1737">
        <v>2015</v>
      </c>
      <c r="H1737" t="s">
        <v>81</v>
      </c>
      <c r="I1737" t="s">
        <v>64</v>
      </c>
      <c r="J1737" t="s">
        <v>30</v>
      </c>
      <c r="K1737">
        <v>8.5</v>
      </c>
      <c r="L1737">
        <v>3456354</v>
      </c>
      <c r="M1737">
        <v>1760669</v>
      </c>
      <c r="N1737">
        <v>71</v>
      </c>
      <c r="O1737" t="s">
        <v>123</v>
      </c>
      <c r="P1737" t="s">
        <v>87</v>
      </c>
    </row>
    <row r="1738" spans="1:16" x14ac:dyDescent="0.35">
      <c r="A1738" t="s">
        <v>3958</v>
      </c>
      <c r="B1738" t="s">
        <v>3959</v>
      </c>
      <c r="C1738" t="s">
        <v>53</v>
      </c>
      <c r="D1738" t="s">
        <v>61</v>
      </c>
      <c r="E1738" t="s">
        <v>80</v>
      </c>
      <c r="F1738" s="1">
        <v>45812</v>
      </c>
      <c r="G1738">
        <v>2015</v>
      </c>
      <c r="H1738" t="s">
        <v>85</v>
      </c>
      <c r="I1738" t="s">
        <v>95</v>
      </c>
      <c r="J1738" t="s">
        <v>72</v>
      </c>
      <c r="K1738">
        <v>6.6</v>
      </c>
      <c r="L1738">
        <v>15414664</v>
      </c>
      <c r="M1738">
        <v>4622960</v>
      </c>
      <c r="N1738">
        <v>83</v>
      </c>
      <c r="O1738" t="s">
        <v>24</v>
      </c>
      <c r="P1738" t="s">
        <v>4181</v>
      </c>
    </row>
    <row r="1739" spans="1:16" x14ac:dyDescent="0.35">
      <c r="A1739" t="s">
        <v>1590</v>
      </c>
      <c r="B1739" t="s">
        <v>4320</v>
      </c>
      <c r="C1739" t="s">
        <v>84</v>
      </c>
      <c r="D1739" t="s">
        <v>36</v>
      </c>
      <c r="E1739" t="s">
        <v>113</v>
      </c>
      <c r="F1739" s="1">
        <v>45813</v>
      </c>
      <c r="G1739">
        <v>2025</v>
      </c>
      <c r="H1739" t="s">
        <v>21</v>
      </c>
      <c r="I1739" t="s">
        <v>4226</v>
      </c>
      <c r="J1739" t="s">
        <v>103</v>
      </c>
      <c r="K1739">
        <v>8.5</v>
      </c>
      <c r="L1739">
        <v>17235958</v>
      </c>
      <c r="M1739">
        <v>1930870</v>
      </c>
      <c r="N1739">
        <v>62</v>
      </c>
      <c r="O1739" t="s">
        <v>104</v>
      </c>
      <c r="P1739" t="s">
        <v>50</v>
      </c>
    </row>
    <row r="1740" spans="1:16" x14ac:dyDescent="0.35">
      <c r="A1740" t="s">
        <v>2836</v>
      </c>
      <c r="B1740" t="s">
        <v>2837</v>
      </c>
      <c r="C1740" t="s">
        <v>53</v>
      </c>
      <c r="D1740" t="s">
        <v>61</v>
      </c>
      <c r="E1740" t="s">
        <v>4196</v>
      </c>
      <c r="F1740" s="1">
        <v>45813</v>
      </c>
      <c r="G1740">
        <v>2016</v>
      </c>
      <c r="H1740" t="s">
        <v>63</v>
      </c>
      <c r="I1740" t="s">
        <v>118</v>
      </c>
      <c r="J1740" t="s">
        <v>72</v>
      </c>
      <c r="K1740">
        <v>7</v>
      </c>
      <c r="L1740">
        <v>11727511</v>
      </c>
      <c r="M1740">
        <v>3932703</v>
      </c>
      <c r="N1740">
        <v>44</v>
      </c>
      <c r="O1740" t="s">
        <v>31</v>
      </c>
      <c r="P1740" t="s">
        <v>4181</v>
      </c>
    </row>
    <row r="1741" spans="1:16" x14ac:dyDescent="0.35">
      <c r="A1741" t="s">
        <v>1655</v>
      </c>
      <c r="B1741" t="s">
        <v>1656</v>
      </c>
      <c r="C1741" t="s">
        <v>53</v>
      </c>
      <c r="D1741" t="s">
        <v>156</v>
      </c>
      <c r="E1741" t="s">
        <v>37</v>
      </c>
      <c r="F1741" s="1">
        <v>45814</v>
      </c>
      <c r="G1741">
        <v>2023</v>
      </c>
      <c r="H1741" t="s">
        <v>81</v>
      </c>
      <c r="I1741" t="s">
        <v>136</v>
      </c>
      <c r="J1741" t="s">
        <v>57</v>
      </c>
      <c r="K1741">
        <v>4.5</v>
      </c>
      <c r="L1741">
        <v>9442264</v>
      </c>
      <c r="M1741">
        <v>1796434</v>
      </c>
      <c r="N1741">
        <v>96</v>
      </c>
      <c r="O1741" t="s">
        <v>104</v>
      </c>
      <c r="P1741" t="s">
        <v>50</v>
      </c>
    </row>
    <row r="1742" spans="1:16" x14ac:dyDescent="0.35">
      <c r="A1742" t="s">
        <v>3259</v>
      </c>
      <c r="B1742" t="s">
        <v>3260</v>
      </c>
      <c r="C1742" t="s">
        <v>84</v>
      </c>
      <c r="D1742" t="s">
        <v>90</v>
      </c>
      <c r="E1742" t="s">
        <v>20</v>
      </c>
      <c r="F1742" s="1">
        <v>45817</v>
      </c>
      <c r="G1742">
        <v>2009</v>
      </c>
      <c r="H1742" t="s">
        <v>81</v>
      </c>
      <c r="I1742" t="s">
        <v>4199</v>
      </c>
      <c r="J1742" t="s">
        <v>4178</v>
      </c>
      <c r="K1742">
        <v>8.6999999999999993</v>
      </c>
      <c r="L1742">
        <v>15464636</v>
      </c>
      <c r="M1742">
        <v>1393157</v>
      </c>
      <c r="N1742">
        <v>85</v>
      </c>
      <c r="O1742" t="s">
        <v>104</v>
      </c>
      <c r="P1742" t="s">
        <v>4181</v>
      </c>
    </row>
    <row r="1743" spans="1:16" x14ac:dyDescent="0.35">
      <c r="A1743" t="s">
        <v>463</v>
      </c>
      <c r="B1743" t="s">
        <v>464</v>
      </c>
      <c r="C1743" t="s">
        <v>53</v>
      </c>
      <c r="D1743" t="s">
        <v>4178</v>
      </c>
      <c r="E1743" t="s">
        <v>37</v>
      </c>
      <c r="F1743" s="1">
        <v>45819</v>
      </c>
      <c r="G1743">
        <v>2025</v>
      </c>
      <c r="H1743" t="s">
        <v>46</v>
      </c>
      <c r="I1743" t="s">
        <v>95</v>
      </c>
      <c r="J1743" t="s">
        <v>153</v>
      </c>
      <c r="K1743">
        <v>8.9</v>
      </c>
      <c r="L1743">
        <v>14854696</v>
      </c>
      <c r="M1743">
        <v>3562608</v>
      </c>
      <c r="N1743">
        <v>43</v>
      </c>
      <c r="O1743" t="s">
        <v>91</v>
      </c>
      <c r="P1743" t="s">
        <v>87</v>
      </c>
    </row>
    <row r="1744" spans="1:16" x14ac:dyDescent="0.35">
      <c r="A1744" t="s">
        <v>73</v>
      </c>
      <c r="B1744" t="s">
        <v>74</v>
      </c>
      <c r="C1744" t="s">
        <v>53</v>
      </c>
      <c r="D1744" t="s">
        <v>75</v>
      </c>
      <c r="E1744" t="s">
        <v>4178</v>
      </c>
      <c r="F1744" s="1">
        <v>45822</v>
      </c>
      <c r="G1744">
        <v>2009</v>
      </c>
      <c r="H1744" t="s">
        <v>46</v>
      </c>
      <c r="I1744" t="s">
        <v>56</v>
      </c>
      <c r="J1744" t="s">
        <v>133</v>
      </c>
      <c r="K1744">
        <v>5.9</v>
      </c>
      <c r="L1744">
        <v>5426980</v>
      </c>
      <c r="M1744">
        <v>4332327</v>
      </c>
      <c r="N1744">
        <v>120</v>
      </c>
      <c r="O1744" t="s">
        <v>65</v>
      </c>
      <c r="P1744" t="s">
        <v>50</v>
      </c>
    </row>
    <row r="1745" spans="1:16" x14ac:dyDescent="0.35">
      <c r="A1745" t="s">
        <v>2764</v>
      </c>
      <c r="B1745" t="s">
        <v>2765</v>
      </c>
      <c r="C1745" t="s">
        <v>84</v>
      </c>
      <c r="D1745" t="s">
        <v>75</v>
      </c>
      <c r="E1745" t="s">
        <v>131</v>
      </c>
      <c r="F1745" s="1">
        <v>45822</v>
      </c>
      <c r="G1745">
        <v>2017</v>
      </c>
      <c r="H1745" t="s">
        <v>85</v>
      </c>
      <c r="I1745" t="s">
        <v>4246</v>
      </c>
      <c r="J1745" t="s">
        <v>133</v>
      </c>
      <c r="K1745">
        <v>9.1999999999999993</v>
      </c>
      <c r="L1745">
        <v>23337089</v>
      </c>
      <c r="M1745">
        <v>358307</v>
      </c>
      <c r="N1745">
        <v>53</v>
      </c>
      <c r="O1745" t="s">
        <v>65</v>
      </c>
      <c r="P1745" t="s">
        <v>87</v>
      </c>
    </row>
    <row r="1746" spans="1:16" x14ac:dyDescent="0.35">
      <c r="A1746" t="s">
        <v>3950</v>
      </c>
      <c r="B1746" t="s">
        <v>3951</v>
      </c>
      <c r="C1746" t="s">
        <v>53</v>
      </c>
      <c r="D1746" t="s">
        <v>36</v>
      </c>
      <c r="E1746" t="s">
        <v>28</v>
      </c>
      <c r="F1746" s="1">
        <v>45822</v>
      </c>
      <c r="G1746">
        <v>2006</v>
      </c>
      <c r="H1746" t="s">
        <v>46</v>
      </c>
      <c r="I1746" t="s">
        <v>64</v>
      </c>
      <c r="J1746" t="s">
        <v>103</v>
      </c>
      <c r="K1746">
        <v>9.6999999999999993</v>
      </c>
      <c r="L1746">
        <v>9996621</v>
      </c>
      <c r="M1746">
        <v>2411821</v>
      </c>
      <c r="N1746">
        <v>80</v>
      </c>
      <c r="O1746" t="s">
        <v>49</v>
      </c>
      <c r="P1746" t="s">
        <v>4181</v>
      </c>
    </row>
    <row r="1747" spans="1:16" x14ac:dyDescent="0.35">
      <c r="A1747" t="s">
        <v>2469</v>
      </c>
      <c r="B1747" t="s">
        <v>2470</v>
      </c>
      <c r="C1747" t="s">
        <v>4178</v>
      </c>
      <c r="D1747" t="s">
        <v>19</v>
      </c>
      <c r="E1747" t="s">
        <v>99</v>
      </c>
      <c r="F1747" s="1">
        <v>45825</v>
      </c>
      <c r="G1747">
        <v>2016</v>
      </c>
      <c r="H1747" t="s">
        <v>85</v>
      </c>
      <c r="I1747" t="s">
        <v>64</v>
      </c>
      <c r="J1747" t="s">
        <v>23</v>
      </c>
      <c r="K1747">
        <v>6.4</v>
      </c>
      <c r="L1747">
        <v>2193827</v>
      </c>
      <c r="M1747">
        <v>4534331</v>
      </c>
      <c r="N1747">
        <v>51</v>
      </c>
      <c r="O1747" t="s">
        <v>91</v>
      </c>
      <c r="P1747" t="s">
        <v>4178</v>
      </c>
    </row>
    <row r="1748" spans="1:16" x14ac:dyDescent="0.35">
      <c r="A1748" t="s">
        <v>2748</v>
      </c>
      <c r="B1748" t="s">
        <v>2749</v>
      </c>
      <c r="C1748" t="s">
        <v>53</v>
      </c>
      <c r="D1748" t="s">
        <v>19</v>
      </c>
      <c r="E1748" t="s">
        <v>80</v>
      </c>
      <c r="F1748" s="1">
        <v>45828</v>
      </c>
      <c r="G1748">
        <v>2018</v>
      </c>
      <c r="H1748" t="s">
        <v>46</v>
      </c>
      <c r="I1748" t="s">
        <v>118</v>
      </c>
      <c r="J1748" t="s">
        <v>103</v>
      </c>
      <c r="K1748">
        <v>6.2</v>
      </c>
      <c r="L1748">
        <v>9723751</v>
      </c>
      <c r="M1748">
        <v>1399550</v>
      </c>
      <c r="N1748">
        <v>72</v>
      </c>
      <c r="O1748" t="s">
        <v>24</v>
      </c>
      <c r="P1748" t="s">
        <v>4181</v>
      </c>
    </row>
    <row r="1749" spans="1:16" x14ac:dyDescent="0.35">
      <c r="A1749" t="s">
        <v>4101</v>
      </c>
      <c r="B1749" t="s">
        <v>4102</v>
      </c>
      <c r="C1749" t="s">
        <v>53</v>
      </c>
      <c r="D1749" t="s">
        <v>54</v>
      </c>
      <c r="E1749" t="s">
        <v>55</v>
      </c>
      <c r="F1749" s="1">
        <v>45828</v>
      </c>
      <c r="G1749">
        <v>2021</v>
      </c>
      <c r="H1749" t="s">
        <v>38</v>
      </c>
      <c r="I1749" t="s">
        <v>95</v>
      </c>
      <c r="J1749" t="s">
        <v>153</v>
      </c>
      <c r="K1749">
        <v>6.9</v>
      </c>
      <c r="L1749">
        <v>11776538</v>
      </c>
      <c r="M1749">
        <v>4762021</v>
      </c>
      <c r="N1749">
        <v>87</v>
      </c>
      <c r="O1749" t="s">
        <v>49</v>
      </c>
      <c r="P1749" t="s">
        <v>32</v>
      </c>
    </row>
    <row r="1750" spans="1:16" x14ac:dyDescent="0.35">
      <c r="A1750" t="s">
        <v>1667</v>
      </c>
      <c r="B1750" t="s">
        <v>1668</v>
      </c>
      <c r="C1750" t="s">
        <v>53</v>
      </c>
      <c r="D1750" t="s">
        <v>156</v>
      </c>
      <c r="E1750" t="s">
        <v>20</v>
      </c>
      <c r="F1750" s="1">
        <v>45830</v>
      </c>
      <c r="G1750">
        <v>2012</v>
      </c>
      <c r="H1750" t="s">
        <v>81</v>
      </c>
      <c r="I1750" t="s">
        <v>64</v>
      </c>
      <c r="J1750" t="s">
        <v>4178</v>
      </c>
      <c r="K1750">
        <v>7.4</v>
      </c>
      <c r="L1750">
        <v>13999246</v>
      </c>
      <c r="M1750">
        <v>4692039</v>
      </c>
      <c r="N1750">
        <v>74</v>
      </c>
      <c r="O1750" t="s">
        <v>91</v>
      </c>
      <c r="P1750" t="s">
        <v>87</v>
      </c>
    </row>
    <row r="1751" spans="1:16" x14ac:dyDescent="0.35">
      <c r="A1751" t="s">
        <v>2196</v>
      </c>
      <c r="B1751" t="s">
        <v>2197</v>
      </c>
      <c r="C1751" t="s">
        <v>53</v>
      </c>
      <c r="D1751" t="s">
        <v>4178</v>
      </c>
      <c r="E1751" t="s">
        <v>69</v>
      </c>
      <c r="F1751" s="1">
        <v>45832</v>
      </c>
      <c r="G1751">
        <v>2013</v>
      </c>
      <c r="H1751" t="s">
        <v>114</v>
      </c>
      <c r="I1751" t="s">
        <v>162</v>
      </c>
      <c r="J1751" t="s">
        <v>72</v>
      </c>
      <c r="K1751">
        <v>4.5</v>
      </c>
      <c r="L1751">
        <v>21057071</v>
      </c>
      <c r="M1751">
        <v>4241790</v>
      </c>
      <c r="N1751">
        <v>85</v>
      </c>
      <c r="O1751" t="s">
        <v>58</v>
      </c>
      <c r="P1751" t="s">
        <v>4181</v>
      </c>
    </row>
    <row r="1752" spans="1:16" x14ac:dyDescent="0.35">
      <c r="A1752" t="s">
        <v>3109</v>
      </c>
      <c r="B1752" t="s">
        <v>3110</v>
      </c>
      <c r="C1752" t="s">
        <v>84</v>
      </c>
      <c r="D1752" t="s">
        <v>36</v>
      </c>
      <c r="E1752" t="s">
        <v>69</v>
      </c>
      <c r="F1752" s="1">
        <v>45834</v>
      </c>
      <c r="G1752">
        <v>2032</v>
      </c>
      <c r="H1752" t="s">
        <v>63</v>
      </c>
      <c r="I1752" t="s">
        <v>4256</v>
      </c>
      <c r="J1752" t="s">
        <v>96</v>
      </c>
      <c r="K1752">
        <v>6.5</v>
      </c>
      <c r="L1752">
        <v>7248354</v>
      </c>
      <c r="M1752">
        <v>4348173</v>
      </c>
      <c r="N1752">
        <v>44</v>
      </c>
      <c r="O1752" t="s">
        <v>65</v>
      </c>
      <c r="P1752" t="s">
        <v>4178</v>
      </c>
    </row>
    <row r="1753" spans="1:16" x14ac:dyDescent="0.35">
      <c r="A1753" t="s">
        <v>3415</v>
      </c>
      <c r="B1753" t="s">
        <v>3416</v>
      </c>
      <c r="C1753" t="s">
        <v>53</v>
      </c>
      <c r="D1753" t="s">
        <v>19</v>
      </c>
      <c r="E1753" t="s">
        <v>62</v>
      </c>
      <c r="F1753" s="1">
        <v>45838</v>
      </c>
      <c r="G1753">
        <v>2020</v>
      </c>
      <c r="H1753" t="s">
        <v>21</v>
      </c>
      <c r="I1753" t="s">
        <v>95</v>
      </c>
      <c r="J1753" t="s">
        <v>40</v>
      </c>
      <c r="K1753">
        <v>7.7</v>
      </c>
      <c r="L1753">
        <v>22276241</v>
      </c>
      <c r="M1753">
        <v>2617514</v>
      </c>
      <c r="N1753">
        <v>46</v>
      </c>
      <c r="O1753" t="s">
        <v>41</v>
      </c>
      <c r="P1753" t="s">
        <v>87</v>
      </c>
    </row>
    <row r="1754" spans="1:16" x14ac:dyDescent="0.35">
      <c r="A1754" t="s">
        <v>3214</v>
      </c>
      <c r="B1754" t="s">
        <v>3215</v>
      </c>
      <c r="C1754" t="s">
        <v>84</v>
      </c>
      <c r="D1754" t="s">
        <v>90</v>
      </c>
      <c r="E1754" t="s">
        <v>62</v>
      </c>
      <c r="F1754" s="1">
        <v>45839</v>
      </c>
      <c r="G1754">
        <v>2016</v>
      </c>
      <c r="H1754" t="s">
        <v>4178</v>
      </c>
      <c r="I1754" t="s">
        <v>4177</v>
      </c>
      <c r="J1754" t="s">
        <v>96</v>
      </c>
      <c r="K1754">
        <v>9.6999999999999993</v>
      </c>
      <c r="L1754">
        <v>1747471</v>
      </c>
      <c r="M1754">
        <v>4674331</v>
      </c>
      <c r="N1754">
        <v>86</v>
      </c>
      <c r="O1754" t="s">
        <v>58</v>
      </c>
      <c r="P1754" t="s">
        <v>4181</v>
      </c>
    </row>
    <row r="1755" spans="1:16" x14ac:dyDescent="0.35">
      <c r="A1755" t="s">
        <v>160</v>
      </c>
      <c r="B1755" t="s">
        <v>161</v>
      </c>
      <c r="C1755" t="s">
        <v>53</v>
      </c>
      <c r="D1755" t="s">
        <v>61</v>
      </c>
      <c r="E1755" t="s">
        <v>69</v>
      </c>
      <c r="F1755" s="1">
        <v>45840</v>
      </c>
      <c r="G1755">
        <v>2007</v>
      </c>
      <c r="H1755" t="s">
        <v>46</v>
      </c>
      <c r="I1755" t="s">
        <v>162</v>
      </c>
      <c r="J1755" t="s">
        <v>96</v>
      </c>
      <c r="K1755">
        <v>8.1</v>
      </c>
      <c r="L1755">
        <v>24227417</v>
      </c>
      <c r="M1755">
        <v>3837320</v>
      </c>
      <c r="N1755">
        <v>89</v>
      </c>
      <c r="O1755" t="s">
        <v>24</v>
      </c>
      <c r="P1755" t="s">
        <v>87</v>
      </c>
    </row>
    <row r="1756" spans="1:16" x14ac:dyDescent="0.35">
      <c r="A1756" t="s">
        <v>877</v>
      </c>
      <c r="B1756" t="s">
        <v>878</v>
      </c>
      <c r="C1756" t="s">
        <v>4178</v>
      </c>
      <c r="D1756" t="s">
        <v>19</v>
      </c>
      <c r="E1756" t="s">
        <v>20</v>
      </c>
      <c r="F1756" s="1">
        <v>45840</v>
      </c>
      <c r="G1756">
        <v>2032</v>
      </c>
      <c r="H1756" t="s">
        <v>85</v>
      </c>
      <c r="I1756" t="s">
        <v>162</v>
      </c>
      <c r="J1756" t="s">
        <v>72</v>
      </c>
      <c r="K1756">
        <v>9.6999999999999993</v>
      </c>
      <c r="L1756">
        <v>152250</v>
      </c>
      <c r="M1756">
        <v>4398846</v>
      </c>
      <c r="N1756">
        <v>47</v>
      </c>
      <c r="O1756" t="s">
        <v>49</v>
      </c>
      <c r="P1756" t="s">
        <v>87</v>
      </c>
    </row>
    <row r="1757" spans="1:16" x14ac:dyDescent="0.35">
      <c r="A1757" t="s">
        <v>1236</v>
      </c>
      <c r="B1757" t="s">
        <v>1237</v>
      </c>
      <c r="C1757" t="s">
        <v>4178</v>
      </c>
      <c r="D1757" t="s">
        <v>94</v>
      </c>
      <c r="E1757" t="s">
        <v>131</v>
      </c>
      <c r="F1757" s="1">
        <v>45841</v>
      </c>
      <c r="G1757">
        <v>2003</v>
      </c>
      <c r="H1757" t="s">
        <v>107</v>
      </c>
      <c r="I1757" t="s">
        <v>136</v>
      </c>
      <c r="J1757" t="s">
        <v>133</v>
      </c>
      <c r="K1757">
        <v>5.3</v>
      </c>
      <c r="L1757">
        <v>15556621</v>
      </c>
      <c r="M1757">
        <v>1802353</v>
      </c>
      <c r="N1757">
        <v>95</v>
      </c>
      <c r="O1757" t="s">
        <v>31</v>
      </c>
      <c r="P1757" t="s">
        <v>32</v>
      </c>
    </row>
    <row r="1758" spans="1:16" x14ac:dyDescent="0.35">
      <c r="A1758" t="s">
        <v>3596</v>
      </c>
      <c r="B1758" t="s">
        <v>4386</v>
      </c>
      <c r="C1758" t="s">
        <v>84</v>
      </c>
      <c r="D1758" t="s">
        <v>19</v>
      </c>
      <c r="E1758" t="s">
        <v>55</v>
      </c>
      <c r="F1758" s="1">
        <v>45841</v>
      </c>
      <c r="G1758">
        <v>2003</v>
      </c>
      <c r="H1758" t="s">
        <v>85</v>
      </c>
      <c r="I1758" t="s">
        <v>4223</v>
      </c>
      <c r="J1758" t="s">
        <v>96</v>
      </c>
      <c r="K1758">
        <v>9.8000000000000007</v>
      </c>
      <c r="L1758">
        <v>16836688</v>
      </c>
      <c r="M1758">
        <v>3801716</v>
      </c>
      <c r="N1758">
        <v>70</v>
      </c>
      <c r="O1758" t="s">
        <v>4178</v>
      </c>
      <c r="P1758" t="s">
        <v>4178</v>
      </c>
    </row>
    <row r="1759" spans="1:16" x14ac:dyDescent="0.35">
      <c r="A1759" t="s">
        <v>3023</v>
      </c>
      <c r="B1759" t="s">
        <v>3024</v>
      </c>
      <c r="C1759" t="s">
        <v>53</v>
      </c>
      <c r="D1759" t="s">
        <v>68</v>
      </c>
      <c r="E1759" t="s">
        <v>131</v>
      </c>
      <c r="F1759" s="1">
        <v>45844</v>
      </c>
      <c r="G1759">
        <v>2026</v>
      </c>
      <c r="H1759" t="s">
        <v>63</v>
      </c>
      <c r="I1759" t="s">
        <v>56</v>
      </c>
      <c r="J1759" t="s">
        <v>23</v>
      </c>
      <c r="K1759">
        <v>11.2</v>
      </c>
      <c r="L1759">
        <v>11710529</v>
      </c>
      <c r="M1759">
        <v>440786</v>
      </c>
      <c r="N1759">
        <v>89</v>
      </c>
      <c r="O1759" t="s">
        <v>31</v>
      </c>
      <c r="P1759" t="s">
        <v>87</v>
      </c>
    </row>
    <row r="1760" spans="1:16" x14ac:dyDescent="0.35">
      <c r="A1760" t="s">
        <v>4113</v>
      </c>
      <c r="B1760" t="s">
        <v>4114</v>
      </c>
      <c r="C1760" t="s">
        <v>84</v>
      </c>
      <c r="D1760" t="s">
        <v>90</v>
      </c>
      <c r="E1760" t="s">
        <v>4178</v>
      </c>
      <c r="F1760" s="1">
        <v>45847</v>
      </c>
      <c r="G1760">
        <v>2000</v>
      </c>
      <c r="H1760" t="s">
        <v>114</v>
      </c>
      <c r="I1760" t="s">
        <v>4254</v>
      </c>
      <c r="J1760" t="s">
        <v>48</v>
      </c>
      <c r="K1760">
        <v>5.6</v>
      </c>
      <c r="L1760">
        <v>9205629</v>
      </c>
      <c r="M1760">
        <v>2628888</v>
      </c>
      <c r="N1760">
        <v>76</v>
      </c>
      <c r="O1760" t="s">
        <v>65</v>
      </c>
      <c r="P1760" t="s">
        <v>4181</v>
      </c>
    </row>
    <row r="1761" spans="1:16" x14ac:dyDescent="0.35">
      <c r="A1761" t="s">
        <v>1888</v>
      </c>
      <c r="B1761" t="s">
        <v>1889</v>
      </c>
      <c r="C1761" t="s">
        <v>84</v>
      </c>
      <c r="D1761" t="s">
        <v>54</v>
      </c>
      <c r="E1761" t="s">
        <v>62</v>
      </c>
      <c r="F1761" s="1">
        <v>45850</v>
      </c>
      <c r="G1761">
        <v>2011</v>
      </c>
      <c r="H1761" t="s">
        <v>21</v>
      </c>
      <c r="I1761" t="s">
        <v>4236</v>
      </c>
      <c r="J1761" t="s">
        <v>103</v>
      </c>
      <c r="K1761">
        <v>6.1</v>
      </c>
      <c r="L1761">
        <v>8074069</v>
      </c>
      <c r="M1761">
        <v>3775688</v>
      </c>
      <c r="N1761">
        <v>82</v>
      </c>
      <c r="O1761" t="s">
        <v>24</v>
      </c>
      <c r="P1761" t="s">
        <v>32</v>
      </c>
    </row>
    <row r="1762" spans="1:16" x14ac:dyDescent="0.35">
      <c r="A1762" t="s">
        <v>1767</v>
      </c>
      <c r="B1762" t="s">
        <v>1768</v>
      </c>
      <c r="C1762" t="s">
        <v>4178</v>
      </c>
      <c r="D1762" t="s">
        <v>156</v>
      </c>
      <c r="E1762" t="s">
        <v>80</v>
      </c>
      <c r="F1762" s="1">
        <v>45852</v>
      </c>
      <c r="G1762">
        <v>2025</v>
      </c>
      <c r="H1762" t="s">
        <v>107</v>
      </c>
      <c r="I1762" t="s">
        <v>118</v>
      </c>
      <c r="J1762" t="s">
        <v>153</v>
      </c>
      <c r="K1762">
        <v>8.4</v>
      </c>
      <c r="L1762">
        <v>13785772</v>
      </c>
      <c r="M1762">
        <v>2244505</v>
      </c>
      <c r="N1762">
        <v>94</v>
      </c>
      <c r="O1762" t="s">
        <v>65</v>
      </c>
      <c r="P1762" t="s">
        <v>4178</v>
      </c>
    </row>
    <row r="1763" spans="1:16" x14ac:dyDescent="0.35">
      <c r="A1763" t="s">
        <v>2782</v>
      </c>
      <c r="B1763" t="s">
        <v>2783</v>
      </c>
      <c r="C1763" t="s">
        <v>4178</v>
      </c>
      <c r="D1763" t="s">
        <v>27</v>
      </c>
      <c r="E1763" t="s">
        <v>28</v>
      </c>
      <c r="F1763" s="1">
        <v>45852</v>
      </c>
      <c r="G1763">
        <v>2004</v>
      </c>
      <c r="H1763" t="s">
        <v>85</v>
      </c>
      <c r="I1763" t="s">
        <v>71</v>
      </c>
      <c r="J1763" t="s">
        <v>48</v>
      </c>
      <c r="K1763">
        <v>6.6</v>
      </c>
      <c r="L1763">
        <v>2021979</v>
      </c>
      <c r="M1763">
        <v>2710985</v>
      </c>
      <c r="N1763">
        <v>40</v>
      </c>
      <c r="O1763" t="s">
        <v>91</v>
      </c>
      <c r="P1763" t="s">
        <v>4178</v>
      </c>
    </row>
    <row r="1764" spans="1:16" x14ac:dyDescent="0.35">
      <c r="A1764" t="s">
        <v>3301</v>
      </c>
      <c r="B1764" t="s">
        <v>3302</v>
      </c>
      <c r="C1764" t="s">
        <v>53</v>
      </c>
      <c r="D1764" t="s">
        <v>54</v>
      </c>
      <c r="E1764" t="s">
        <v>131</v>
      </c>
      <c r="F1764" s="1">
        <v>45857</v>
      </c>
      <c r="G1764">
        <v>2013</v>
      </c>
      <c r="H1764" t="s">
        <v>121</v>
      </c>
      <c r="I1764" t="s">
        <v>64</v>
      </c>
      <c r="J1764" t="s">
        <v>40</v>
      </c>
      <c r="K1764">
        <v>7.2</v>
      </c>
      <c r="L1764">
        <v>15805212</v>
      </c>
      <c r="M1764">
        <v>3804784</v>
      </c>
      <c r="N1764">
        <v>99</v>
      </c>
      <c r="O1764" t="s">
        <v>104</v>
      </c>
      <c r="P1764" t="s">
        <v>50</v>
      </c>
    </row>
    <row r="1765" spans="1:16" x14ac:dyDescent="0.35">
      <c r="A1765" t="s">
        <v>439</v>
      </c>
      <c r="B1765" t="s">
        <v>440</v>
      </c>
      <c r="C1765" t="s">
        <v>84</v>
      </c>
      <c r="D1765" t="s">
        <v>54</v>
      </c>
      <c r="E1765" t="s">
        <v>80</v>
      </c>
      <c r="F1765" s="1">
        <v>45860</v>
      </c>
      <c r="G1765">
        <v>2018</v>
      </c>
      <c r="H1765" t="s">
        <v>38</v>
      </c>
      <c r="I1765" t="s">
        <v>4241</v>
      </c>
      <c r="J1765" t="s">
        <v>23</v>
      </c>
      <c r="K1765">
        <v>8.6999999999999993</v>
      </c>
      <c r="L1765">
        <v>11928637</v>
      </c>
      <c r="M1765">
        <v>538860</v>
      </c>
      <c r="N1765">
        <v>73</v>
      </c>
      <c r="O1765" t="s">
        <v>123</v>
      </c>
      <c r="P1765" t="s">
        <v>4178</v>
      </c>
    </row>
    <row r="1766" spans="1:16" x14ac:dyDescent="0.35">
      <c r="A1766" t="s">
        <v>1708</v>
      </c>
      <c r="B1766" t="s">
        <v>1709</v>
      </c>
      <c r="C1766" t="s">
        <v>53</v>
      </c>
      <c r="D1766" t="s">
        <v>94</v>
      </c>
      <c r="E1766" t="s">
        <v>45</v>
      </c>
      <c r="F1766" s="1">
        <v>45861</v>
      </c>
      <c r="G1766">
        <v>2006</v>
      </c>
      <c r="H1766" t="s">
        <v>114</v>
      </c>
      <c r="I1766" t="s">
        <v>95</v>
      </c>
      <c r="J1766" t="s">
        <v>103</v>
      </c>
      <c r="K1766">
        <v>9.6999999999999993</v>
      </c>
      <c r="L1766">
        <v>4488567</v>
      </c>
      <c r="M1766">
        <v>1625651</v>
      </c>
      <c r="N1766">
        <v>55</v>
      </c>
      <c r="O1766" t="s">
        <v>24</v>
      </c>
      <c r="P1766" t="s">
        <v>4178</v>
      </c>
    </row>
    <row r="1767" spans="1:16" x14ac:dyDescent="0.35">
      <c r="A1767" t="s">
        <v>1920</v>
      </c>
      <c r="B1767" t="s">
        <v>1921</v>
      </c>
      <c r="C1767" t="s">
        <v>84</v>
      </c>
      <c r="D1767" t="s">
        <v>68</v>
      </c>
      <c r="E1767" t="s">
        <v>131</v>
      </c>
      <c r="F1767" s="1">
        <v>45861</v>
      </c>
      <c r="G1767">
        <v>2001</v>
      </c>
      <c r="H1767" t="s">
        <v>107</v>
      </c>
      <c r="I1767" t="s">
        <v>4211</v>
      </c>
      <c r="J1767" t="s">
        <v>72</v>
      </c>
      <c r="K1767">
        <v>8.6</v>
      </c>
      <c r="L1767">
        <v>5271244</v>
      </c>
      <c r="M1767">
        <v>815426</v>
      </c>
      <c r="N1767">
        <v>46</v>
      </c>
      <c r="O1767" t="s">
        <v>49</v>
      </c>
      <c r="P1767" t="s">
        <v>4178</v>
      </c>
    </row>
    <row r="1768" spans="1:16" x14ac:dyDescent="0.35">
      <c r="A1768" t="s">
        <v>2856</v>
      </c>
      <c r="B1768" t="s">
        <v>2857</v>
      </c>
      <c r="C1768" t="s">
        <v>53</v>
      </c>
      <c r="D1768" t="s">
        <v>156</v>
      </c>
      <c r="E1768" t="s">
        <v>113</v>
      </c>
      <c r="F1768" s="1">
        <v>45861</v>
      </c>
      <c r="G1768">
        <v>2010</v>
      </c>
      <c r="H1768" t="s">
        <v>21</v>
      </c>
      <c r="I1768" t="s">
        <v>162</v>
      </c>
      <c r="J1768" t="s">
        <v>72</v>
      </c>
      <c r="K1768">
        <v>8.6</v>
      </c>
      <c r="L1768">
        <v>-915</v>
      </c>
      <c r="M1768">
        <v>4590458</v>
      </c>
      <c r="N1768">
        <v>86</v>
      </c>
      <c r="O1768" t="s">
        <v>104</v>
      </c>
      <c r="P1768" t="s">
        <v>50</v>
      </c>
    </row>
    <row r="1769" spans="1:16" x14ac:dyDescent="0.35">
      <c r="A1769" t="s">
        <v>2725</v>
      </c>
      <c r="B1769" t="s">
        <v>2726</v>
      </c>
      <c r="C1769" t="s">
        <v>53</v>
      </c>
      <c r="D1769" t="s">
        <v>54</v>
      </c>
      <c r="E1769" t="s">
        <v>69</v>
      </c>
      <c r="F1769" s="1">
        <v>45864</v>
      </c>
      <c r="G1769">
        <v>2007</v>
      </c>
      <c r="H1769" t="s">
        <v>85</v>
      </c>
      <c r="I1769" t="s">
        <v>118</v>
      </c>
      <c r="J1769" t="s">
        <v>153</v>
      </c>
      <c r="K1769">
        <v>6.3</v>
      </c>
      <c r="L1769">
        <v>19759313</v>
      </c>
      <c r="M1769">
        <v>4403447</v>
      </c>
      <c r="N1769">
        <v>120</v>
      </c>
      <c r="O1769" t="s">
        <v>41</v>
      </c>
      <c r="P1769" t="s">
        <v>50</v>
      </c>
    </row>
    <row r="1770" spans="1:16" x14ac:dyDescent="0.35">
      <c r="A1770" t="s">
        <v>1530</v>
      </c>
      <c r="B1770" t="s">
        <v>1531</v>
      </c>
      <c r="C1770" t="s">
        <v>53</v>
      </c>
      <c r="D1770" t="s">
        <v>156</v>
      </c>
      <c r="E1770" t="s">
        <v>20</v>
      </c>
      <c r="F1770" s="1">
        <v>45869</v>
      </c>
      <c r="G1770">
        <v>2017</v>
      </c>
      <c r="H1770" t="s">
        <v>81</v>
      </c>
      <c r="I1770" t="s">
        <v>162</v>
      </c>
      <c r="J1770" t="s">
        <v>96</v>
      </c>
      <c r="K1770">
        <v>7</v>
      </c>
      <c r="L1770">
        <v>14342832</v>
      </c>
      <c r="M1770">
        <v>1599421</v>
      </c>
      <c r="N1770">
        <v>86</v>
      </c>
      <c r="O1770" t="s">
        <v>4178</v>
      </c>
      <c r="P1770" t="s">
        <v>32</v>
      </c>
    </row>
    <row r="1771" spans="1:16" x14ac:dyDescent="0.35">
      <c r="A1771" t="s">
        <v>2825</v>
      </c>
      <c r="B1771" t="s">
        <v>2826</v>
      </c>
      <c r="C1771" t="s">
        <v>53</v>
      </c>
      <c r="D1771" t="s">
        <v>4178</v>
      </c>
      <c r="E1771" t="s">
        <v>62</v>
      </c>
      <c r="F1771" s="1">
        <v>45872</v>
      </c>
      <c r="G1771">
        <v>2010</v>
      </c>
      <c r="H1771" t="s">
        <v>81</v>
      </c>
      <c r="I1771" t="s">
        <v>71</v>
      </c>
      <c r="J1771" t="s">
        <v>4178</v>
      </c>
      <c r="K1771">
        <v>4.8</v>
      </c>
      <c r="L1771">
        <v>15804852</v>
      </c>
      <c r="M1771">
        <v>3566015</v>
      </c>
      <c r="N1771">
        <v>40</v>
      </c>
      <c r="O1771" t="s">
        <v>123</v>
      </c>
      <c r="P1771" t="s">
        <v>4178</v>
      </c>
    </row>
    <row r="1772" spans="1:16" x14ac:dyDescent="0.35">
      <c r="A1772" t="s">
        <v>506</v>
      </c>
      <c r="B1772" t="s">
        <v>507</v>
      </c>
      <c r="C1772" t="s">
        <v>84</v>
      </c>
      <c r="D1772" t="s">
        <v>19</v>
      </c>
      <c r="E1772" t="s">
        <v>113</v>
      </c>
      <c r="F1772" s="1">
        <v>45876</v>
      </c>
      <c r="G1772">
        <v>2006</v>
      </c>
      <c r="H1772" t="s">
        <v>107</v>
      </c>
      <c r="I1772" t="s">
        <v>4248</v>
      </c>
      <c r="J1772" t="s">
        <v>153</v>
      </c>
      <c r="K1772">
        <v>8.6</v>
      </c>
      <c r="L1772">
        <v>5112631</v>
      </c>
      <c r="M1772">
        <v>2340616</v>
      </c>
      <c r="N1772">
        <v>70</v>
      </c>
      <c r="O1772" t="s">
        <v>65</v>
      </c>
      <c r="P1772" t="s">
        <v>32</v>
      </c>
    </row>
    <row r="1773" spans="1:16" x14ac:dyDescent="0.35">
      <c r="A1773" t="s">
        <v>922</v>
      </c>
      <c r="B1773" t="s">
        <v>923</v>
      </c>
      <c r="C1773" t="s">
        <v>53</v>
      </c>
      <c r="D1773" t="s">
        <v>94</v>
      </c>
      <c r="E1773" t="s">
        <v>4178</v>
      </c>
      <c r="F1773" s="1">
        <v>45882</v>
      </c>
      <c r="G1773">
        <v>2032</v>
      </c>
      <c r="H1773" t="s">
        <v>63</v>
      </c>
      <c r="I1773" t="s">
        <v>4178</v>
      </c>
      <c r="J1773" t="s">
        <v>103</v>
      </c>
      <c r="K1773">
        <v>7.3</v>
      </c>
      <c r="L1773">
        <v>15688748</v>
      </c>
      <c r="M1773">
        <v>778561</v>
      </c>
      <c r="N1773">
        <v>56</v>
      </c>
      <c r="O1773" t="s">
        <v>91</v>
      </c>
      <c r="P1773" t="s">
        <v>4178</v>
      </c>
    </row>
    <row r="1774" spans="1:16" x14ac:dyDescent="0.35">
      <c r="A1774" t="s">
        <v>2119</v>
      </c>
      <c r="B1774" t="s">
        <v>2120</v>
      </c>
      <c r="C1774" t="s">
        <v>53</v>
      </c>
      <c r="D1774" t="s">
        <v>36</v>
      </c>
      <c r="E1774" t="s">
        <v>113</v>
      </c>
      <c r="F1774" s="1">
        <v>45882</v>
      </c>
      <c r="G1774">
        <v>2025</v>
      </c>
      <c r="H1774" t="s">
        <v>4178</v>
      </c>
      <c r="I1774" t="s">
        <v>136</v>
      </c>
      <c r="J1774" t="s">
        <v>23</v>
      </c>
      <c r="K1774">
        <v>8.6999999999999993</v>
      </c>
      <c r="L1774">
        <v>4586963</v>
      </c>
      <c r="M1774">
        <v>2466251</v>
      </c>
      <c r="N1774">
        <v>72</v>
      </c>
      <c r="O1774" t="s">
        <v>65</v>
      </c>
      <c r="P1774" t="s">
        <v>4178</v>
      </c>
    </row>
    <row r="1775" spans="1:16" x14ac:dyDescent="0.35">
      <c r="A1775" t="s">
        <v>3105</v>
      </c>
      <c r="B1775" t="s">
        <v>3106</v>
      </c>
      <c r="C1775" t="s">
        <v>84</v>
      </c>
      <c r="D1775" t="s">
        <v>156</v>
      </c>
      <c r="E1775" t="s">
        <v>28</v>
      </c>
      <c r="F1775" s="1">
        <v>45884</v>
      </c>
      <c r="G1775">
        <v>2017</v>
      </c>
      <c r="H1775" t="s">
        <v>38</v>
      </c>
      <c r="I1775" t="s">
        <v>4286</v>
      </c>
      <c r="J1775" t="s">
        <v>133</v>
      </c>
      <c r="K1775">
        <v>8.1</v>
      </c>
      <c r="L1775">
        <v>4303519</v>
      </c>
      <c r="M1775">
        <v>4226212</v>
      </c>
      <c r="N1775">
        <v>60</v>
      </c>
      <c r="O1775" t="s">
        <v>31</v>
      </c>
      <c r="P1775" t="s">
        <v>87</v>
      </c>
    </row>
    <row r="1776" spans="1:16" x14ac:dyDescent="0.35">
      <c r="A1776" t="s">
        <v>3880</v>
      </c>
      <c r="B1776" t="s">
        <v>3881</v>
      </c>
      <c r="C1776" t="s">
        <v>53</v>
      </c>
      <c r="D1776" t="s">
        <v>27</v>
      </c>
      <c r="E1776" t="s">
        <v>131</v>
      </c>
      <c r="F1776" s="1">
        <v>45886</v>
      </c>
      <c r="G1776">
        <v>2022</v>
      </c>
      <c r="H1776" t="s">
        <v>81</v>
      </c>
      <c r="I1776" t="s">
        <v>56</v>
      </c>
      <c r="J1776" t="s">
        <v>4178</v>
      </c>
      <c r="K1776">
        <v>8.4</v>
      </c>
      <c r="L1776">
        <v>21136385</v>
      </c>
      <c r="M1776">
        <v>632904</v>
      </c>
      <c r="N1776">
        <v>74</v>
      </c>
      <c r="O1776" t="s">
        <v>104</v>
      </c>
      <c r="P1776" t="s">
        <v>87</v>
      </c>
    </row>
    <row r="1777" spans="1:16" x14ac:dyDescent="0.35">
      <c r="A1777" t="s">
        <v>3988</v>
      </c>
      <c r="B1777" t="s">
        <v>3989</v>
      </c>
      <c r="C1777" t="s">
        <v>53</v>
      </c>
      <c r="D1777" t="s">
        <v>54</v>
      </c>
      <c r="E1777" t="s">
        <v>62</v>
      </c>
      <c r="F1777" s="1">
        <v>45886</v>
      </c>
      <c r="G1777">
        <v>2000</v>
      </c>
      <c r="H1777" t="s">
        <v>63</v>
      </c>
      <c r="I1777" t="s">
        <v>71</v>
      </c>
      <c r="J1777" t="s">
        <v>72</v>
      </c>
      <c r="K1777">
        <v>7.5</v>
      </c>
      <c r="L1777">
        <v>13600739</v>
      </c>
      <c r="M1777">
        <v>2681474</v>
      </c>
      <c r="N1777">
        <v>44</v>
      </c>
      <c r="O1777" t="s">
        <v>31</v>
      </c>
      <c r="P1777" t="s">
        <v>4178</v>
      </c>
    </row>
    <row r="1778" spans="1:16" x14ac:dyDescent="0.35">
      <c r="A1778" t="s">
        <v>1373</v>
      </c>
      <c r="B1778" t="s">
        <v>1374</v>
      </c>
      <c r="C1778" t="s">
        <v>84</v>
      </c>
      <c r="D1778" t="s">
        <v>19</v>
      </c>
      <c r="E1778" t="s">
        <v>69</v>
      </c>
      <c r="F1778" s="1">
        <v>45889</v>
      </c>
      <c r="G1778">
        <v>2011</v>
      </c>
      <c r="H1778" t="s">
        <v>107</v>
      </c>
      <c r="I1778" t="s">
        <v>4276</v>
      </c>
      <c r="J1778" t="s">
        <v>72</v>
      </c>
      <c r="K1778">
        <v>7.9</v>
      </c>
      <c r="L1778">
        <v>14993651</v>
      </c>
      <c r="M1778">
        <v>2762697</v>
      </c>
      <c r="N1778">
        <v>54</v>
      </c>
      <c r="O1778" t="s">
        <v>65</v>
      </c>
      <c r="P1778" t="s">
        <v>50</v>
      </c>
    </row>
    <row r="1779" spans="1:16" x14ac:dyDescent="0.35">
      <c r="A1779" t="s">
        <v>92</v>
      </c>
      <c r="B1779" t="s">
        <v>93</v>
      </c>
      <c r="C1779" t="s">
        <v>4178</v>
      </c>
      <c r="D1779" t="s">
        <v>94</v>
      </c>
      <c r="E1779" t="s">
        <v>4178</v>
      </c>
      <c r="F1779" s="1">
        <v>45890</v>
      </c>
      <c r="G1779">
        <v>2011</v>
      </c>
      <c r="H1779" t="s">
        <v>63</v>
      </c>
      <c r="I1779" t="s">
        <v>95</v>
      </c>
      <c r="J1779" t="s">
        <v>96</v>
      </c>
      <c r="K1779">
        <v>8.6999999999999993</v>
      </c>
      <c r="L1779">
        <v>3458457</v>
      </c>
      <c r="M1779">
        <v>4418281</v>
      </c>
      <c r="N1779">
        <v>48</v>
      </c>
      <c r="O1779" t="s">
        <v>58</v>
      </c>
      <c r="P1779" t="s">
        <v>4181</v>
      </c>
    </row>
    <row r="1780" spans="1:16" x14ac:dyDescent="0.35">
      <c r="A1780" t="s">
        <v>1760</v>
      </c>
      <c r="B1780" t="s">
        <v>1759</v>
      </c>
      <c r="C1780" t="s">
        <v>53</v>
      </c>
      <c r="D1780" t="s">
        <v>75</v>
      </c>
      <c r="E1780" t="s">
        <v>99</v>
      </c>
      <c r="F1780" s="1">
        <v>45890</v>
      </c>
      <c r="G1780">
        <v>2009</v>
      </c>
      <c r="H1780" t="s">
        <v>81</v>
      </c>
      <c r="I1780" t="s">
        <v>64</v>
      </c>
      <c r="J1780" t="s">
        <v>72</v>
      </c>
      <c r="K1780">
        <v>4.9000000000000004</v>
      </c>
      <c r="L1780">
        <v>398506</v>
      </c>
      <c r="M1780">
        <v>556960</v>
      </c>
      <c r="N1780">
        <v>68</v>
      </c>
      <c r="O1780" t="s">
        <v>4178</v>
      </c>
      <c r="P1780" t="s">
        <v>87</v>
      </c>
    </row>
    <row r="1781" spans="1:16" x14ac:dyDescent="0.35">
      <c r="A1781" t="s">
        <v>3234</v>
      </c>
      <c r="B1781" t="s">
        <v>3235</v>
      </c>
      <c r="C1781" t="s">
        <v>84</v>
      </c>
      <c r="D1781" t="s">
        <v>90</v>
      </c>
      <c r="E1781" t="s">
        <v>37</v>
      </c>
      <c r="F1781" s="1">
        <v>45896</v>
      </c>
      <c r="G1781">
        <v>2006</v>
      </c>
      <c r="H1781" t="s">
        <v>81</v>
      </c>
      <c r="I1781" t="s">
        <v>4281</v>
      </c>
      <c r="J1781" t="s">
        <v>4178</v>
      </c>
      <c r="K1781">
        <v>7.6</v>
      </c>
      <c r="L1781">
        <v>14851868</v>
      </c>
      <c r="M1781">
        <v>4342242</v>
      </c>
      <c r="N1781">
        <v>59</v>
      </c>
      <c r="O1781" t="s">
        <v>123</v>
      </c>
      <c r="P1781" t="s">
        <v>4178</v>
      </c>
    </row>
    <row r="1782" spans="1:16" x14ac:dyDescent="0.35">
      <c r="A1782" t="s">
        <v>1230</v>
      </c>
      <c r="B1782" t="s">
        <v>4304</v>
      </c>
      <c r="C1782" t="s">
        <v>84</v>
      </c>
      <c r="D1782" t="s">
        <v>156</v>
      </c>
      <c r="E1782" t="s">
        <v>4178</v>
      </c>
      <c r="F1782" s="1">
        <v>45899</v>
      </c>
      <c r="G1782">
        <v>2025</v>
      </c>
      <c r="H1782" t="s">
        <v>81</v>
      </c>
      <c r="I1782" t="s">
        <v>4256</v>
      </c>
      <c r="J1782" t="s">
        <v>72</v>
      </c>
      <c r="K1782">
        <v>8.8000000000000007</v>
      </c>
      <c r="L1782">
        <v>19199649</v>
      </c>
      <c r="M1782">
        <v>827338</v>
      </c>
      <c r="N1782">
        <v>98</v>
      </c>
      <c r="O1782" t="s">
        <v>104</v>
      </c>
      <c r="P1782" t="s">
        <v>50</v>
      </c>
    </row>
    <row r="1783" spans="1:16" x14ac:dyDescent="0.35">
      <c r="A1783" t="s">
        <v>3715</v>
      </c>
      <c r="B1783" t="s">
        <v>3716</v>
      </c>
      <c r="C1783" t="s">
        <v>4178</v>
      </c>
      <c r="D1783" t="s">
        <v>94</v>
      </c>
      <c r="E1783" t="s">
        <v>62</v>
      </c>
      <c r="F1783" s="1">
        <v>45899</v>
      </c>
      <c r="G1783">
        <v>2018</v>
      </c>
      <c r="H1783" t="s">
        <v>63</v>
      </c>
      <c r="I1783" t="s">
        <v>71</v>
      </c>
      <c r="J1783" t="s">
        <v>57</v>
      </c>
      <c r="K1783">
        <v>5.8</v>
      </c>
      <c r="L1783">
        <v>6268571</v>
      </c>
      <c r="M1783">
        <v>3799700</v>
      </c>
      <c r="N1783">
        <v>81</v>
      </c>
      <c r="O1783" t="s">
        <v>24</v>
      </c>
      <c r="P1783" t="s">
        <v>4181</v>
      </c>
    </row>
    <row r="1784" spans="1:16" x14ac:dyDescent="0.35">
      <c r="A1784" t="s">
        <v>526</v>
      </c>
      <c r="B1784" t="s">
        <v>527</v>
      </c>
      <c r="C1784" t="s">
        <v>53</v>
      </c>
      <c r="D1784" t="s">
        <v>75</v>
      </c>
      <c r="E1784" t="s">
        <v>45</v>
      </c>
      <c r="F1784" s="1">
        <v>45906</v>
      </c>
      <c r="G1784">
        <v>2004</v>
      </c>
      <c r="H1784" t="s">
        <v>46</v>
      </c>
      <c r="I1784" t="s">
        <v>162</v>
      </c>
      <c r="J1784" t="s">
        <v>48</v>
      </c>
      <c r="K1784">
        <v>5.6</v>
      </c>
      <c r="L1784">
        <v>721973</v>
      </c>
      <c r="M1784">
        <v>1620716</v>
      </c>
      <c r="N1784">
        <v>100</v>
      </c>
      <c r="O1784" t="s">
        <v>65</v>
      </c>
      <c r="P1784" t="s">
        <v>32</v>
      </c>
    </row>
    <row r="1785" spans="1:16" x14ac:dyDescent="0.35">
      <c r="A1785" t="s">
        <v>1976</v>
      </c>
      <c r="B1785" t="s">
        <v>1977</v>
      </c>
      <c r="C1785" t="s">
        <v>84</v>
      </c>
      <c r="D1785" t="s">
        <v>4178</v>
      </c>
      <c r="E1785" t="s">
        <v>45</v>
      </c>
      <c r="F1785" s="1">
        <v>45906</v>
      </c>
      <c r="G1785">
        <v>2001</v>
      </c>
      <c r="H1785" t="s">
        <v>46</v>
      </c>
      <c r="I1785" t="s">
        <v>4284</v>
      </c>
      <c r="J1785" t="s">
        <v>72</v>
      </c>
      <c r="K1785">
        <v>5.8</v>
      </c>
      <c r="L1785">
        <v>919372</v>
      </c>
      <c r="M1785">
        <v>4624384</v>
      </c>
      <c r="N1785">
        <v>91</v>
      </c>
      <c r="O1785" t="s">
        <v>58</v>
      </c>
      <c r="P1785" t="s">
        <v>50</v>
      </c>
    </row>
    <row r="1786" spans="1:16" x14ac:dyDescent="0.35">
      <c r="A1786" t="s">
        <v>838</v>
      </c>
      <c r="B1786" t="s">
        <v>839</v>
      </c>
      <c r="C1786" t="s">
        <v>84</v>
      </c>
      <c r="D1786" t="s">
        <v>61</v>
      </c>
      <c r="E1786" t="s">
        <v>37</v>
      </c>
      <c r="F1786" s="1">
        <v>45907</v>
      </c>
      <c r="G1786">
        <v>2023</v>
      </c>
      <c r="H1786" t="s">
        <v>21</v>
      </c>
      <c r="I1786" t="s">
        <v>4275</v>
      </c>
      <c r="J1786" t="s">
        <v>57</v>
      </c>
      <c r="K1786">
        <v>6.5</v>
      </c>
      <c r="L1786">
        <v>21828435</v>
      </c>
      <c r="M1786">
        <v>2668479</v>
      </c>
      <c r="N1786">
        <v>41</v>
      </c>
      <c r="O1786" t="s">
        <v>4178</v>
      </c>
      <c r="P1786" t="s">
        <v>87</v>
      </c>
    </row>
    <row r="1787" spans="1:16" x14ac:dyDescent="0.35">
      <c r="A1787" t="s">
        <v>1011</v>
      </c>
      <c r="B1787" t="s">
        <v>1012</v>
      </c>
      <c r="C1787" t="s">
        <v>4178</v>
      </c>
      <c r="D1787" t="s">
        <v>4178</v>
      </c>
      <c r="E1787" t="s">
        <v>62</v>
      </c>
      <c r="F1787" s="1">
        <v>45909</v>
      </c>
      <c r="G1787">
        <v>2012</v>
      </c>
      <c r="H1787" t="s">
        <v>4178</v>
      </c>
      <c r="I1787" t="s">
        <v>118</v>
      </c>
      <c r="J1787" t="s">
        <v>30</v>
      </c>
      <c r="K1787">
        <v>6.3</v>
      </c>
      <c r="L1787">
        <v>17289605</v>
      </c>
      <c r="M1787">
        <v>1744400</v>
      </c>
      <c r="N1787">
        <v>71</v>
      </c>
      <c r="O1787" t="s">
        <v>65</v>
      </c>
      <c r="P1787" t="s">
        <v>4178</v>
      </c>
    </row>
    <row r="1788" spans="1:16" x14ac:dyDescent="0.35">
      <c r="A1788" t="s">
        <v>1848</v>
      </c>
      <c r="B1788" t="s">
        <v>1849</v>
      </c>
      <c r="C1788" t="s">
        <v>84</v>
      </c>
      <c r="D1788" t="s">
        <v>19</v>
      </c>
      <c r="E1788" t="s">
        <v>99</v>
      </c>
      <c r="F1788" s="1">
        <v>45915</v>
      </c>
      <c r="G1788">
        <v>2019</v>
      </c>
      <c r="H1788" t="s">
        <v>46</v>
      </c>
      <c r="I1788" t="s">
        <v>4188</v>
      </c>
      <c r="J1788" t="s">
        <v>133</v>
      </c>
      <c r="K1788">
        <v>8.1999999999999993</v>
      </c>
      <c r="L1788">
        <v>9194870</v>
      </c>
      <c r="M1788">
        <v>626586</v>
      </c>
      <c r="N1788">
        <v>73</v>
      </c>
      <c r="O1788" t="s">
        <v>65</v>
      </c>
      <c r="P1788" t="s">
        <v>32</v>
      </c>
    </row>
    <row r="1789" spans="1:16" x14ac:dyDescent="0.35">
      <c r="A1789" t="s">
        <v>662</v>
      </c>
      <c r="B1789" t="s">
        <v>663</v>
      </c>
      <c r="C1789" t="s">
        <v>84</v>
      </c>
      <c r="D1789" t="s">
        <v>19</v>
      </c>
      <c r="E1789" t="s">
        <v>37</v>
      </c>
      <c r="F1789" s="1">
        <v>45916</v>
      </c>
      <c r="G1789">
        <v>2013</v>
      </c>
      <c r="H1789" t="s">
        <v>85</v>
      </c>
      <c r="I1789" t="s">
        <v>4206</v>
      </c>
      <c r="J1789" t="s">
        <v>72</v>
      </c>
      <c r="K1789">
        <v>8.1</v>
      </c>
      <c r="L1789">
        <v>15197602</v>
      </c>
      <c r="M1789">
        <v>4221236</v>
      </c>
      <c r="N1789">
        <v>42</v>
      </c>
      <c r="O1789" t="s">
        <v>4178</v>
      </c>
      <c r="P1789" t="s">
        <v>4181</v>
      </c>
    </row>
    <row r="1790" spans="1:16" x14ac:dyDescent="0.35">
      <c r="A1790" t="s">
        <v>1096</v>
      </c>
      <c r="B1790" t="s">
        <v>1097</v>
      </c>
      <c r="C1790" t="s">
        <v>53</v>
      </c>
      <c r="D1790" t="s">
        <v>19</v>
      </c>
      <c r="E1790" t="s">
        <v>4178</v>
      </c>
      <c r="F1790" s="1">
        <v>45916</v>
      </c>
      <c r="G1790">
        <v>2003</v>
      </c>
      <c r="H1790" t="s">
        <v>107</v>
      </c>
      <c r="I1790" t="s">
        <v>56</v>
      </c>
      <c r="J1790" t="s">
        <v>23</v>
      </c>
      <c r="K1790">
        <v>7.1</v>
      </c>
      <c r="L1790">
        <v>21701269</v>
      </c>
      <c r="M1790">
        <v>1856734</v>
      </c>
      <c r="N1790">
        <v>75</v>
      </c>
      <c r="O1790" t="s">
        <v>123</v>
      </c>
      <c r="P1790" t="s">
        <v>50</v>
      </c>
    </row>
    <row r="1791" spans="1:16" x14ac:dyDescent="0.35">
      <c r="A1791" t="s">
        <v>983</v>
      </c>
      <c r="B1791" t="s">
        <v>984</v>
      </c>
      <c r="C1791" t="s">
        <v>84</v>
      </c>
      <c r="D1791" t="s">
        <v>4178</v>
      </c>
      <c r="E1791" t="s">
        <v>4196</v>
      </c>
      <c r="F1791" s="1">
        <v>45917</v>
      </c>
      <c r="G1791">
        <v>2005</v>
      </c>
      <c r="H1791" t="s">
        <v>114</v>
      </c>
      <c r="I1791" t="s">
        <v>4270</v>
      </c>
      <c r="J1791" t="s">
        <v>133</v>
      </c>
      <c r="K1791">
        <v>6.4</v>
      </c>
      <c r="L1791">
        <v>1266115</v>
      </c>
      <c r="M1791">
        <v>1082652</v>
      </c>
      <c r="N1791">
        <v>42</v>
      </c>
      <c r="O1791" t="s">
        <v>24</v>
      </c>
      <c r="P1791" t="s">
        <v>4181</v>
      </c>
    </row>
    <row r="1792" spans="1:16" x14ac:dyDescent="0.35">
      <c r="A1792" t="s">
        <v>221</v>
      </c>
      <c r="B1792" t="s">
        <v>222</v>
      </c>
      <c r="C1792" t="s">
        <v>84</v>
      </c>
      <c r="D1792" t="s">
        <v>36</v>
      </c>
      <c r="E1792" t="s">
        <v>4196</v>
      </c>
      <c r="F1792" s="1">
        <v>45920</v>
      </c>
      <c r="G1792">
        <v>2000</v>
      </c>
      <c r="H1792" t="s">
        <v>21</v>
      </c>
      <c r="I1792" t="s">
        <v>4208</v>
      </c>
      <c r="J1792" t="s">
        <v>133</v>
      </c>
      <c r="K1792">
        <v>4.9000000000000004</v>
      </c>
      <c r="L1792">
        <v>5895169</v>
      </c>
      <c r="M1792">
        <v>1896392</v>
      </c>
      <c r="N1792">
        <v>56</v>
      </c>
      <c r="O1792" t="s">
        <v>31</v>
      </c>
      <c r="P1792" t="s">
        <v>87</v>
      </c>
    </row>
    <row r="1793" spans="1:16" x14ac:dyDescent="0.35">
      <c r="A1793" t="s">
        <v>3494</v>
      </c>
      <c r="B1793" t="s">
        <v>3495</v>
      </c>
      <c r="C1793" t="s">
        <v>84</v>
      </c>
      <c r="D1793" t="s">
        <v>4178</v>
      </c>
      <c r="E1793" t="s">
        <v>4178</v>
      </c>
      <c r="F1793" s="1">
        <v>45920</v>
      </c>
      <c r="G1793">
        <v>2014</v>
      </c>
      <c r="H1793" t="s">
        <v>38</v>
      </c>
      <c r="I1793" t="s">
        <v>4183</v>
      </c>
      <c r="J1793" t="s">
        <v>72</v>
      </c>
      <c r="K1793">
        <v>6.3</v>
      </c>
      <c r="L1793">
        <v>1004138</v>
      </c>
      <c r="M1793">
        <v>2135512</v>
      </c>
      <c r="N1793">
        <v>81</v>
      </c>
      <c r="O1793" t="s">
        <v>41</v>
      </c>
      <c r="P1793" t="s">
        <v>87</v>
      </c>
    </row>
    <row r="1794" spans="1:16" x14ac:dyDescent="0.35">
      <c r="A1794" t="s">
        <v>2908</v>
      </c>
      <c r="B1794" t="s">
        <v>4368</v>
      </c>
      <c r="C1794" t="s">
        <v>53</v>
      </c>
      <c r="D1794" t="s">
        <v>75</v>
      </c>
      <c r="E1794" t="s">
        <v>69</v>
      </c>
      <c r="F1794" s="1">
        <v>45926</v>
      </c>
      <c r="G1794">
        <v>2005</v>
      </c>
      <c r="H1794" t="s">
        <v>114</v>
      </c>
      <c r="I1794" t="s">
        <v>136</v>
      </c>
      <c r="J1794" t="s">
        <v>57</v>
      </c>
      <c r="K1794">
        <v>9.8000000000000007</v>
      </c>
      <c r="L1794">
        <v>14918719</v>
      </c>
      <c r="M1794">
        <v>292860</v>
      </c>
      <c r="N1794">
        <v>88</v>
      </c>
      <c r="O1794" t="s">
        <v>49</v>
      </c>
      <c r="P1794" t="s">
        <v>50</v>
      </c>
    </row>
    <row r="1795" spans="1:16" x14ac:dyDescent="0.35">
      <c r="A1795" t="s">
        <v>2426</v>
      </c>
      <c r="B1795" t="s">
        <v>2427</v>
      </c>
      <c r="C1795" t="s">
        <v>84</v>
      </c>
      <c r="D1795" t="s">
        <v>68</v>
      </c>
      <c r="E1795" t="s">
        <v>62</v>
      </c>
      <c r="F1795" s="1">
        <v>45929</v>
      </c>
      <c r="G1795">
        <v>2024</v>
      </c>
      <c r="H1795" t="s">
        <v>38</v>
      </c>
      <c r="I1795" t="s">
        <v>4244</v>
      </c>
      <c r="J1795" t="s">
        <v>48</v>
      </c>
      <c r="K1795">
        <v>8.1999999999999993</v>
      </c>
      <c r="L1795">
        <v>22383505</v>
      </c>
      <c r="M1795">
        <v>1969922</v>
      </c>
      <c r="N1795">
        <v>47</v>
      </c>
      <c r="O1795" t="s">
        <v>65</v>
      </c>
      <c r="P1795" t="s">
        <v>4181</v>
      </c>
    </row>
    <row r="1796" spans="1:16" x14ac:dyDescent="0.35">
      <c r="A1796" t="s">
        <v>3622</v>
      </c>
      <c r="B1796" t="s">
        <v>3623</v>
      </c>
      <c r="C1796" t="s">
        <v>4178</v>
      </c>
      <c r="D1796" t="s">
        <v>156</v>
      </c>
      <c r="E1796" t="s">
        <v>113</v>
      </c>
      <c r="F1796" s="1">
        <v>45932</v>
      </c>
      <c r="G1796">
        <v>2012</v>
      </c>
      <c r="H1796" t="s">
        <v>63</v>
      </c>
      <c r="I1796" t="s">
        <v>118</v>
      </c>
      <c r="J1796" t="s">
        <v>30</v>
      </c>
      <c r="K1796">
        <v>7.8</v>
      </c>
      <c r="L1796">
        <v>16342619</v>
      </c>
      <c r="M1796">
        <v>1788355</v>
      </c>
      <c r="N1796">
        <v>44</v>
      </c>
      <c r="O1796" t="s">
        <v>49</v>
      </c>
      <c r="P1796" t="s">
        <v>4178</v>
      </c>
    </row>
    <row r="1797" spans="1:16" x14ac:dyDescent="0.35">
      <c r="A1797" t="s">
        <v>636</v>
      </c>
      <c r="B1797" t="s">
        <v>637</v>
      </c>
      <c r="C1797" t="s">
        <v>84</v>
      </c>
      <c r="D1797" t="s">
        <v>4178</v>
      </c>
      <c r="E1797" t="s">
        <v>4196</v>
      </c>
      <c r="F1797" s="1">
        <v>45933</v>
      </c>
      <c r="G1797">
        <v>2019</v>
      </c>
      <c r="H1797" t="s">
        <v>63</v>
      </c>
      <c r="I1797" t="s">
        <v>4192</v>
      </c>
      <c r="J1797" t="s">
        <v>153</v>
      </c>
      <c r="K1797">
        <v>9.8000000000000007</v>
      </c>
      <c r="L1797">
        <v>22295702</v>
      </c>
      <c r="M1797">
        <v>36921</v>
      </c>
      <c r="N1797">
        <v>84</v>
      </c>
      <c r="O1797" t="s">
        <v>41</v>
      </c>
      <c r="P1797" t="s">
        <v>50</v>
      </c>
    </row>
    <row r="1798" spans="1:16" x14ac:dyDescent="0.35">
      <c r="A1798" t="s">
        <v>3634</v>
      </c>
      <c r="B1798" t="s">
        <v>3635</v>
      </c>
      <c r="C1798" t="s">
        <v>84</v>
      </c>
      <c r="D1798" t="s">
        <v>19</v>
      </c>
      <c r="E1798" t="s">
        <v>37</v>
      </c>
      <c r="F1798" s="1">
        <v>45934</v>
      </c>
      <c r="G1798">
        <v>2012</v>
      </c>
      <c r="H1798" t="s">
        <v>107</v>
      </c>
      <c r="I1798" t="s">
        <v>4350</v>
      </c>
      <c r="J1798" t="s">
        <v>153</v>
      </c>
      <c r="K1798">
        <v>9.6</v>
      </c>
      <c r="L1798">
        <v>18808111</v>
      </c>
      <c r="M1798">
        <v>3148120</v>
      </c>
      <c r="N1798">
        <v>66</v>
      </c>
      <c r="O1798" t="s">
        <v>58</v>
      </c>
      <c r="P1798" t="s">
        <v>4181</v>
      </c>
    </row>
    <row r="1799" spans="1:16" x14ac:dyDescent="0.35">
      <c r="A1799" t="s">
        <v>2667</v>
      </c>
      <c r="B1799" t="s">
        <v>2668</v>
      </c>
      <c r="C1799" t="s">
        <v>53</v>
      </c>
      <c r="D1799" t="s">
        <v>4178</v>
      </c>
      <c r="E1799" t="s">
        <v>69</v>
      </c>
      <c r="F1799" s="1">
        <v>45935</v>
      </c>
      <c r="G1799">
        <v>2023</v>
      </c>
      <c r="H1799" t="s">
        <v>38</v>
      </c>
      <c r="I1799" t="s">
        <v>136</v>
      </c>
      <c r="J1799" t="s">
        <v>57</v>
      </c>
      <c r="K1799">
        <v>5.5</v>
      </c>
      <c r="L1799">
        <v>2526566</v>
      </c>
      <c r="M1799">
        <v>3647517</v>
      </c>
      <c r="N1799">
        <v>52</v>
      </c>
      <c r="O1799" t="s">
        <v>65</v>
      </c>
      <c r="P1799" t="s">
        <v>50</v>
      </c>
    </row>
    <row r="1800" spans="1:16" x14ac:dyDescent="0.35">
      <c r="A1800" t="s">
        <v>1870</v>
      </c>
      <c r="B1800" t="s">
        <v>4331</v>
      </c>
      <c r="C1800" t="s">
        <v>4178</v>
      </c>
      <c r="D1800" t="s">
        <v>4178</v>
      </c>
      <c r="E1800" t="s">
        <v>28</v>
      </c>
      <c r="F1800" s="1">
        <v>45936</v>
      </c>
      <c r="G1800">
        <v>2008</v>
      </c>
      <c r="H1800" t="s">
        <v>121</v>
      </c>
      <c r="I1800" t="s">
        <v>39</v>
      </c>
      <c r="J1800" t="s">
        <v>96</v>
      </c>
      <c r="K1800">
        <v>6.4</v>
      </c>
      <c r="L1800">
        <v>21040355</v>
      </c>
      <c r="M1800">
        <v>922742</v>
      </c>
      <c r="N1800">
        <v>90</v>
      </c>
      <c r="O1800" t="s">
        <v>41</v>
      </c>
      <c r="P1800" t="s">
        <v>87</v>
      </c>
    </row>
    <row r="1801" spans="1:16" x14ac:dyDescent="0.35">
      <c r="A1801" t="s">
        <v>2296</v>
      </c>
      <c r="B1801" t="s">
        <v>2297</v>
      </c>
      <c r="C1801" t="s">
        <v>84</v>
      </c>
      <c r="D1801" t="s">
        <v>156</v>
      </c>
      <c r="E1801" t="s">
        <v>28</v>
      </c>
      <c r="F1801" s="1">
        <v>45936</v>
      </c>
      <c r="G1801">
        <v>2013</v>
      </c>
      <c r="H1801" t="s">
        <v>46</v>
      </c>
      <c r="I1801" t="s">
        <v>4274</v>
      </c>
      <c r="J1801" t="s">
        <v>48</v>
      </c>
      <c r="K1801">
        <v>5.4</v>
      </c>
      <c r="L1801">
        <v>21027522</v>
      </c>
      <c r="M1801">
        <v>4435130</v>
      </c>
      <c r="N1801">
        <v>63</v>
      </c>
      <c r="O1801" t="s">
        <v>49</v>
      </c>
      <c r="P1801" t="s">
        <v>87</v>
      </c>
    </row>
    <row r="1802" spans="1:16" x14ac:dyDescent="0.35">
      <c r="A1802" t="s">
        <v>1169</v>
      </c>
      <c r="B1802" t="s">
        <v>1170</v>
      </c>
      <c r="C1802" t="s">
        <v>84</v>
      </c>
      <c r="D1802" t="s">
        <v>61</v>
      </c>
      <c r="E1802" t="s">
        <v>62</v>
      </c>
      <c r="F1802" s="1">
        <v>45938</v>
      </c>
      <c r="G1802">
        <v>2000</v>
      </c>
      <c r="H1802" t="s">
        <v>46</v>
      </c>
      <c r="I1802" t="s">
        <v>4301</v>
      </c>
      <c r="J1802" t="s">
        <v>30</v>
      </c>
      <c r="K1802">
        <v>4.7</v>
      </c>
      <c r="L1802">
        <v>17057603</v>
      </c>
      <c r="M1802">
        <v>3598382</v>
      </c>
      <c r="N1802">
        <v>94</v>
      </c>
      <c r="O1802" t="s">
        <v>31</v>
      </c>
      <c r="P1802" t="s">
        <v>32</v>
      </c>
    </row>
    <row r="1803" spans="1:16" x14ac:dyDescent="0.35">
      <c r="A1803" t="s">
        <v>2213</v>
      </c>
      <c r="B1803" t="s">
        <v>4349</v>
      </c>
      <c r="C1803" t="s">
        <v>84</v>
      </c>
      <c r="D1803" t="s">
        <v>36</v>
      </c>
      <c r="E1803" t="s">
        <v>4178</v>
      </c>
      <c r="F1803" s="1">
        <v>45941</v>
      </c>
      <c r="G1803">
        <v>2011</v>
      </c>
      <c r="H1803" t="s">
        <v>21</v>
      </c>
      <c r="I1803" t="s">
        <v>4235</v>
      </c>
      <c r="J1803" t="s">
        <v>72</v>
      </c>
      <c r="K1803">
        <v>8.1999999999999993</v>
      </c>
      <c r="L1803">
        <v>24612544</v>
      </c>
      <c r="M1803">
        <v>4361020</v>
      </c>
      <c r="N1803">
        <v>50</v>
      </c>
      <c r="O1803" t="s">
        <v>104</v>
      </c>
      <c r="P1803" t="s">
        <v>4181</v>
      </c>
    </row>
    <row r="1804" spans="1:16" x14ac:dyDescent="0.35">
      <c r="A1804" t="s">
        <v>1498</v>
      </c>
      <c r="B1804" t="s">
        <v>4318</v>
      </c>
      <c r="C1804" t="s">
        <v>53</v>
      </c>
      <c r="D1804" t="s">
        <v>19</v>
      </c>
      <c r="E1804" t="s">
        <v>20</v>
      </c>
      <c r="F1804" s="1">
        <v>45949</v>
      </c>
      <c r="G1804">
        <v>2006</v>
      </c>
      <c r="H1804" t="s">
        <v>114</v>
      </c>
      <c r="I1804" t="s">
        <v>118</v>
      </c>
      <c r="J1804" t="s">
        <v>4178</v>
      </c>
      <c r="K1804">
        <v>5.4</v>
      </c>
      <c r="L1804">
        <v>12334992</v>
      </c>
      <c r="M1804">
        <v>1724681</v>
      </c>
      <c r="N1804">
        <v>92</v>
      </c>
      <c r="O1804" t="s">
        <v>123</v>
      </c>
      <c r="P1804" t="s">
        <v>4178</v>
      </c>
    </row>
    <row r="1805" spans="1:16" x14ac:dyDescent="0.35">
      <c r="A1805" t="s">
        <v>954</v>
      </c>
      <c r="B1805" t="s">
        <v>955</v>
      </c>
      <c r="C1805" t="s">
        <v>4178</v>
      </c>
      <c r="D1805" t="s">
        <v>90</v>
      </c>
      <c r="E1805" t="s">
        <v>69</v>
      </c>
      <c r="F1805" s="1">
        <v>45951</v>
      </c>
      <c r="G1805">
        <v>2005</v>
      </c>
      <c r="H1805" t="s">
        <v>107</v>
      </c>
      <c r="I1805" t="s">
        <v>136</v>
      </c>
      <c r="J1805" t="s">
        <v>72</v>
      </c>
      <c r="K1805">
        <v>5.7</v>
      </c>
      <c r="L1805">
        <v>8255932</v>
      </c>
      <c r="M1805">
        <v>1535512</v>
      </c>
      <c r="N1805">
        <v>84</v>
      </c>
      <c r="O1805" t="s">
        <v>4178</v>
      </c>
      <c r="P1805" t="s">
        <v>50</v>
      </c>
    </row>
    <row r="1806" spans="1:16" x14ac:dyDescent="0.35">
      <c r="A1806" t="s">
        <v>3944</v>
      </c>
      <c r="B1806" t="s">
        <v>3945</v>
      </c>
      <c r="C1806" t="s">
        <v>53</v>
      </c>
      <c r="D1806" t="s">
        <v>54</v>
      </c>
      <c r="E1806" t="s">
        <v>55</v>
      </c>
      <c r="F1806" s="1">
        <v>45953</v>
      </c>
      <c r="G1806">
        <v>2008</v>
      </c>
      <c r="H1806" t="s">
        <v>38</v>
      </c>
      <c r="I1806" t="s">
        <v>56</v>
      </c>
      <c r="J1806" t="s">
        <v>103</v>
      </c>
      <c r="K1806">
        <v>5.8</v>
      </c>
      <c r="L1806">
        <v>13989023</v>
      </c>
      <c r="M1806">
        <v>2700650</v>
      </c>
      <c r="N1806">
        <v>94</v>
      </c>
      <c r="O1806" t="s">
        <v>4178</v>
      </c>
      <c r="P1806" t="s">
        <v>87</v>
      </c>
    </row>
    <row r="1807" spans="1:16" x14ac:dyDescent="0.35">
      <c r="A1807" t="s">
        <v>3642</v>
      </c>
      <c r="B1807" t="s">
        <v>3643</v>
      </c>
      <c r="C1807" t="s">
        <v>84</v>
      </c>
      <c r="D1807" t="s">
        <v>19</v>
      </c>
      <c r="E1807" t="s">
        <v>131</v>
      </c>
      <c r="F1807" s="1">
        <v>45955</v>
      </c>
      <c r="G1807">
        <v>2002</v>
      </c>
      <c r="H1807" t="s">
        <v>107</v>
      </c>
      <c r="I1807" t="s">
        <v>4334</v>
      </c>
      <c r="J1807" t="s">
        <v>72</v>
      </c>
      <c r="K1807">
        <v>7.8</v>
      </c>
      <c r="L1807">
        <v>22246005</v>
      </c>
      <c r="M1807">
        <v>4095203</v>
      </c>
      <c r="N1807">
        <v>63</v>
      </c>
      <c r="O1807" t="s">
        <v>41</v>
      </c>
      <c r="P1807" t="s">
        <v>4178</v>
      </c>
    </row>
    <row r="1808" spans="1:16" x14ac:dyDescent="0.35">
      <c r="A1808" t="s">
        <v>1619</v>
      </c>
      <c r="B1808" t="s">
        <v>1620</v>
      </c>
      <c r="C1808" t="s">
        <v>53</v>
      </c>
      <c r="D1808" t="s">
        <v>4178</v>
      </c>
      <c r="E1808" t="s">
        <v>113</v>
      </c>
      <c r="F1808" s="1">
        <v>45961</v>
      </c>
      <c r="G1808">
        <v>2000</v>
      </c>
      <c r="H1808" t="s">
        <v>81</v>
      </c>
      <c r="I1808" t="s">
        <v>71</v>
      </c>
      <c r="J1808" t="s">
        <v>23</v>
      </c>
      <c r="K1808">
        <v>4.7</v>
      </c>
      <c r="L1808">
        <v>24459712</v>
      </c>
      <c r="M1808">
        <v>2002455</v>
      </c>
      <c r="N1808">
        <v>53</v>
      </c>
      <c r="O1808" t="s">
        <v>65</v>
      </c>
      <c r="P1808" t="s">
        <v>4178</v>
      </c>
    </row>
    <row r="1809" spans="1:16" x14ac:dyDescent="0.35">
      <c r="A1809" t="s">
        <v>699</v>
      </c>
      <c r="B1809" t="s">
        <v>700</v>
      </c>
      <c r="C1809" t="s">
        <v>4178</v>
      </c>
      <c r="D1809" t="s">
        <v>36</v>
      </c>
      <c r="E1809" t="s">
        <v>99</v>
      </c>
      <c r="F1809" s="1">
        <v>45964</v>
      </c>
      <c r="G1809">
        <v>2003</v>
      </c>
      <c r="H1809" t="s">
        <v>63</v>
      </c>
      <c r="I1809" t="s">
        <v>39</v>
      </c>
      <c r="J1809" t="s">
        <v>48</v>
      </c>
      <c r="K1809">
        <v>7.4</v>
      </c>
      <c r="L1809">
        <v>19185429</v>
      </c>
      <c r="M1809">
        <v>1864853</v>
      </c>
      <c r="N1809">
        <v>87</v>
      </c>
      <c r="O1809" t="s">
        <v>41</v>
      </c>
      <c r="P1809" t="s">
        <v>4178</v>
      </c>
    </row>
    <row r="1810" spans="1:16" x14ac:dyDescent="0.35">
      <c r="A1810" t="s">
        <v>3160</v>
      </c>
      <c r="B1810" t="s">
        <v>3161</v>
      </c>
      <c r="C1810" t="s">
        <v>53</v>
      </c>
      <c r="D1810" t="s">
        <v>54</v>
      </c>
      <c r="E1810" t="s">
        <v>4178</v>
      </c>
      <c r="F1810" s="1">
        <v>45965</v>
      </c>
      <c r="G1810">
        <v>2011</v>
      </c>
      <c r="H1810" t="s">
        <v>114</v>
      </c>
      <c r="I1810" t="s">
        <v>56</v>
      </c>
      <c r="J1810" t="s">
        <v>40</v>
      </c>
      <c r="K1810">
        <v>9.8000000000000007</v>
      </c>
      <c r="L1810">
        <v>12930963</v>
      </c>
      <c r="M1810">
        <v>4535444</v>
      </c>
      <c r="N1810">
        <v>44</v>
      </c>
      <c r="O1810" t="s">
        <v>104</v>
      </c>
      <c r="P1810" t="s">
        <v>87</v>
      </c>
    </row>
    <row r="1811" spans="1:16" x14ac:dyDescent="0.35">
      <c r="A1811" t="s">
        <v>1070</v>
      </c>
      <c r="B1811" t="s">
        <v>1071</v>
      </c>
      <c r="C1811" t="s">
        <v>84</v>
      </c>
      <c r="D1811" t="s">
        <v>4178</v>
      </c>
      <c r="E1811" t="s">
        <v>69</v>
      </c>
      <c r="F1811" s="1">
        <v>45968</v>
      </c>
      <c r="G1811">
        <v>2009</v>
      </c>
      <c r="H1811" t="s">
        <v>21</v>
      </c>
      <c r="I1811" t="s">
        <v>4207</v>
      </c>
      <c r="J1811" t="s">
        <v>72</v>
      </c>
      <c r="K1811">
        <v>7.9</v>
      </c>
      <c r="L1811">
        <v>-845</v>
      </c>
      <c r="M1811">
        <v>1381177</v>
      </c>
      <c r="N1811">
        <v>69</v>
      </c>
      <c r="O1811" t="s">
        <v>49</v>
      </c>
      <c r="P1811" t="s">
        <v>50</v>
      </c>
    </row>
    <row r="1812" spans="1:16" x14ac:dyDescent="0.35">
      <c r="A1812" t="s">
        <v>1942</v>
      </c>
      <c r="B1812" t="s">
        <v>1943</v>
      </c>
      <c r="C1812" t="s">
        <v>53</v>
      </c>
      <c r="D1812" t="s">
        <v>75</v>
      </c>
      <c r="E1812" t="s">
        <v>99</v>
      </c>
      <c r="F1812" s="1">
        <v>45968</v>
      </c>
      <c r="G1812">
        <v>2016</v>
      </c>
      <c r="H1812" t="s">
        <v>107</v>
      </c>
      <c r="I1812" t="s">
        <v>136</v>
      </c>
      <c r="J1812" t="s">
        <v>133</v>
      </c>
      <c r="K1812">
        <v>9.1</v>
      </c>
      <c r="L1812">
        <v>6231167</v>
      </c>
      <c r="M1812">
        <v>3632255</v>
      </c>
      <c r="N1812">
        <v>83</v>
      </c>
      <c r="O1812" t="s">
        <v>58</v>
      </c>
      <c r="P1812" t="s">
        <v>4181</v>
      </c>
    </row>
    <row r="1813" spans="1:16" x14ac:dyDescent="0.35">
      <c r="A1813" t="s">
        <v>1892</v>
      </c>
      <c r="B1813" t="s">
        <v>4332</v>
      </c>
      <c r="C1813" t="s">
        <v>53</v>
      </c>
      <c r="D1813" t="s">
        <v>36</v>
      </c>
      <c r="E1813" t="s">
        <v>20</v>
      </c>
      <c r="F1813" s="1">
        <v>45969</v>
      </c>
      <c r="G1813">
        <v>2003</v>
      </c>
      <c r="H1813" t="s">
        <v>4178</v>
      </c>
      <c r="I1813" t="s">
        <v>71</v>
      </c>
      <c r="J1813" t="s">
        <v>30</v>
      </c>
      <c r="K1813">
        <v>8.9</v>
      </c>
      <c r="L1813">
        <v>21380588</v>
      </c>
      <c r="M1813">
        <v>4903592</v>
      </c>
      <c r="N1813">
        <v>60</v>
      </c>
      <c r="O1813" t="s">
        <v>4178</v>
      </c>
      <c r="P1813" t="s">
        <v>87</v>
      </c>
    </row>
    <row r="1814" spans="1:16" x14ac:dyDescent="0.35">
      <c r="A1814" t="s">
        <v>1432</v>
      </c>
      <c r="B1814" t="s">
        <v>1433</v>
      </c>
      <c r="C1814" t="s">
        <v>84</v>
      </c>
      <c r="D1814" t="s">
        <v>27</v>
      </c>
      <c r="E1814" t="s">
        <v>99</v>
      </c>
      <c r="F1814" s="1">
        <v>45970</v>
      </c>
      <c r="G1814">
        <v>2026</v>
      </c>
      <c r="H1814" t="s">
        <v>46</v>
      </c>
      <c r="I1814" t="s">
        <v>4254</v>
      </c>
      <c r="J1814" t="s">
        <v>30</v>
      </c>
      <c r="K1814">
        <v>5.0999999999999996</v>
      </c>
      <c r="L1814">
        <v>9177554</v>
      </c>
      <c r="M1814">
        <v>3594947</v>
      </c>
      <c r="N1814">
        <v>75</v>
      </c>
      <c r="O1814" t="s">
        <v>24</v>
      </c>
      <c r="P1814" t="s">
        <v>87</v>
      </c>
    </row>
    <row r="1815" spans="1:16" x14ac:dyDescent="0.35">
      <c r="A1815" t="s">
        <v>3355</v>
      </c>
      <c r="B1815" t="s">
        <v>3356</v>
      </c>
      <c r="C1815" t="s">
        <v>53</v>
      </c>
      <c r="D1815" t="s">
        <v>68</v>
      </c>
      <c r="E1815" t="s">
        <v>45</v>
      </c>
      <c r="F1815" s="1">
        <v>45970</v>
      </c>
      <c r="G1815">
        <v>2007</v>
      </c>
      <c r="H1815" t="s">
        <v>121</v>
      </c>
      <c r="I1815" t="s">
        <v>71</v>
      </c>
      <c r="J1815" t="s">
        <v>23</v>
      </c>
      <c r="K1815">
        <v>5</v>
      </c>
      <c r="L1815">
        <v>7812420</v>
      </c>
      <c r="M1815">
        <v>1920092</v>
      </c>
      <c r="N1815">
        <v>94</v>
      </c>
      <c r="O1815" t="s">
        <v>24</v>
      </c>
      <c r="P1815" t="s">
        <v>32</v>
      </c>
    </row>
    <row r="1816" spans="1:16" x14ac:dyDescent="0.35">
      <c r="A1816" t="s">
        <v>3996</v>
      </c>
      <c r="B1816" t="s">
        <v>3997</v>
      </c>
      <c r="C1816" t="s">
        <v>53</v>
      </c>
      <c r="D1816" t="s">
        <v>36</v>
      </c>
      <c r="E1816" t="s">
        <v>113</v>
      </c>
      <c r="F1816" s="1">
        <v>45975</v>
      </c>
      <c r="G1816">
        <v>2014</v>
      </c>
      <c r="H1816" t="s">
        <v>107</v>
      </c>
      <c r="I1816" t="s">
        <v>118</v>
      </c>
      <c r="J1816" t="s">
        <v>72</v>
      </c>
      <c r="K1816">
        <v>11.2</v>
      </c>
      <c r="L1816">
        <v>12884971</v>
      </c>
      <c r="M1816">
        <v>3946448</v>
      </c>
      <c r="N1816">
        <v>67</v>
      </c>
      <c r="O1816" t="s">
        <v>104</v>
      </c>
      <c r="P1816" t="s">
        <v>50</v>
      </c>
    </row>
    <row r="1817" spans="1:16" x14ac:dyDescent="0.35">
      <c r="A1817" t="s">
        <v>3435</v>
      </c>
      <c r="B1817" t="s">
        <v>3436</v>
      </c>
      <c r="C1817" t="s">
        <v>53</v>
      </c>
      <c r="D1817" t="s">
        <v>27</v>
      </c>
      <c r="E1817" t="s">
        <v>37</v>
      </c>
      <c r="F1817" s="1">
        <v>45980</v>
      </c>
      <c r="G1817">
        <v>2007</v>
      </c>
      <c r="H1817" t="s">
        <v>63</v>
      </c>
      <c r="I1817" t="s">
        <v>56</v>
      </c>
      <c r="J1817" t="s">
        <v>96</v>
      </c>
      <c r="K1817">
        <v>7.2</v>
      </c>
      <c r="L1817">
        <v>8050593</v>
      </c>
      <c r="M1817">
        <v>4855902</v>
      </c>
      <c r="N1817">
        <v>43</v>
      </c>
      <c r="O1817" t="s">
        <v>31</v>
      </c>
      <c r="P1817" t="s">
        <v>4181</v>
      </c>
    </row>
    <row r="1818" spans="1:16" x14ac:dyDescent="0.35">
      <c r="A1818" t="s">
        <v>1045</v>
      </c>
      <c r="B1818" t="s">
        <v>1046</v>
      </c>
      <c r="C1818" t="s">
        <v>84</v>
      </c>
      <c r="D1818" t="s">
        <v>94</v>
      </c>
      <c r="E1818" t="s">
        <v>45</v>
      </c>
      <c r="F1818" s="1">
        <v>45981</v>
      </c>
      <c r="G1818">
        <v>2024</v>
      </c>
      <c r="H1818" t="s">
        <v>21</v>
      </c>
      <c r="I1818" t="s">
        <v>4223</v>
      </c>
      <c r="J1818" t="s">
        <v>133</v>
      </c>
      <c r="K1818">
        <v>5.6</v>
      </c>
      <c r="L1818">
        <v>22330293</v>
      </c>
      <c r="M1818">
        <v>524877</v>
      </c>
      <c r="N1818">
        <v>99</v>
      </c>
      <c r="O1818" t="s">
        <v>58</v>
      </c>
      <c r="P1818" t="s">
        <v>4181</v>
      </c>
    </row>
    <row r="1819" spans="1:16" x14ac:dyDescent="0.35">
      <c r="A1819" t="s">
        <v>3460</v>
      </c>
      <c r="B1819" t="s">
        <v>3461</v>
      </c>
      <c r="C1819" t="s">
        <v>84</v>
      </c>
      <c r="D1819" t="s">
        <v>4178</v>
      </c>
      <c r="E1819" t="s">
        <v>20</v>
      </c>
      <c r="F1819" s="1">
        <v>45981</v>
      </c>
      <c r="G1819">
        <v>2005</v>
      </c>
      <c r="H1819" t="s">
        <v>38</v>
      </c>
      <c r="I1819" t="s">
        <v>4287</v>
      </c>
      <c r="J1819" t="s">
        <v>48</v>
      </c>
      <c r="K1819">
        <v>4.5999999999999996</v>
      </c>
      <c r="L1819">
        <v>24493951</v>
      </c>
      <c r="M1819">
        <v>1269670</v>
      </c>
      <c r="N1819">
        <v>66</v>
      </c>
      <c r="O1819" t="s">
        <v>58</v>
      </c>
      <c r="P1819" t="s">
        <v>4178</v>
      </c>
    </row>
    <row r="1820" spans="1:16" x14ac:dyDescent="0.35">
      <c r="A1820" t="s">
        <v>3573</v>
      </c>
      <c r="B1820" t="s">
        <v>3574</v>
      </c>
      <c r="C1820" t="s">
        <v>53</v>
      </c>
      <c r="D1820" t="s">
        <v>75</v>
      </c>
      <c r="E1820" t="s">
        <v>4196</v>
      </c>
      <c r="F1820" s="1">
        <v>45984</v>
      </c>
      <c r="G1820">
        <v>2014</v>
      </c>
      <c r="H1820" t="s">
        <v>107</v>
      </c>
      <c r="I1820" t="s">
        <v>136</v>
      </c>
      <c r="J1820" t="s">
        <v>40</v>
      </c>
      <c r="K1820">
        <v>5.8</v>
      </c>
      <c r="L1820">
        <v>10980196</v>
      </c>
      <c r="M1820">
        <v>1485283</v>
      </c>
      <c r="N1820">
        <v>75</v>
      </c>
      <c r="O1820" t="s">
        <v>65</v>
      </c>
      <c r="P1820" t="s">
        <v>4181</v>
      </c>
    </row>
    <row r="1821" spans="1:16" x14ac:dyDescent="0.35">
      <c r="A1821" t="s">
        <v>850</v>
      </c>
      <c r="B1821" t="s">
        <v>4280</v>
      </c>
      <c r="C1821" t="s">
        <v>53</v>
      </c>
      <c r="D1821" t="s">
        <v>36</v>
      </c>
      <c r="E1821" t="s">
        <v>99</v>
      </c>
      <c r="F1821" s="1">
        <v>45992</v>
      </c>
      <c r="G1821">
        <v>2001</v>
      </c>
      <c r="H1821" t="s">
        <v>85</v>
      </c>
      <c r="I1821" t="s">
        <v>39</v>
      </c>
      <c r="J1821" t="s">
        <v>96</v>
      </c>
      <c r="K1821">
        <v>6.9</v>
      </c>
      <c r="L1821">
        <v>22192844</v>
      </c>
      <c r="M1821">
        <v>4439730</v>
      </c>
      <c r="N1821">
        <v>81</v>
      </c>
      <c r="O1821" t="s">
        <v>24</v>
      </c>
      <c r="P1821" t="s">
        <v>32</v>
      </c>
    </row>
    <row r="1822" spans="1:16" x14ac:dyDescent="0.35">
      <c r="A1822" t="s">
        <v>2266</v>
      </c>
      <c r="B1822" t="s">
        <v>2267</v>
      </c>
      <c r="C1822" t="s">
        <v>4178</v>
      </c>
      <c r="D1822" t="s">
        <v>75</v>
      </c>
      <c r="E1822" t="s">
        <v>80</v>
      </c>
      <c r="F1822" s="1">
        <v>45994</v>
      </c>
      <c r="G1822">
        <v>2001</v>
      </c>
      <c r="H1822" t="s">
        <v>46</v>
      </c>
      <c r="I1822" t="s">
        <v>64</v>
      </c>
      <c r="J1822" t="s">
        <v>23</v>
      </c>
      <c r="K1822">
        <v>5.2</v>
      </c>
      <c r="L1822">
        <v>24146328</v>
      </c>
      <c r="M1822">
        <v>224353</v>
      </c>
      <c r="N1822">
        <v>49</v>
      </c>
      <c r="O1822" t="s">
        <v>91</v>
      </c>
      <c r="P1822" t="s">
        <v>87</v>
      </c>
    </row>
    <row r="1823" spans="1:16" x14ac:dyDescent="0.35">
      <c r="A1823" t="s">
        <v>728</v>
      </c>
      <c r="B1823" t="s">
        <v>729</v>
      </c>
      <c r="C1823" t="s">
        <v>53</v>
      </c>
      <c r="D1823" t="s">
        <v>75</v>
      </c>
      <c r="E1823" t="s">
        <v>99</v>
      </c>
      <c r="F1823" s="1">
        <v>45995</v>
      </c>
      <c r="G1823">
        <v>2012</v>
      </c>
      <c r="H1823" t="s">
        <v>46</v>
      </c>
      <c r="I1823" t="s">
        <v>56</v>
      </c>
      <c r="J1823" t="s">
        <v>23</v>
      </c>
      <c r="K1823">
        <v>5.6</v>
      </c>
      <c r="L1823">
        <v>23901443</v>
      </c>
      <c r="M1823">
        <v>3177861</v>
      </c>
      <c r="N1823">
        <v>88</v>
      </c>
      <c r="O1823" t="s">
        <v>65</v>
      </c>
      <c r="P1823" t="s">
        <v>50</v>
      </c>
    </row>
    <row r="1824" spans="1:16" x14ac:dyDescent="0.35">
      <c r="A1824" t="s">
        <v>1344</v>
      </c>
      <c r="B1824" t="s">
        <v>1345</v>
      </c>
      <c r="C1824" t="s">
        <v>84</v>
      </c>
      <c r="D1824" t="s">
        <v>68</v>
      </c>
      <c r="E1824" t="s">
        <v>4178</v>
      </c>
      <c r="F1824" s="1">
        <v>46001</v>
      </c>
      <c r="G1824">
        <v>2005</v>
      </c>
      <c r="H1824" t="s">
        <v>85</v>
      </c>
      <c r="I1824" t="s">
        <v>4226</v>
      </c>
      <c r="J1824" t="s">
        <v>133</v>
      </c>
      <c r="K1824">
        <v>9.5</v>
      </c>
      <c r="L1824">
        <v>18674939</v>
      </c>
      <c r="M1824">
        <v>821406</v>
      </c>
      <c r="N1824">
        <v>52</v>
      </c>
      <c r="O1824" t="s">
        <v>91</v>
      </c>
      <c r="P1824" t="s">
        <v>4181</v>
      </c>
    </row>
    <row r="1825" spans="1:16" x14ac:dyDescent="0.35">
      <c r="A1825" t="s">
        <v>2786</v>
      </c>
      <c r="B1825" t="s">
        <v>2787</v>
      </c>
      <c r="C1825" t="s">
        <v>53</v>
      </c>
      <c r="D1825" t="s">
        <v>61</v>
      </c>
      <c r="E1825" t="s">
        <v>28</v>
      </c>
      <c r="F1825" s="1">
        <v>46003</v>
      </c>
      <c r="G1825">
        <v>2023</v>
      </c>
      <c r="H1825" t="s">
        <v>21</v>
      </c>
      <c r="I1825" t="s">
        <v>64</v>
      </c>
      <c r="J1825" t="s">
        <v>133</v>
      </c>
      <c r="K1825">
        <v>9.1999999999999993</v>
      </c>
      <c r="L1825">
        <v>23559074</v>
      </c>
      <c r="M1825">
        <v>4138787</v>
      </c>
      <c r="N1825">
        <v>120</v>
      </c>
      <c r="O1825" t="s">
        <v>31</v>
      </c>
      <c r="P1825" t="s">
        <v>4178</v>
      </c>
    </row>
    <row r="1826" spans="1:16" x14ac:dyDescent="0.35">
      <c r="A1826" t="s">
        <v>723</v>
      </c>
      <c r="B1826" t="s">
        <v>724</v>
      </c>
      <c r="C1826" t="s">
        <v>84</v>
      </c>
      <c r="D1826" t="s">
        <v>61</v>
      </c>
      <c r="E1826" t="s">
        <v>55</v>
      </c>
      <c r="F1826" s="1">
        <v>46004</v>
      </c>
      <c r="G1826">
        <v>2026</v>
      </c>
      <c r="H1826" t="s">
        <v>81</v>
      </c>
      <c r="I1826" t="s">
        <v>4256</v>
      </c>
      <c r="J1826" t="s">
        <v>96</v>
      </c>
      <c r="K1826">
        <v>6.8</v>
      </c>
      <c r="L1826">
        <v>6874511</v>
      </c>
      <c r="M1826">
        <v>1198215</v>
      </c>
      <c r="N1826">
        <v>82</v>
      </c>
      <c r="O1826" t="s">
        <v>24</v>
      </c>
      <c r="P1826" t="s">
        <v>50</v>
      </c>
    </row>
    <row r="1827" spans="1:16" x14ac:dyDescent="0.35">
      <c r="A1827" t="s">
        <v>805</v>
      </c>
      <c r="B1827" t="s">
        <v>806</v>
      </c>
      <c r="C1827" t="s">
        <v>53</v>
      </c>
      <c r="D1827" t="s">
        <v>19</v>
      </c>
      <c r="E1827" t="s">
        <v>55</v>
      </c>
      <c r="F1827" s="1">
        <v>46005</v>
      </c>
      <c r="G1827">
        <v>2017</v>
      </c>
      <c r="H1827" t="s">
        <v>38</v>
      </c>
      <c r="I1827" t="s">
        <v>64</v>
      </c>
      <c r="J1827" t="s">
        <v>133</v>
      </c>
      <c r="K1827">
        <v>6.9</v>
      </c>
      <c r="L1827">
        <v>7533101</v>
      </c>
      <c r="M1827">
        <v>839657</v>
      </c>
      <c r="N1827">
        <v>49</v>
      </c>
      <c r="O1827" t="s">
        <v>104</v>
      </c>
      <c r="P1827" t="s">
        <v>4181</v>
      </c>
    </row>
    <row r="1828" spans="1:16" x14ac:dyDescent="0.35">
      <c r="A1828" t="s">
        <v>3468</v>
      </c>
      <c r="B1828" t="s">
        <v>3469</v>
      </c>
      <c r="C1828" t="s">
        <v>53</v>
      </c>
      <c r="D1828" t="s">
        <v>90</v>
      </c>
      <c r="E1828" t="s">
        <v>55</v>
      </c>
      <c r="F1828" s="1">
        <v>46005</v>
      </c>
      <c r="G1828">
        <v>2005</v>
      </c>
      <c r="H1828" t="s">
        <v>121</v>
      </c>
      <c r="I1828" t="s">
        <v>95</v>
      </c>
      <c r="J1828" t="s">
        <v>133</v>
      </c>
      <c r="K1828">
        <v>9.6999999999999993</v>
      </c>
      <c r="L1828">
        <v>24245426</v>
      </c>
      <c r="M1828">
        <v>4260828</v>
      </c>
      <c r="N1828">
        <v>43</v>
      </c>
      <c r="O1828" t="s">
        <v>4178</v>
      </c>
      <c r="P1828" t="s">
        <v>87</v>
      </c>
    </row>
    <row r="1829" spans="1:16" x14ac:dyDescent="0.35">
      <c r="A1829" t="s">
        <v>4107</v>
      </c>
      <c r="B1829" t="s">
        <v>4108</v>
      </c>
      <c r="C1829" t="s">
        <v>84</v>
      </c>
      <c r="D1829" t="s">
        <v>90</v>
      </c>
      <c r="E1829" t="s">
        <v>4196</v>
      </c>
      <c r="F1829" s="1">
        <v>46006</v>
      </c>
      <c r="G1829">
        <v>2020</v>
      </c>
      <c r="H1829" t="s">
        <v>107</v>
      </c>
      <c r="I1829" t="s">
        <v>4214</v>
      </c>
      <c r="J1829" t="s">
        <v>30</v>
      </c>
      <c r="K1829">
        <v>9.3000000000000007</v>
      </c>
      <c r="L1829">
        <v>4418065</v>
      </c>
      <c r="M1829">
        <v>3142357</v>
      </c>
      <c r="N1829">
        <v>78</v>
      </c>
      <c r="O1829" t="s">
        <v>4178</v>
      </c>
      <c r="P1829" t="s">
        <v>50</v>
      </c>
    </row>
    <row r="1830" spans="1:16" x14ac:dyDescent="0.35">
      <c r="A1830" t="s">
        <v>3891</v>
      </c>
      <c r="B1830" t="s">
        <v>3889</v>
      </c>
      <c r="C1830" t="s">
        <v>53</v>
      </c>
      <c r="D1830" t="s">
        <v>68</v>
      </c>
      <c r="E1830" t="s">
        <v>28</v>
      </c>
      <c r="F1830" s="1">
        <v>46008</v>
      </c>
      <c r="G1830">
        <v>2024</v>
      </c>
      <c r="H1830" t="s">
        <v>121</v>
      </c>
      <c r="I1830" t="s">
        <v>56</v>
      </c>
      <c r="J1830" t="s">
        <v>133</v>
      </c>
      <c r="K1830">
        <v>6</v>
      </c>
      <c r="L1830">
        <v>8583036</v>
      </c>
      <c r="M1830">
        <v>1712859</v>
      </c>
      <c r="N1830">
        <v>98</v>
      </c>
      <c r="O1830" t="s">
        <v>49</v>
      </c>
      <c r="P1830" t="s">
        <v>87</v>
      </c>
    </row>
    <row r="1831" spans="1:16" x14ac:dyDescent="0.35">
      <c r="A1831" t="s">
        <v>446</v>
      </c>
      <c r="B1831" t="s">
        <v>447</v>
      </c>
      <c r="C1831" t="s">
        <v>84</v>
      </c>
      <c r="D1831" t="s">
        <v>61</v>
      </c>
      <c r="E1831" t="s">
        <v>4196</v>
      </c>
      <c r="F1831" s="1">
        <v>46009</v>
      </c>
      <c r="G1831">
        <v>2007</v>
      </c>
      <c r="H1831" t="s">
        <v>107</v>
      </c>
      <c r="I1831" t="s">
        <v>4203</v>
      </c>
      <c r="J1831" t="s">
        <v>40</v>
      </c>
      <c r="K1831">
        <v>5.8</v>
      </c>
      <c r="L1831">
        <v>37108</v>
      </c>
      <c r="M1831">
        <v>4787120</v>
      </c>
      <c r="N1831">
        <v>77</v>
      </c>
      <c r="O1831" t="s">
        <v>91</v>
      </c>
      <c r="P1831" t="s">
        <v>50</v>
      </c>
    </row>
    <row r="1832" spans="1:16" x14ac:dyDescent="0.35">
      <c r="A1832" t="s">
        <v>2639</v>
      </c>
      <c r="B1832" t="s">
        <v>2640</v>
      </c>
      <c r="C1832" t="s">
        <v>84</v>
      </c>
      <c r="D1832" t="s">
        <v>156</v>
      </c>
      <c r="E1832" t="s">
        <v>69</v>
      </c>
      <c r="F1832" s="1">
        <v>46012</v>
      </c>
      <c r="G1832">
        <v>2008</v>
      </c>
      <c r="H1832" t="s">
        <v>46</v>
      </c>
      <c r="I1832" t="s">
        <v>4229</v>
      </c>
      <c r="J1832" t="s">
        <v>57</v>
      </c>
      <c r="K1832">
        <v>7.3</v>
      </c>
      <c r="L1832">
        <v>18010476</v>
      </c>
      <c r="M1832">
        <v>253698</v>
      </c>
      <c r="N1832">
        <v>73</v>
      </c>
      <c r="O1832" t="s">
        <v>31</v>
      </c>
      <c r="P1832" t="s">
        <v>4181</v>
      </c>
    </row>
    <row r="1833" spans="1:16" x14ac:dyDescent="0.35">
      <c r="A1833" t="s">
        <v>137</v>
      </c>
      <c r="B1833" t="s">
        <v>138</v>
      </c>
      <c r="C1833" t="s">
        <v>4178</v>
      </c>
      <c r="D1833" t="s">
        <v>4178</v>
      </c>
      <c r="E1833" t="s">
        <v>99</v>
      </c>
      <c r="F1833" s="1">
        <v>46013</v>
      </c>
      <c r="G1833">
        <v>2014</v>
      </c>
      <c r="H1833" t="s">
        <v>46</v>
      </c>
      <c r="I1833" t="s">
        <v>71</v>
      </c>
      <c r="J1833" t="s">
        <v>103</v>
      </c>
      <c r="K1833">
        <v>5</v>
      </c>
      <c r="L1833">
        <v>24732513</v>
      </c>
      <c r="M1833">
        <v>3976012</v>
      </c>
      <c r="N1833">
        <v>44</v>
      </c>
      <c r="O1833" t="s">
        <v>123</v>
      </c>
      <c r="P1833" t="s">
        <v>4181</v>
      </c>
    </row>
    <row r="1834" spans="1:16" x14ac:dyDescent="0.35">
      <c r="A1834" t="s">
        <v>3253</v>
      </c>
      <c r="B1834" t="s">
        <v>3254</v>
      </c>
      <c r="C1834" t="s">
        <v>84</v>
      </c>
      <c r="D1834" t="s">
        <v>75</v>
      </c>
      <c r="E1834" t="s">
        <v>69</v>
      </c>
      <c r="F1834" s="1">
        <v>46022</v>
      </c>
      <c r="G1834">
        <v>2011</v>
      </c>
      <c r="H1834" t="s">
        <v>38</v>
      </c>
      <c r="I1834" t="s">
        <v>4303</v>
      </c>
      <c r="J1834" t="s">
        <v>153</v>
      </c>
      <c r="K1834">
        <v>4.5999999999999996</v>
      </c>
      <c r="L1834">
        <v>20426341</v>
      </c>
      <c r="M1834">
        <v>3148474</v>
      </c>
      <c r="N1834">
        <v>86</v>
      </c>
      <c r="O1834" t="s">
        <v>65</v>
      </c>
      <c r="P1834" t="s">
        <v>50</v>
      </c>
    </row>
    <row r="1835" spans="1:16" x14ac:dyDescent="0.35">
      <c r="A1835" t="s">
        <v>2042</v>
      </c>
      <c r="B1835" t="s">
        <v>2043</v>
      </c>
      <c r="C1835" t="s">
        <v>84</v>
      </c>
      <c r="D1835" t="s">
        <v>94</v>
      </c>
      <c r="E1835" t="s">
        <v>99</v>
      </c>
      <c r="F1835" s="1">
        <v>46025</v>
      </c>
      <c r="G1835">
        <v>2016</v>
      </c>
      <c r="H1835" t="s">
        <v>114</v>
      </c>
      <c r="I1835" t="s">
        <v>4225</v>
      </c>
      <c r="J1835" t="s">
        <v>48</v>
      </c>
      <c r="K1835">
        <v>8.6999999999999993</v>
      </c>
      <c r="L1835">
        <v>8611997</v>
      </c>
      <c r="M1835">
        <v>1866628</v>
      </c>
      <c r="N1835">
        <v>66</v>
      </c>
      <c r="O1835" t="s">
        <v>65</v>
      </c>
      <c r="P1835" t="s">
        <v>50</v>
      </c>
    </row>
    <row r="1836" spans="1:16" x14ac:dyDescent="0.35">
      <c r="A1836" t="s">
        <v>2278</v>
      </c>
      <c r="B1836" t="s">
        <v>2279</v>
      </c>
      <c r="C1836" t="s">
        <v>4178</v>
      </c>
      <c r="D1836" t="s">
        <v>27</v>
      </c>
      <c r="E1836" t="s">
        <v>69</v>
      </c>
      <c r="F1836" s="1">
        <v>46029</v>
      </c>
      <c r="G1836">
        <v>2013</v>
      </c>
      <c r="H1836" t="s">
        <v>46</v>
      </c>
      <c r="I1836" t="s">
        <v>56</v>
      </c>
      <c r="J1836" t="s">
        <v>133</v>
      </c>
      <c r="K1836">
        <v>6.4</v>
      </c>
      <c r="L1836">
        <v>20098627</v>
      </c>
      <c r="M1836">
        <v>4958622</v>
      </c>
      <c r="N1836">
        <v>55</v>
      </c>
      <c r="O1836" t="s">
        <v>24</v>
      </c>
      <c r="P1836" t="s">
        <v>32</v>
      </c>
    </row>
    <row r="1837" spans="1:16" x14ac:dyDescent="0.35">
      <c r="A1837" t="s">
        <v>329</v>
      </c>
      <c r="B1837" t="s">
        <v>330</v>
      </c>
      <c r="C1837" t="s">
        <v>84</v>
      </c>
      <c r="D1837" t="s">
        <v>68</v>
      </c>
      <c r="E1837" t="s">
        <v>45</v>
      </c>
      <c r="F1837" s="1">
        <v>46030</v>
      </c>
      <c r="G1837">
        <v>2006</v>
      </c>
      <c r="H1837" t="s">
        <v>121</v>
      </c>
      <c r="I1837" t="s">
        <v>4227</v>
      </c>
      <c r="J1837" t="s">
        <v>72</v>
      </c>
      <c r="K1837">
        <v>4.9000000000000004</v>
      </c>
      <c r="L1837">
        <v>14773484</v>
      </c>
      <c r="M1837">
        <v>521235</v>
      </c>
      <c r="N1837">
        <v>93</v>
      </c>
      <c r="O1837" t="s">
        <v>49</v>
      </c>
      <c r="P1837" t="s">
        <v>50</v>
      </c>
    </row>
    <row r="1838" spans="1:16" x14ac:dyDescent="0.35">
      <c r="A1838" t="s">
        <v>2922</v>
      </c>
      <c r="B1838" t="s">
        <v>4369</v>
      </c>
      <c r="C1838" t="s">
        <v>84</v>
      </c>
      <c r="D1838" t="s">
        <v>4178</v>
      </c>
      <c r="E1838" t="s">
        <v>20</v>
      </c>
      <c r="F1838" s="1">
        <v>46030</v>
      </c>
      <c r="G1838">
        <v>2022</v>
      </c>
      <c r="H1838" t="s">
        <v>4178</v>
      </c>
      <c r="I1838" t="s">
        <v>4266</v>
      </c>
      <c r="J1838" t="s">
        <v>40</v>
      </c>
      <c r="K1838">
        <v>5.3</v>
      </c>
      <c r="L1838">
        <v>5588828</v>
      </c>
      <c r="M1838">
        <v>1149889</v>
      </c>
      <c r="N1838">
        <v>55</v>
      </c>
      <c r="O1838" t="s">
        <v>104</v>
      </c>
      <c r="P1838" t="s">
        <v>4178</v>
      </c>
    </row>
    <row r="1839" spans="1:16" x14ac:dyDescent="0.35">
      <c r="A1839" t="s">
        <v>2517</v>
      </c>
      <c r="B1839" t="s">
        <v>2518</v>
      </c>
      <c r="C1839" t="s">
        <v>84</v>
      </c>
      <c r="D1839" t="s">
        <v>156</v>
      </c>
      <c r="E1839" t="s">
        <v>69</v>
      </c>
      <c r="F1839" s="1">
        <v>46034</v>
      </c>
      <c r="G1839">
        <v>2005</v>
      </c>
      <c r="H1839" t="s">
        <v>46</v>
      </c>
      <c r="I1839" t="s">
        <v>4309</v>
      </c>
      <c r="J1839" t="s">
        <v>96</v>
      </c>
      <c r="K1839">
        <v>7.4</v>
      </c>
      <c r="L1839">
        <v>21484345</v>
      </c>
      <c r="M1839">
        <v>3140153</v>
      </c>
      <c r="N1839">
        <v>88</v>
      </c>
      <c r="O1839" t="s">
        <v>31</v>
      </c>
      <c r="P1839" t="s">
        <v>87</v>
      </c>
    </row>
    <row r="1840" spans="1:16" x14ac:dyDescent="0.35">
      <c r="A1840" t="s">
        <v>3048</v>
      </c>
      <c r="B1840" t="s">
        <v>3049</v>
      </c>
      <c r="C1840" t="s">
        <v>53</v>
      </c>
      <c r="D1840" t="s">
        <v>27</v>
      </c>
      <c r="E1840" t="s">
        <v>131</v>
      </c>
      <c r="F1840" s="1">
        <v>46035</v>
      </c>
      <c r="G1840">
        <v>2009</v>
      </c>
      <c r="H1840" t="s">
        <v>85</v>
      </c>
      <c r="I1840" t="s">
        <v>64</v>
      </c>
      <c r="J1840" t="s">
        <v>40</v>
      </c>
      <c r="K1840">
        <v>6</v>
      </c>
      <c r="L1840">
        <v>6599448</v>
      </c>
      <c r="M1840">
        <v>1391073</v>
      </c>
      <c r="N1840">
        <v>56</v>
      </c>
      <c r="O1840" t="s">
        <v>58</v>
      </c>
      <c r="P1840" t="s">
        <v>4178</v>
      </c>
    </row>
    <row r="1841" spans="1:16" x14ac:dyDescent="0.35">
      <c r="A1841" t="s">
        <v>3830</v>
      </c>
      <c r="B1841" t="s">
        <v>3831</v>
      </c>
      <c r="C1841" t="s">
        <v>53</v>
      </c>
      <c r="D1841" t="s">
        <v>27</v>
      </c>
      <c r="E1841" t="s">
        <v>80</v>
      </c>
      <c r="F1841" s="1">
        <v>46035</v>
      </c>
      <c r="G1841">
        <v>2020</v>
      </c>
      <c r="H1841" t="s">
        <v>4178</v>
      </c>
      <c r="I1841" t="s">
        <v>56</v>
      </c>
      <c r="J1841" t="s">
        <v>153</v>
      </c>
      <c r="K1841">
        <v>9.6</v>
      </c>
      <c r="L1841">
        <v>13240428</v>
      </c>
      <c r="M1841">
        <v>1411646</v>
      </c>
      <c r="N1841">
        <v>78</v>
      </c>
      <c r="O1841" t="s">
        <v>104</v>
      </c>
      <c r="P1841" t="s">
        <v>50</v>
      </c>
    </row>
    <row r="1842" spans="1:16" x14ac:dyDescent="0.35">
      <c r="A1842" t="s">
        <v>2711</v>
      </c>
      <c r="B1842" t="s">
        <v>2712</v>
      </c>
      <c r="C1842" t="s">
        <v>53</v>
      </c>
      <c r="D1842" t="s">
        <v>4178</v>
      </c>
      <c r="E1842" t="s">
        <v>80</v>
      </c>
      <c r="F1842" s="1">
        <v>46041</v>
      </c>
      <c r="G1842">
        <v>2003</v>
      </c>
      <c r="H1842" t="s">
        <v>38</v>
      </c>
      <c r="I1842" t="s">
        <v>118</v>
      </c>
      <c r="J1842" t="s">
        <v>48</v>
      </c>
      <c r="K1842">
        <v>9.4</v>
      </c>
      <c r="L1842">
        <v>6862831</v>
      </c>
      <c r="M1842">
        <v>3799246</v>
      </c>
      <c r="N1842">
        <v>73</v>
      </c>
      <c r="O1842" t="s">
        <v>104</v>
      </c>
      <c r="P1842" t="s">
        <v>4178</v>
      </c>
    </row>
    <row r="1843" spans="1:16" x14ac:dyDescent="0.35">
      <c r="A1843" t="s">
        <v>3450</v>
      </c>
      <c r="B1843" t="s">
        <v>3451</v>
      </c>
      <c r="C1843" t="s">
        <v>4178</v>
      </c>
      <c r="D1843" t="s">
        <v>4178</v>
      </c>
      <c r="E1843" t="s">
        <v>4178</v>
      </c>
      <c r="F1843" s="1">
        <v>46041</v>
      </c>
      <c r="G1843">
        <v>2023</v>
      </c>
      <c r="H1843" t="s">
        <v>85</v>
      </c>
      <c r="I1843" t="s">
        <v>162</v>
      </c>
      <c r="J1843" t="s">
        <v>133</v>
      </c>
      <c r="K1843">
        <v>7</v>
      </c>
      <c r="L1843">
        <v>18891037</v>
      </c>
      <c r="M1843">
        <v>1203438</v>
      </c>
      <c r="N1843">
        <v>77</v>
      </c>
      <c r="O1843" t="s">
        <v>24</v>
      </c>
      <c r="P1843" t="s">
        <v>50</v>
      </c>
    </row>
    <row r="1844" spans="1:16" x14ac:dyDescent="0.35">
      <c r="A1844" t="s">
        <v>888</v>
      </c>
      <c r="B1844" t="s">
        <v>889</v>
      </c>
      <c r="C1844" t="s">
        <v>84</v>
      </c>
      <c r="D1844" t="s">
        <v>61</v>
      </c>
      <c r="E1844" t="s">
        <v>99</v>
      </c>
      <c r="F1844" s="1">
        <v>46042</v>
      </c>
      <c r="G1844">
        <v>2020</v>
      </c>
      <c r="H1844" t="s">
        <v>81</v>
      </c>
      <c r="I1844" t="s">
        <v>4202</v>
      </c>
      <c r="J1844" t="s">
        <v>57</v>
      </c>
      <c r="K1844">
        <v>5.6</v>
      </c>
      <c r="L1844">
        <v>4565295</v>
      </c>
      <c r="M1844">
        <v>1025987</v>
      </c>
      <c r="N1844">
        <v>69</v>
      </c>
      <c r="O1844" t="s">
        <v>65</v>
      </c>
      <c r="P1844" t="s">
        <v>87</v>
      </c>
    </row>
    <row r="1845" spans="1:16" x14ac:dyDescent="0.35">
      <c r="A1845" t="s">
        <v>1754</v>
      </c>
      <c r="B1845" t="s">
        <v>1755</v>
      </c>
      <c r="C1845" t="s">
        <v>53</v>
      </c>
      <c r="D1845" t="s">
        <v>19</v>
      </c>
      <c r="E1845" t="s">
        <v>62</v>
      </c>
      <c r="F1845" s="1">
        <v>46044</v>
      </c>
      <c r="G1845">
        <v>2016</v>
      </c>
      <c r="H1845" t="s">
        <v>121</v>
      </c>
      <c r="I1845" t="s">
        <v>39</v>
      </c>
      <c r="J1845" t="s">
        <v>40</v>
      </c>
      <c r="K1845">
        <v>8</v>
      </c>
      <c r="L1845">
        <v>1141020</v>
      </c>
      <c r="M1845">
        <v>1419617</v>
      </c>
      <c r="N1845">
        <v>76</v>
      </c>
      <c r="O1845" t="s">
        <v>123</v>
      </c>
      <c r="P1845" t="s">
        <v>4181</v>
      </c>
    </row>
    <row r="1846" spans="1:16" x14ac:dyDescent="0.35">
      <c r="A1846" t="s">
        <v>448</v>
      </c>
      <c r="B1846" t="s">
        <v>449</v>
      </c>
      <c r="C1846" t="s">
        <v>84</v>
      </c>
      <c r="D1846" t="s">
        <v>54</v>
      </c>
      <c r="E1846" t="s">
        <v>69</v>
      </c>
      <c r="F1846" s="1">
        <v>46046</v>
      </c>
      <c r="G1846">
        <v>2006</v>
      </c>
      <c r="H1846" t="s">
        <v>63</v>
      </c>
      <c r="I1846" t="s">
        <v>4242</v>
      </c>
      <c r="J1846" t="s">
        <v>4178</v>
      </c>
      <c r="K1846">
        <v>8.6</v>
      </c>
      <c r="L1846">
        <v>24082088</v>
      </c>
      <c r="M1846">
        <v>3713210</v>
      </c>
      <c r="N1846">
        <v>42</v>
      </c>
      <c r="O1846" t="s">
        <v>123</v>
      </c>
      <c r="P1846" t="s">
        <v>32</v>
      </c>
    </row>
    <row r="1847" spans="1:16" x14ac:dyDescent="0.35">
      <c r="A1847" t="s">
        <v>852</v>
      </c>
      <c r="B1847" t="s">
        <v>853</v>
      </c>
      <c r="C1847" t="s">
        <v>4178</v>
      </c>
      <c r="D1847" t="s">
        <v>19</v>
      </c>
      <c r="E1847" t="s">
        <v>20</v>
      </c>
      <c r="F1847" s="1">
        <v>46047</v>
      </c>
      <c r="G1847">
        <v>2003</v>
      </c>
      <c r="H1847" t="s">
        <v>107</v>
      </c>
      <c r="I1847" t="s">
        <v>136</v>
      </c>
      <c r="J1847" t="s">
        <v>30</v>
      </c>
      <c r="K1847">
        <v>5.7</v>
      </c>
      <c r="L1847">
        <v>21738803</v>
      </c>
      <c r="M1847">
        <v>656717</v>
      </c>
      <c r="N1847">
        <v>74</v>
      </c>
      <c r="O1847" t="s">
        <v>65</v>
      </c>
      <c r="P1847" t="s">
        <v>32</v>
      </c>
    </row>
    <row r="1848" spans="1:16" x14ac:dyDescent="0.35">
      <c r="A1848" t="s">
        <v>1442</v>
      </c>
      <c r="B1848" t="s">
        <v>1443</v>
      </c>
      <c r="C1848" t="s">
        <v>4178</v>
      </c>
      <c r="D1848" t="s">
        <v>61</v>
      </c>
      <c r="E1848" t="s">
        <v>113</v>
      </c>
      <c r="F1848" s="1">
        <v>46049</v>
      </c>
      <c r="G1848">
        <v>2002</v>
      </c>
      <c r="H1848" t="s">
        <v>107</v>
      </c>
      <c r="I1848" t="s">
        <v>64</v>
      </c>
      <c r="J1848" t="s">
        <v>96</v>
      </c>
      <c r="K1848">
        <v>8.1999999999999993</v>
      </c>
      <c r="L1848">
        <v>1996771</v>
      </c>
      <c r="M1848">
        <v>1173898</v>
      </c>
      <c r="N1848">
        <v>44</v>
      </c>
      <c r="O1848" t="s">
        <v>123</v>
      </c>
      <c r="P1848" t="s">
        <v>4178</v>
      </c>
    </row>
    <row r="1849" spans="1:16" x14ac:dyDescent="0.35">
      <c r="A1849" t="s">
        <v>1765</v>
      </c>
      <c r="B1849" t="s">
        <v>1766</v>
      </c>
      <c r="C1849" t="s">
        <v>84</v>
      </c>
      <c r="D1849" t="s">
        <v>19</v>
      </c>
      <c r="E1849" t="s">
        <v>62</v>
      </c>
      <c r="F1849" s="1">
        <v>46052</v>
      </c>
      <c r="G1849">
        <v>2008</v>
      </c>
      <c r="H1849" t="s">
        <v>121</v>
      </c>
      <c r="I1849" t="s">
        <v>4210</v>
      </c>
      <c r="J1849" t="s">
        <v>57</v>
      </c>
      <c r="K1849">
        <v>8.1999999999999993</v>
      </c>
      <c r="L1849">
        <v>19696711</v>
      </c>
      <c r="M1849">
        <v>2311360</v>
      </c>
      <c r="N1849">
        <v>84</v>
      </c>
      <c r="O1849" t="s">
        <v>123</v>
      </c>
      <c r="P1849" t="s">
        <v>87</v>
      </c>
    </row>
    <row r="1850" spans="1:16" x14ac:dyDescent="0.35">
      <c r="A1850" t="s">
        <v>3353</v>
      </c>
      <c r="B1850" t="s">
        <v>3354</v>
      </c>
      <c r="C1850" t="s">
        <v>4178</v>
      </c>
      <c r="D1850" t="s">
        <v>19</v>
      </c>
      <c r="E1850" t="s">
        <v>37</v>
      </c>
      <c r="F1850" s="1">
        <v>46053</v>
      </c>
      <c r="G1850">
        <v>2013</v>
      </c>
      <c r="H1850" t="s">
        <v>21</v>
      </c>
      <c r="I1850" t="s">
        <v>64</v>
      </c>
      <c r="J1850" t="s">
        <v>133</v>
      </c>
      <c r="K1850">
        <v>6.4</v>
      </c>
      <c r="L1850">
        <v>18212524</v>
      </c>
      <c r="M1850">
        <v>2214141</v>
      </c>
      <c r="N1850">
        <v>75</v>
      </c>
      <c r="O1850" t="s">
        <v>58</v>
      </c>
      <c r="P1850" t="s">
        <v>4178</v>
      </c>
    </row>
    <row r="1851" spans="1:16" x14ac:dyDescent="0.35">
      <c r="A1851" t="s">
        <v>1788</v>
      </c>
      <c r="B1851" t="s">
        <v>4327</v>
      </c>
      <c r="C1851" t="s">
        <v>84</v>
      </c>
      <c r="D1851" t="s">
        <v>68</v>
      </c>
      <c r="E1851" t="s">
        <v>69</v>
      </c>
      <c r="F1851" s="1">
        <v>46058</v>
      </c>
      <c r="G1851">
        <v>2003</v>
      </c>
      <c r="H1851" t="s">
        <v>38</v>
      </c>
      <c r="I1851" t="s">
        <v>4259</v>
      </c>
      <c r="J1851" t="s">
        <v>72</v>
      </c>
      <c r="K1851">
        <v>9.6999999999999993</v>
      </c>
      <c r="L1851">
        <v>15077291</v>
      </c>
      <c r="M1851">
        <v>4864890</v>
      </c>
      <c r="N1851">
        <v>53</v>
      </c>
      <c r="O1851" t="s">
        <v>31</v>
      </c>
      <c r="P1851" t="s">
        <v>50</v>
      </c>
    </row>
    <row r="1852" spans="1:16" x14ac:dyDescent="0.35">
      <c r="A1852" t="s">
        <v>3411</v>
      </c>
      <c r="B1852" t="s">
        <v>3412</v>
      </c>
      <c r="C1852" t="s">
        <v>84</v>
      </c>
      <c r="D1852" t="s">
        <v>68</v>
      </c>
      <c r="E1852" t="s">
        <v>20</v>
      </c>
      <c r="F1852" s="1">
        <v>46061</v>
      </c>
      <c r="G1852">
        <v>2018</v>
      </c>
      <c r="H1852" t="s">
        <v>46</v>
      </c>
      <c r="I1852" t="s">
        <v>4207</v>
      </c>
      <c r="J1852" t="s">
        <v>133</v>
      </c>
      <c r="K1852">
        <v>9</v>
      </c>
      <c r="L1852">
        <v>24953744</v>
      </c>
      <c r="M1852">
        <v>3175383</v>
      </c>
      <c r="N1852">
        <v>61</v>
      </c>
      <c r="O1852" t="s">
        <v>104</v>
      </c>
      <c r="P1852" t="s">
        <v>50</v>
      </c>
    </row>
    <row r="1853" spans="1:16" x14ac:dyDescent="0.35">
      <c r="A1853" t="s">
        <v>3452</v>
      </c>
      <c r="B1853" t="s">
        <v>3453</v>
      </c>
      <c r="C1853" t="s">
        <v>4178</v>
      </c>
      <c r="D1853" t="s">
        <v>27</v>
      </c>
      <c r="E1853" t="s">
        <v>37</v>
      </c>
      <c r="F1853" s="1">
        <v>46061</v>
      </c>
      <c r="G1853">
        <v>2022</v>
      </c>
      <c r="H1853" t="s">
        <v>63</v>
      </c>
      <c r="I1853" t="s">
        <v>71</v>
      </c>
      <c r="J1853" t="s">
        <v>133</v>
      </c>
      <c r="K1853">
        <v>7</v>
      </c>
      <c r="L1853">
        <v>6104905</v>
      </c>
      <c r="M1853">
        <v>4301217</v>
      </c>
      <c r="N1853">
        <v>43</v>
      </c>
      <c r="O1853" t="s">
        <v>58</v>
      </c>
      <c r="P1853" t="s">
        <v>87</v>
      </c>
    </row>
    <row r="1854" spans="1:16" x14ac:dyDescent="0.35">
      <c r="A1854" t="s">
        <v>670</v>
      </c>
      <c r="B1854" t="s">
        <v>671</v>
      </c>
      <c r="C1854" t="s">
        <v>84</v>
      </c>
      <c r="D1854" t="s">
        <v>54</v>
      </c>
      <c r="E1854" t="s">
        <v>28</v>
      </c>
      <c r="F1854" s="1">
        <v>46065</v>
      </c>
      <c r="G1854">
        <v>2014</v>
      </c>
      <c r="H1854" t="s">
        <v>121</v>
      </c>
      <c r="I1854" t="s">
        <v>4197</v>
      </c>
      <c r="J1854" t="s">
        <v>30</v>
      </c>
      <c r="K1854">
        <v>7</v>
      </c>
      <c r="L1854">
        <v>16239476</v>
      </c>
      <c r="M1854">
        <v>3669589</v>
      </c>
      <c r="N1854">
        <v>83</v>
      </c>
      <c r="O1854" t="s">
        <v>24</v>
      </c>
      <c r="P1854" t="s">
        <v>4181</v>
      </c>
    </row>
    <row r="1855" spans="1:16" x14ac:dyDescent="0.35">
      <c r="A1855" t="s">
        <v>2445</v>
      </c>
      <c r="B1855" t="s">
        <v>2446</v>
      </c>
      <c r="C1855" t="s">
        <v>53</v>
      </c>
      <c r="D1855" t="s">
        <v>156</v>
      </c>
      <c r="E1855" t="s">
        <v>80</v>
      </c>
      <c r="F1855" s="1">
        <v>46066</v>
      </c>
      <c r="G1855">
        <v>2002</v>
      </c>
      <c r="H1855" t="s">
        <v>38</v>
      </c>
      <c r="I1855" t="s">
        <v>39</v>
      </c>
      <c r="J1855" t="s">
        <v>4178</v>
      </c>
      <c r="K1855">
        <v>11.2</v>
      </c>
      <c r="L1855">
        <v>15855992</v>
      </c>
      <c r="M1855">
        <v>4676864</v>
      </c>
      <c r="N1855">
        <v>94</v>
      </c>
      <c r="O1855" t="s">
        <v>49</v>
      </c>
      <c r="P1855" t="s">
        <v>87</v>
      </c>
    </row>
    <row r="1856" spans="1:16" x14ac:dyDescent="0.35">
      <c r="A1856" t="s">
        <v>2629</v>
      </c>
      <c r="B1856" t="s">
        <v>2630</v>
      </c>
      <c r="C1856" t="s">
        <v>84</v>
      </c>
      <c r="D1856" t="s">
        <v>27</v>
      </c>
      <c r="E1856" t="s">
        <v>69</v>
      </c>
      <c r="F1856" s="1">
        <v>46066</v>
      </c>
      <c r="G1856">
        <v>2021</v>
      </c>
      <c r="H1856" t="s">
        <v>38</v>
      </c>
      <c r="I1856" t="s">
        <v>4224</v>
      </c>
      <c r="J1856" t="s">
        <v>30</v>
      </c>
      <c r="K1856">
        <v>5.3</v>
      </c>
      <c r="L1856">
        <v>1928460</v>
      </c>
      <c r="M1856">
        <v>3980999</v>
      </c>
      <c r="N1856">
        <v>80</v>
      </c>
      <c r="O1856" t="s">
        <v>123</v>
      </c>
      <c r="P1856" t="s">
        <v>32</v>
      </c>
    </row>
    <row r="1857" spans="1:16" x14ac:dyDescent="0.35">
      <c r="A1857" t="s">
        <v>3926</v>
      </c>
      <c r="B1857" t="s">
        <v>3927</v>
      </c>
      <c r="C1857" t="s">
        <v>84</v>
      </c>
      <c r="D1857" t="s">
        <v>54</v>
      </c>
      <c r="E1857" t="s">
        <v>55</v>
      </c>
      <c r="F1857" s="1">
        <v>46067</v>
      </c>
      <c r="G1857">
        <v>2019</v>
      </c>
      <c r="H1857" t="s">
        <v>121</v>
      </c>
      <c r="I1857" t="s">
        <v>4248</v>
      </c>
      <c r="J1857" t="s">
        <v>72</v>
      </c>
      <c r="K1857">
        <v>7.2</v>
      </c>
      <c r="L1857">
        <v>22481534</v>
      </c>
      <c r="M1857">
        <v>4957998</v>
      </c>
      <c r="N1857">
        <v>47</v>
      </c>
      <c r="O1857" t="s">
        <v>31</v>
      </c>
      <c r="P1857" t="s">
        <v>4178</v>
      </c>
    </row>
    <row r="1858" spans="1:16" x14ac:dyDescent="0.35">
      <c r="A1858" t="s">
        <v>486</v>
      </c>
      <c r="B1858" t="s">
        <v>487</v>
      </c>
      <c r="C1858" t="s">
        <v>84</v>
      </c>
      <c r="D1858" t="s">
        <v>54</v>
      </c>
      <c r="E1858" t="s">
        <v>4196</v>
      </c>
      <c r="F1858" s="1">
        <v>46070</v>
      </c>
      <c r="G1858">
        <v>2026</v>
      </c>
      <c r="H1858" t="s">
        <v>121</v>
      </c>
      <c r="I1858" t="s">
        <v>4227</v>
      </c>
      <c r="J1858" t="s">
        <v>133</v>
      </c>
      <c r="K1858">
        <v>8.6999999999999993</v>
      </c>
      <c r="L1858">
        <v>5537235</v>
      </c>
      <c r="M1858">
        <v>3652736</v>
      </c>
      <c r="N1858">
        <v>80</v>
      </c>
      <c r="O1858" t="s">
        <v>65</v>
      </c>
      <c r="P1858" t="s">
        <v>50</v>
      </c>
    </row>
    <row r="1859" spans="1:16" x14ac:dyDescent="0.35">
      <c r="A1859" t="s">
        <v>1573</v>
      </c>
      <c r="B1859" t="s">
        <v>1574</v>
      </c>
      <c r="C1859" t="s">
        <v>4178</v>
      </c>
      <c r="D1859" t="s">
        <v>94</v>
      </c>
      <c r="E1859" t="s">
        <v>113</v>
      </c>
      <c r="F1859" s="1">
        <v>46070</v>
      </c>
      <c r="G1859">
        <v>2026</v>
      </c>
      <c r="H1859" t="s">
        <v>114</v>
      </c>
      <c r="I1859" t="s">
        <v>71</v>
      </c>
      <c r="J1859" t="s">
        <v>133</v>
      </c>
      <c r="K1859">
        <v>8.6999999999999993</v>
      </c>
      <c r="L1859">
        <v>16442981</v>
      </c>
      <c r="M1859">
        <v>3808320</v>
      </c>
      <c r="N1859">
        <v>67</v>
      </c>
      <c r="O1859" t="s">
        <v>49</v>
      </c>
      <c r="P1859" t="s">
        <v>32</v>
      </c>
    </row>
    <row r="1860" spans="1:16" x14ac:dyDescent="0.35">
      <c r="A1860" t="s">
        <v>43</v>
      </c>
      <c r="B1860" t="s">
        <v>4182</v>
      </c>
      <c r="C1860" t="s">
        <v>84</v>
      </c>
      <c r="D1860" t="s">
        <v>19</v>
      </c>
      <c r="E1860" t="s">
        <v>45</v>
      </c>
      <c r="F1860" s="1">
        <v>46073</v>
      </c>
      <c r="G1860">
        <v>2014</v>
      </c>
      <c r="H1860" t="s">
        <v>46</v>
      </c>
      <c r="I1860" t="s">
        <v>4183</v>
      </c>
      <c r="J1860" t="s">
        <v>48</v>
      </c>
      <c r="K1860">
        <v>8</v>
      </c>
      <c r="L1860">
        <v>23548166</v>
      </c>
      <c r="M1860">
        <v>2598174</v>
      </c>
      <c r="N1860">
        <v>83</v>
      </c>
      <c r="O1860" t="s">
        <v>49</v>
      </c>
      <c r="P1860" t="s">
        <v>50</v>
      </c>
    </row>
    <row r="1861" spans="1:16" x14ac:dyDescent="0.35">
      <c r="A1861" t="s">
        <v>2505</v>
      </c>
      <c r="B1861" t="s">
        <v>2506</v>
      </c>
      <c r="C1861" t="s">
        <v>53</v>
      </c>
      <c r="D1861" t="s">
        <v>75</v>
      </c>
      <c r="E1861" t="s">
        <v>131</v>
      </c>
      <c r="F1861" s="1">
        <v>46077</v>
      </c>
      <c r="G1861">
        <v>2006</v>
      </c>
      <c r="H1861" t="s">
        <v>85</v>
      </c>
      <c r="I1861" t="s">
        <v>162</v>
      </c>
      <c r="J1861" t="s">
        <v>48</v>
      </c>
      <c r="K1861">
        <v>9.6999999999999993</v>
      </c>
      <c r="L1861">
        <v>11859239</v>
      </c>
      <c r="M1861">
        <v>2106189</v>
      </c>
      <c r="N1861">
        <v>93</v>
      </c>
      <c r="O1861" t="s">
        <v>24</v>
      </c>
      <c r="P1861" t="s">
        <v>4178</v>
      </c>
    </row>
    <row r="1862" spans="1:16" x14ac:dyDescent="0.35">
      <c r="A1862" t="s">
        <v>1028</v>
      </c>
      <c r="B1862" t="s">
        <v>1029</v>
      </c>
      <c r="C1862" t="s">
        <v>84</v>
      </c>
      <c r="D1862" t="s">
        <v>90</v>
      </c>
      <c r="E1862" t="s">
        <v>62</v>
      </c>
      <c r="F1862" s="1">
        <v>46081</v>
      </c>
      <c r="G1862">
        <v>2011</v>
      </c>
      <c r="H1862" t="s">
        <v>46</v>
      </c>
      <c r="I1862" t="s">
        <v>4237</v>
      </c>
      <c r="J1862" t="s">
        <v>96</v>
      </c>
      <c r="K1862">
        <v>9.1999999999999993</v>
      </c>
      <c r="L1862">
        <v>18545336</v>
      </c>
      <c r="M1862">
        <v>4780143</v>
      </c>
      <c r="N1862">
        <v>78</v>
      </c>
      <c r="O1862" t="s">
        <v>91</v>
      </c>
      <c r="P1862" t="s">
        <v>4181</v>
      </c>
    </row>
    <row r="1863" spans="1:16" x14ac:dyDescent="0.35">
      <c r="A1863" t="s">
        <v>2560</v>
      </c>
      <c r="B1863" t="s">
        <v>2561</v>
      </c>
      <c r="C1863" t="s">
        <v>84</v>
      </c>
      <c r="D1863" t="s">
        <v>19</v>
      </c>
      <c r="E1863" t="s">
        <v>45</v>
      </c>
      <c r="F1863" s="1">
        <v>46081</v>
      </c>
      <c r="G1863">
        <v>2013</v>
      </c>
      <c r="H1863" t="s">
        <v>46</v>
      </c>
      <c r="I1863" t="s">
        <v>4223</v>
      </c>
      <c r="J1863" t="s">
        <v>133</v>
      </c>
      <c r="K1863">
        <v>6.4</v>
      </c>
      <c r="L1863">
        <v>15858960</v>
      </c>
      <c r="M1863">
        <v>1589515</v>
      </c>
      <c r="N1863">
        <v>94</v>
      </c>
      <c r="O1863" t="s">
        <v>104</v>
      </c>
      <c r="P1863" t="s">
        <v>50</v>
      </c>
    </row>
    <row r="1864" spans="1:16" x14ac:dyDescent="0.35">
      <c r="A1864" t="s">
        <v>3060</v>
      </c>
      <c r="B1864" t="s">
        <v>3061</v>
      </c>
      <c r="C1864" t="s">
        <v>84</v>
      </c>
      <c r="D1864" t="s">
        <v>75</v>
      </c>
      <c r="E1864" t="s">
        <v>20</v>
      </c>
      <c r="F1864" s="1">
        <v>46081</v>
      </c>
      <c r="G1864">
        <v>2000</v>
      </c>
      <c r="H1864" t="s">
        <v>4178</v>
      </c>
      <c r="I1864" t="s">
        <v>4269</v>
      </c>
      <c r="J1864" t="s">
        <v>40</v>
      </c>
      <c r="K1864">
        <v>6.3</v>
      </c>
      <c r="L1864">
        <v>3219139</v>
      </c>
      <c r="M1864">
        <v>2908871</v>
      </c>
      <c r="N1864">
        <v>120</v>
      </c>
      <c r="O1864" t="s">
        <v>24</v>
      </c>
      <c r="P1864" t="s">
        <v>4181</v>
      </c>
    </row>
    <row r="1865" spans="1:16" x14ac:dyDescent="0.35">
      <c r="A1865" t="s">
        <v>992</v>
      </c>
      <c r="B1865" t="s">
        <v>993</v>
      </c>
      <c r="C1865" t="s">
        <v>84</v>
      </c>
      <c r="D1865" t="s">
        <v>94</v>
      </c>
      <c r="E1865" t="s">
        <v>62</v>
      </c>
      <c r="F1865" s="1">
        <v>46082</v>
      </c>
      <c r="G1865">
        <v>2009</v>
      </c>
      <c r="H1865" t="s">
        <v>121</v>
      </c>
      <c r="I1865" t="s">
        <v>4290</v>
      </c>
      <c r="J1865" t="s">
        <v>153</v>
      </c>
      <c r="K1865">
        <v>4.9000000000000004</v>
      </c>
      <c r="L1865">
        <v>8341906</v>
      </c>
      <c r="M1865">
        <v>263349</v>
      </c>
      <c r="N1865">
        <v>83</v>
      </c>
      <c r="O1865" t="s">
        <v>31</v>
      </c>
      <c r="P1865" t="s">
        <v>32</v>
      </c>
    </row>
    <row r="1866" spans="1:16" x14ac:dyDescent="0.35">
      <c r="A1866" t="s">
        <v>3528</v>
      </c>
      <c r="B1866" t="s">
        <v>3529</v>
      </c>
      <c r="C1866" t="s">
        <v>53</v>
      </c>
      <c r="D1866" t="s">
        <v>4178</v>
      </c>
      <c r="E1866" t="s">
        <v>99</v>
      </c>
      <c r="F1866" s="1">
        <v>46083</v>
      </c>
      <c r="G1866">
        <v>2004</v>
      </c>
      <c r="H1866" t="s">
        <v>107</v>
      </c>
      <c r="I1866" t="s">
        <v>39</v>
      </c>
      <c r="J1866" t="s">
        <v>133</v>
      </c>
      <c r="K1866">
        <v>9.1</v>
      </c>
      <c r="L1866">
        <v>18280104</v>
      </c>
      <c r="M1866">
        <v>465123</v>
      </c>
      <c r="N1866">
        <v>44</v>
      </c>
      <c r="O1866" t="s">
        <v>24</v>
      </c>
      <c r="P1866" t="s">
        <v>32</v>
      </c>
    </row>
    <row r="1867" spans="1:16" x14ac:dyDescent="0.35">
      <c r="A1867" t="s">
        <v>1645</v>
      </c>
      <c r="B1867" t="s">
        <v>1646</v>
      </c>
      <c r="C1867" t="s">
        <v>53</v>
      </c>
      <c r="D1867" t="s">
        <v>94</v>
      </c>
      <c r="E1867" t="s">
        <v>4178</v>
      </c>
      <c r="F1867" s="1">
        <v>46084</v>
      </c>
      <c r="G1867">
        <v>2016</v>
      </c>
      <c r="H1867" t="s">
        <v>107</v>
      </c>
      <c r="I1867" t="s">
        <v>64</v>
      </c>
      <c r="J1867" t="s">
        <v>103</v>
      </c>
      <c r="K1867">
        <v>6.3</v>
      </c>
      <c r="L1867">
        <v>11158980</v>
      </c>
      <c r="M1867">
        <v>4267516</v>
      </c>
      <c r="N1867">
        <v>87</v>
      </c>
      <c r="O1867" t="s">
        <v>65</v>
      </c>
      <c r="P1867" t="s">
        <v>4178</v>
      </c>
    </row>
    <row r="1868" spans="1:16" x14ac:dyDescent="0.35">
      <c r="A1868" t="s">
        <v>2727</v>
      </c>
      <c r="B1868" t="s">
        <v>2728</v>
      </c>
      <c r="C1868" t="s">
        <v>53</v>
      </c>
      <c r="D1868" t="s">
        <v>4178</v>
      </c>
      <c r="E1868" t="s">
        <v>55</v>
      </c>
      <c r="F1868" s="1">
        <v>46084</v>
      </c>
      <c r="G1868">
        <v>2025</v>
      </c>
      <c r="H1868" t="s">
        <v>38</v>
      </c>
      <c r="I1868" t="s">
        <v>118</v>
      </c>
      <c r="J1868" t="s">
        <v>72</v>
      </c>
      <c r="K1868">
        <v>4.9000000000000004</v>
      </c>
      <c r="L1868">
        <v>6736664</v>
      </c>
      <c r="M1868">
        <v>3887311</v>
      </c>
      <c r="N1868">
        <v>55</v>
      </c>
      <c r="O1868" t="s">
        <v>31</v>
      </c>
      <c r="P1868" t="s">
        <v>32</v>
      </c>
    </row>
    <row r="1869" spans="1:16" x14ac:dyDescent="0.35">
      <c r="A1869" t="s">
        <v>158</v>
      </c>
      <c r="B1869" t="s">
        <v>159</v>
      </c>
      <c r="C1869" t="s">
        <v>53</v>
      </c>
      <c r="D1869" t="s">
        <v>36</v>
      </c>
      <c r="E1869" t="s">
        <v>45</v>
      </c>
      <c r="F1869" s="1">
        <v>46085</v>
      </c>
      <c r="G1869">
        <v>2011</v>
      </c>
      <c r="H1869" t="s">
        <v>63</v>
      </c>
      <c r="I1869" t="s">
        <v>136</v>
      </c>
      <c r="J1869" t="s">
        <v>103</v>
      </c>
      <c r="K1869">
        <v>9.1</v>
      </c>
      <c r="L1869">
        <v>9103951</v>
      </c>
      <c r="M1869">
        <v>2085180</v>
      </c>
      <c r="N1869">
        <v>81</v>
      </c>
      <c r="O1869" t="s">
        <v>49</v>
      </c>
      <c r="P1869" t="s">
        <v>32</v>
      </c>
    </row>
    <row r="1870" spans="1:16" x14ac:dyDescent="0.35">
      <c r="A1870" t="s">
        <v>278</v>
      </c>
      <c r="B1870" t="s">
        <v>279</v>
      </c>
      <c r="C1870" t="s">
        <v>4178</v>
      </c>
      <c r="D1870" t="s">
        <v>4178</v>
      </c>
      <c r="E1870" t="s">
        <v>4178</v>
      </c>
      <c r="F1870" s="1">
        <v>46085</v>
      </c>
      <c r="G1870">
        <v>2008</v>
      </c>
      <c r="H1870" t="s">
        <v>114</v>
      </c>
      <c r="I1870" t="s">
        <v>95</v>
      </c>
      <c r="J1870" t="s">
        <v>72</v>
      </c>
      <c r="K1870">
        <v>9.1999999999999993</v>
      </c>
      <c r="L1870">
        <v>20754146</v>
      </c>
      <c r="M1870">
        <v>669409</v>
      </c>
      <c r="N1870">
        <v>59</v>
      </c>
      <c r="O1870" t="s">
        <v>4178</v>
      </c>
      <c r="P1870" t="s">
        <v>4181</v>
      </c>
    </row>
    <row r="1871" spans="1:16" x14ac:dyDescent="0.35">
      <c r="A1871" t="s">
        <v>2832</v>
      </c>
      <c r="B1871" t="s">
        <v>2833</v>
      </c>
      <c r="C1871" t="s">
        <v>4178</v>
      </c>
      <c r="D1871" t="s">
        <v>36</v>
      </c>
      <c r="E1871" t="s">
        <v>4178</v>
      </c>
      <c r="F1871" s="1">
        <v>46087</v>
      </c>
      <c r="G1871">
        <v>2020</v>
      </c>
      <c r="H1871" t="s">
        <v>107</v>
      </c>
      <c r="I1871" t="s">
        <v>136</v>
      </c>
      <c r="J1871" t="s">
        <v>72</v>
      </c>
      <c r="K1871">
        <v>8.6</v>
      </c>
      <c r="L1871">
        <v>771385</v>
      </c>
      <c r="M1871">
        <v>4223118</v>
      </c>
      <c r="N1871">
        <v>58</v>
      </c>
      <c r="O1871" t="s">
        <v>104</v>
      </c>
      <c r="P1871" t="s">
        <v>4178</v>
      </c>
    </row>
    <row r="1872" spans="1:16" x14ac:dyDescent="0.35">
      <c r="A1872" t="s">
        <v>3331</v>
      </c>
      <c r="B1872" t="s">
        <v>3332</v>
      </c>
      <c r="C1872" t="s">
        <v>4178</v>
      </c>
      <c r="D1872" t="s">
        <v>156</v>
      </c>
      <c r="E1872" t="s">
        <v>80</v>
      </c>
      <c r="F1872" s="1">
        <v>46089</v>
      </c>
      <c r="G1872">
        <v>2020</v>
      </c>
      <c r="H1872" t="s">
        <v>121</v>
      </c>
      <c r="I1872" t="s">
        <v>118</v>
      </c>
      <c r="J1872" t="s">
        <v>23</v>
      </c>
      <c r="K1872">
        <v>9.4</v>
      </c>
      <c r="L1872">
        <v>7260353</v>
      </c>
      <c r="M1872">
        <v>28063</v>
      </c>
      <c r="N1872">
        <v>85</v>
      </c>
      <c r="O1872" t="s">
        <v>24</v>
      </c>
      <c r="P1872" t="s">
        <v>32</v>
      </c>
    </row>
    <row r="1873" spans="1:16" x14ac:dyDescent="0.35">
      <c r="A1873" t="s">
        <v>3616</v>
      </c>
      <c r="B1873" t="s">
        <v>3617</v>
      </c>
      <c r="C1873" t="s">
        <v>53</v>
      </c>
      <c r="D1873" t="s">
        <v>94</v>
      </c>
      <c r="E1873" t="s">
        <v>4178</v>
      </c>
      <c r="F1873" s="1">
        <v>46091</v>
      </c>
      <c r="G1873">
        <v>2009</v>
      </c>
      <c r="H1873" t="s">
        <v>46</v>
      </c>
      <c r="I1873" t="s">
        <v>95</v>
      </c>
      <c r="J1873" t="s">
        <v>57</v>
      </c>
      <c r="K1873">
        <v>8.1</v>
      </c>
      <c r="L1873">
        <v>10139924</v>
      </c>
      <c r="M1873">
        <v>1184298</v>
      </c>
      <c r="N1873">
        <v>98</v>
      </c>
      <c r="O1873" t="s">
        <v>58</v>
      </c>
      <c r="P1873" t="s">
        <v>32</v>
      </c>
    </row>
    <row r="1874" spans="1:16" x14ac:dyDescent="0.35">
      <c r="A1874" t="s">
        <v>1207</v>
      </c>
      <c r="B1874" t="s">
        <v>1208</v>
      </c>
      <c r="C1874" t="s">
        <v>84</v>
      </c>
      <c r="D1874" t="s">
        <v>19</v>
      </c>
      <c r="E1874" t="s">
        <v>99</v>
      </c>
      <c r="F1874" s="1">
        <v>46093</v>
      </c>
      <c r="G1874">
        <v>2017</v>
      </c>
      <c r="H1874" t="s">
        <v>107</v>
      </c>
      <c r="I1874" t="s">
        <v>4208</v>
      </c>
      <c r="J1874" t="s">
        <v>103</v>
      </c>
      <c r="K1874">
        <v>8</v>
      </c>
      <c r="L1874">
        <v>20349939</v>
      </c>
      <c r="M1874">
        <v>2946127</v>
      </c>
      <c r="N1874">
        <v>84</v>
      </c>
      <c r="O1874" t="s">
        <v>31</v>
      </c>
      <c r="P1874" t="s">
        <v>4181</v>
      </c>
    </row>
    <row r="1875" spans="1:16" x14ac:dyDescent="0.35">
      <c r="A1875" t="s">
        <v>1082</v>
      </c>
      <c r="B1875" t="s">
        <v>1083</v>
      </c>
      <c r="C1875" t="s">
        <v>84</v>
      </c>
      <c r="D1875" t="s">
        <v>4178</v>
      </c>
      <c r="E1875" t="s">
        <v>4178</v>
      </c>
      <c r="F1875" s="1">
        <v>46096</v>
      </c>
      <c r="G1875">
        <v>2011</v>
      </c>
      <c r="H1875" t="s">
        <v>107</v>
      </c>
      <c r="I1875" t="s">
        <v>4203</v>
      </c>
      <c r="J1875" t="s">
        <v>153</v>
      </c>
      <c r="K1875">
        <v>7.8</v>
      </c>
      <c r="L1875">
        <v>5963288</v>
      </c>
      <c r="M1875">
        <v>1999894</v>
      </c>
      <c r="N1875">
        <v>64</v>
      </c>
      <c r="O1875" t="s">
        <v>4178</v>
      </c>
      <c r="P1875" t="s">
        <v>4178</v>
      </c>
    </row>
    <row r="1876" spans="1:16" x14ac:dyDescent="0.35">
      <c r="A1876" t="s">
        <v>1628</v>
      </c>
      <c r="B1876" t="s">
        <v>1629</v>
      </c>
      <c r="C1876" t="s">
        <v>84</v>
      </c>
      <c r="D1876" t="s">
        <v>90</v>
      </c>
      <c r="E1876" t="s">
        <v>4196</v>
      </c>
      <c r="F1876" s="1">
        <v>46101</v>
      </c>
      <c r="G1876">
        <v>2008</v>
      </c>
      <c r="H1876" t="s">
        <v>85</v>
      </c>
      <c r="I1876" t="s">
        <v>4183</v>
      </c>
      <c r="J1876" t="s">
        <v>48</v>
      </c>
      <c r="K1876">
        <v>5.8</v>
      </c>
      <c r="L1876">
        <v>13934158</v>
      </c>
      <c r="M1876">
        <v>4181393</v>
      </c>
      <c r="N1876">
        <v>99</v>
      </c>
      <c r="O1876" t="s">
        <v>65</v>
      </c>
      <c r="P1876" t="s">
        <v>4181</v>
      </c>
    </row>
    <row r="1877" spans="1:16" x14ac:dyDescent="0.35">
      <c r="A1877" t="s">
        <v>437</v>
      </c>
      <c r="B1877" t="s">
        <v>438</v>
      </c>
      <c r="C1877" t="s">
        <v>53</v>
      </c>
      <c r="D1877" t="s">
        <v>4178</v>
      </c>
      <c r="E1877" t="s">
        <v>55</v>
      </c>
      <c r="F1877" s="1">
        <v>46109</v>
      </c>
      <c r="G1877">
        <v>2008</v>
      </c>
      <c r="H1877" t="s">
        <v>107</v>
      </c>
      <c r="I1877" t="s">
        <v>95</v>
      </c>
      <c r="J1877" t="s">
        <v>23</v>
      </c>
      <c r="K1877">
        <v>8</v>
      </c>
      <c r="L1877">
        <v>20841685</v>
      </c>
      <c r="M1877">
        <v>283299</v>
      </c>
      <c r="N1877">
        <v>43</v>
      </c>
      <c r="O1877" t="s">
        <v>58</v>
      </c>
      <c r="P1877" t="s">
        <v>4178</v>
      </c>
    </row>
    <row r="1878" spans="1:16" x14ac:dyDescent="0.35">
      <c r="A1878" t="s">
        <v>3547</v>
      </c>
      <c r="B1878" t="s">
        <v>3548</v>
      </c>
      <c r="C1878" t="s">
        <v>53</v>
      </c>
      <c r="D1878" t="s">
        <v>36</v>
      </c>
      <c r="E1878" t="s">
        <v>4196</v>
      </c>
      <c r="F1878" s="1">
        <v>46114</v>
      </c>
      <c r="G1878">
        <v>2008</v>
      </c>
      <c r="H1878" t="s">
        <v>21</v>
      </c>
      <c r="I1878" t="s">
        <v>64</v>
      </c>
      <c r="J1878" t="s">
        <v>103</v>
      </c>
      <c r="K1878">
        <v>7.1</v>
      </c>
      <c r="L1878">
        <v>5738509</v>
      </c>
      <c r="M1878">
        <v>1222073</v>
      </c>
      <c r="N1878">
        <v>78</v>
      </c>
      <c r="O1878" t="s">
        <v>91</v>
      </c>
      <c r="P1878" t="s">
        <v>50</v>
      </c>
    </row>
    <row r="1879" spans="1:16" x14ac:dyDescent="0.35">
      <c r="A1879" t="s">
        <v>2834</v>
      </c>
      <c r="B1879" t="s">
        <v>2835</v>
      </c>
      <c r="C1879" t="s">
        <v>53</v>
      </c>
      <c r="D1879" t="s">
        <v>61</v>
      </c>
      <c r="E1879" t="s">
        <v>131</v>
      </c>
      <c r="F1879" s="1">
        <v>46115</v>
      </c>
      <c r="G1879">
        <v>2017</v>
      </c>
      <c r="H1879" t="s">
        <v>121</v>
      </c>
      <c r="I1879" t="s">
        <v>4178</v>
      </c>
      <c r="J1879" t="s">
        <v>133</v>
      </c>
      <c r="K1879">
        <v>9.1</v>
      </c>
      <c r="L1879">
        <v>6977181</v>
      </c>
      <c r="M1879">
        <v>2729971</v>
      </c>
      <c r="N1879">
        <v>88</v>
      </c>
      <c r="O1879" t="s">
        <v>65</v>
      </c>
      <c r="P1879" t="s">
        <v>50</v>
      </c>
    </row>
    <row r="1880" spans="1:16" x14ac:dyDescent="0.35">
      <c r="A1880" t="s">
        <v>3667</v>
      </c>
      <c r="B1880" t="s">
        <v>3668</v>
      </c>
      <c r="C1880" t="s">
        <v>84</v>
      </c>
      <c r="D1880" t="s">
        <v>36</v>
      </c>
      <c r="E1880" t="s">
        <v>69</v>
      </c>
      <c r="F1880" s="1">
        <v>46120</v>
      </c>
      <c r="G1880">
        <v>2017</v>
      </c>
      <c r="H1880" t="s">
        <v>114</v>
      </c>
      <c r="I1880" t="s">
        <v>4269</v>
      </c>
      <c r="J1880" t="s">
        <v>40</v>
      </c>
      <c r="K1880">
        <v>9.4</v>
      </c>
      <c r="L1880">
        <v>16110593</v>
      </c>
      <c r="M1880">
        <v>2706616</v>
      </c>
      <c r="N1880">
        <v>98</v>
      </c>
      <c r="O1880" t="s">
        <v>24</v>
      </c>
      <c r="P1880" t="s">
        <v>4178</v>
      </c>
    </row>
    <row r="1881" spans="1:16" x14ac:dyDescent="0.35">
      <c r="A1881" t="s">
        <v>1209</v>
      </c>
      <c r="B1881" t="s">
        <v>1210</v>
      </c>
      <c r="C1881" t="s">
        <v>53</v>
      </c>
      <c r="D1881" t="s">
        <v>94</v>
      </c>
      <c r="E1881" t="s">
        <v>69</v>
      </c>
      <c r="F1881" s="1">
        <v>46122</v>
      </c>
      <c r="G1881">
        <v>2019</v>
      </c>
      <c r="H1881" t="s">
        <v>114</v>
      </c>
      <c r="I1881" t="s">
        <v>56</v>
      </c>
      <c r="J1881" t="s">
        <v>4178</v>
      </c>
      <c r="K1881">
        <v>7.8</v>
      </c>
      <c r="L1881">
        <v>8892738</v>
      </c>
      <c r="M1881">
        <v>1166034</v>
      </c>
      <c r="N1881">
        <v>63</v>
      </c>
      <c r="O1881" t="s">
        <v>31</v>
      </c>
      <c r="P1881" t="s">
        <v>50</v>
      </c>
    </row>
    <row r="1882" spans="1:16" x14ac:dyDescent="0.35">
      <c r="A1882" t="s">
        <v>1436</v>
      </c>
      <c r="B1882" t="s">
        <v>1437</v>
      </c>
      <c r="C1882" t="s">
        <v>84</v>
      </c>
      <c r="D1882" t="s">
        <v>156</v>
      </c>
      <c r="E1882" t="s">
        <v>99</v>
      </c>
      <c r="F1882" s="1">
        <v>46122</v>
      </c>
      <c r="G1882">
        <v>2024</v>
      </c>
      <c r="H1882" t="s">
        <v>21</v>
      </c>
      <c r="I1882" t="s">
        <v>4267</v>
      </c>
      <c r="J1882" t="s">
        <v>103</v>
      </c>
      <c r="K1882">
        <v>5.4</v>
      </c>
      <c r="L1882">
        <v>21096039</v>
      </c>
      <c r="M1882">
        <v>1842064</v>
      </c>
      <c r="N1882">
        <v>79</v>
      </c>
      <c r="O1882" t="s">
        <v>31</v>
      </c>
      <c r="P1882" t="s">
        <v>4181</v>
      </c>
    </row>
    <row r="1883" spans="1:16" x14ac:dyDescent="0.35">
      <c r="A1883" t="s">
        <v>676</v>
      </c>
      <c r="B1883" t="s">
        <v>677</v>
      </c>
      <c r="C1883" t="s">
        <v>84</v>
      </c>
      <c r="D1883" t="s">
        <v>68</v>
      </c>
      <c r="E1883" t="s">
        <v>20</v>
      </c>
      <c r="F1883" s="1">
        <v>46124</v>
      </c>
      <c r="G1883">
        <v>2000</v>
      </c>
      <c r="H1883" t="s">
        <v>21</v>
      </c>
      <c r="I1883" t="s">
        <v>4254</v>
      </c>
      <c r="J1883" t="s">
        <v>30</v>
      </c>
      <c r="K1883">
        <v>7.3</v>
      </c>
      <c r="L1883">
        <v>21094946</v>
      </c>
      <c r="M1883">
        <v>3741243</v>
      </c>
      <c r="N1883">
        <v>73</v>
      </c>
      <c r="O1883" t="s">
        <v>49</v>
      </c>
      <c r="P1883" t="s">
        <v>4181</v>
      </c>
    </row>
    <row r="1884" spans="1:16" x14ac:dyDescent="0.35">
      <c r="A1884" t="s">
        <v>3920</v>
      </c>
      <c r="B1884" t="s">
        <v>3921</v>
      </c>
      <c r="C1884" t="s">
        <v>84</v>
      </c>
      <c r="D1884" t="s">
        <v>156</v>
      </c>
      <c r="E1884" t="s">
        <v>131</v>
      </c>
      <c r="F1884" s="1">
        <v>46126</v>
      </c>
      <c r="G1884">
        <v>2011</v>
      </c>
      <c r="H1884" t="s">
        <v>21</v>
      </c>
      <c r="I1884" t="s">
        <v>4178</v>
      </c>
      <c r="J1884" t="s">
        <v>133</v>
      </c>
      <c r="K1884">
        <v>5</v>
      </c>
      <c r="L1884">
        <v>4197704</v>
      </c>
      <c r="M1884">
        <v>4086878</v>
      </c>
      <c r="N1884">
        <v>90</v>
      </c>
      <c r="O1884" t="s">
        <v>4178</v>
      </c>
      <c r="P1884" t="s">
        <v>87</v>
      </c>
    </row>
    <row r="1885" spans="1:16" x14ac:dyDescent="0.35">
      <c r="A1885" t="s">
        <v>2186</v>
      </c>
      <c r="B1885" t="s">
        <v>2187</v>
      </c>
      <c r="C1885" t="s">
        <v>53</v>
      </c>
      <c r="D1885" t="s">
        <v>19</v>
      </c>
      <c r="E1885" t="s">
        <v>62</v>
      </c>
      <c r="F1885" s="1">
        <v>46127</v>
      </c>
      <c r="G1885">
        <v>2023</v>
      </c>
      <c r="H1885" t="s">
        <v>21</v>
      </c>
      <c r="I1885" t="s">
        <v>71</v>
      </c>
      <c r="J1885" t="s">
        <v>72</v>
      </c>
      <c r="K1885">
        <v>5.3</v>
      </c>
      <c r="L1885">
        <v>10288857</v>
      </c>
      <c r="M1885">
        <v>2861915</v>
      </c>
      <c r="N1885">
        <v>67</v>
      </c>
      <c r="O1885" t="s">
        <v>58</v>
      </c>
      <c r="P1885" t="s">
        <v>32</v>
      </c>
    </row>
    <row r="1886" spans="1:16" x14ac:dyDescent="0.35">
      <c r="A1886" t="s">
        <v>1240</v>
      </c>
      <c r="B1886" t="s">
        <v>1241</v>
      </c>
      <c r="C1886" t="s">
        <v>84</v>
      </c>
      <c r="D1886" t="s">
        <v>75</v>
      </c>
      <c r="E1886" t="s">
        <v>131</v>
      </c>
      <c r="F1886" s="1">
        <v>46128</v>
      </c>
      <c r="G1886">
        <v>2021</v>
      </c>
      <c r="H1886" t="s">
        <v>46</v>
      </c>
      <c r="I1886" t="s">
        <v>4305</v>
      </c>
      <c r="J1886" t="s">
        <v>153</v>
      </c>
      <c r="K1886">
        <v>7.8</v>
      </c>
      <c r="L1886">
        <v>20868099</v>
      </c>
      <c r="M1886">
        <v>2874201</v>
      </c>
      <c r="N1886">
        <v>48</v>
      </c>
      <c r="O1886" t="s">
        <v>4178</v>
      </c>
      <c r="P1886" t="s">
        <v>32</v>
      </c>
    </row>
    <row r="1887" spans="1:16" x14ac:dyDescent="0.35">
      <c r="A1887" t="s">
        <v>1665</v>
      </c>
      <c r="B1887" t="s">
        <v>1666</v>
      </c>
      <c r="C1887" t="s">
        <v>84</v>
      </c>
      <c r="D1887" t="s">
        <v>61</v>
      </c>
      <c r="E1887" t="s">
        <v>4178</v>
      </c>
      <c r="F1887" s="1">
        <v>46129</v>
      </c>
      <c r="G1887">
        <v>2032</v>
      </c>
      <c r="H1887" t="s">
        <v>107</v>
      </c>
      <c r="I1887" t="s">
        <v>4205</v>
      </c>
      <c r="J1887" t="s">
        <v>48</v>
      </c>
      <c r="K1887">
        <v>8.1</v>
      </c>
      <c r="L1887">
        <v>10922027</v>
      </c>
      <c r="M1887">
        <v>364321</v>
      </c>
      <c r="N1887">
        <v>57</v>
      </c>
      <c r="O1887" t="s">
        <v>31</v>
      </c>
      <c r="P1887" t="s">
        <v>4178</v>
      </c>
    </row>
    <row r="1888" spans="1:16" x14ac:dyDescent="0.35">
      <c r="A1888" t="s">
        <v>1226</v>
      </c>
      <c r="B1888" t="s">
        <v>1227</v>
      </c>
      <c r="C1888" t="s">
        <v>84</v>
      </c>
      <c r="D1888" t="s">
        <v>36</v>
      </c>
      <c r="E1888" t="s">
        <v>99</v>
      </c>
      <c r="F1888" s="1">
        <v>46133</v>
      </c>
      <c r="G1888">
        <v>2020</v>
      </c>
      <c r="H1888" t="s">
        <v>4178</v>
      </c>
      <c r="I1888" t="s">
        <v>4205</v>
      </c>
      <c r="J1888" t="s">
        <v>57</v>
      </c>
      <c r="K1888">
        <v>5.2</v>
      </c>
      <c r="L1888">
        <v>11546451</v>
      </c>
      <c r="M1888">
        <v>1114370</v>
      </c>
      <c r="N1888">
        <v>82</v>
      </c>
      <c r="O1888" t="s">
        <v>123</v>
      </c>
      <c r="P1888" t="s">
        <v>4181</v>
      </c>
    </row>
    <row r="1889" spans="1:16" x14ac:dyDescent="0.35">
      <c r="A1889" t="s">
        <v>1816</v>
      </c>
      <c r="B1889" t="s">
        <v>1817</v>
      </c>
      <c r="C1889" t="s">
        <v>84</v>
      </c>
      <c r="D1889" t="s">
        <v>75</v>
      </c>
      <c r="E1889" t="s">
        <v>4178</v>
      </c>
      <c r="F1889" s="1">
        <v>46134</v>
      </c>
      <c r="G1889">
        <v>2019</v>
      </c>
      <c r="H1889" t="s">
        <v>63</v>
      </c>
      <c r="I1889" t="s">
        <v>4227</v>
      </c>
      <c r="J1889" t="s">
        <v>133</v>
      </c>
      <c r="K1889">
        <v>5.6</v>
      </c>
      <c r="L1889">
        <v>9798931</v>
      </c>
      <c r="M1889">
        <v>1692905</v>
      </c>
      <c r="N1889">
        <v>87</v>
      </c>
      <c r="O1889" t="s">
        <v>24</v>
      </c>
      <c r="P1889" t="s">
        <v>50</v>
      </c>
    </row>
    <row r="1890" spans="1:16" x14ac:dyDescent="0.35">
      <c r="A1890" t="s">
        <v>2314</v>
      </c>
      <c r="B1890" t="s">
        <v>2315</v>
      </c>
      <c r="C1890" t="s">
        <v>53</v>
      </c>
      <c r="D1890" t="s">
        <v>19</v>
      </c>
      <c r="E1890" t="s">
        <v>4178</v>
      </c>
      <c r="F1890" s="1">
        <v>46134</v>
      </c>
      <c r="G1890">
        <v>2023</v>
      </c>
      <c r="H1890" t="s">
        <v>107</v>
      </c>
      <c r="I1890" t="s">
        <v>64</v>
      </c>
      <c r="J1890" t="s">
        <v>30</v>
      </c>
      <c r="K1890">
        <v>6.4</v>
      </c>
      <c r="L1890">
        <v>16590514</v>
      </c>
      <c r="M1890">
        <v>2713451</v>
      </c>
      <c r="N1890">
        <v>83</v>
      </c>
      <c r="O1890" t="s">
        <v>104</v>
      </c>
      <c r="P1890" t="s">
        <v>32</v>
      </c>
    </row>
    <row r="1891" spans="1:16" x14ac:dyDescent="0.35">
      <c r="A1891" t="s">
        <v>1994</v>
      </c>
      <c r="B1891" t="s">
        <v>1995</v>
      </c>
      <c r="C1891" t="s">
        <v>84</v>
      </c>
      <c r="D1891" t="s">
        <v>36</v>
      </c>
      <c r="E1891" t="s">
        <v>4178</v>
      </c>
      <c r="F1891" s="1">
        <v>46137</v>
      </c>
      <c r="G1891">
        <v>2021</v>
      </c>
      <c r="H1891" t="s">
        <v>4178</v>
      </c>
      <c r="I1891" t="s">
        <v>4248</v>
      </c>
      <c r="J1891" t="s">
        <v>72</v>
      </c>
      <c r="K1891">
        <v>7</v>
      </c>
      <c r="L1891">
        <v>2372016</v>
      </c>
      <c r="M1891">
        <v>2321832</v>
      </c>
      <c r="N1891">
        <v>45</v>
      </c>
      <c r="O1891" t="s">
        <v>58</v>
      </c>
      <c r="P1891" t="s">
        <v>4178</v>
      </c>
    </row>
    <row r="1892" spans="1:16" x14ac:dyDescent="0.35">
      <c r="A1892" t="s">
        <v>619</v>
      </c>
      <c r="B1892" t="s">
        <v>620</v>
      </c>
      <c r="C1892" t="s">
        <v>84</v>
      </c>
      <c r="D1892" t="s">
        <v>68</v>
      </c>
      <c r="E1892" t="s">
        <v>20</v>
      </c>
      <c r="F1892" s="1">
        <v>46138</v>
      </c>
      <c r="G1892">
        <v>2013</v>
      </c>
      <c r="H1892" t="s">
        <v>107</v>
      </c>
      <c r="I1892" t="s">
        <v>4202</v>
      </c>
      <c r="J1892" t="s">
        <v>4178</v>
      </c>
      <c r="K1892">
        <v>7.1</v>
      </c>
      <c r="L1892">
        <v>15828477</v>
      </c>
      <c r="M1892">
        <v>4350581</v>
      </c>
      <c r="N1892">
        <v>77</v>
      </c>
      <c r="O1892" t="s">
        <v>65</v>
      </c>
      <c r="P1892" t="s">
        <v>4181</v>
      </c>
    </row>
    <row r="1893" spans="1:16" x14ac:dyDescent="0.35">
      <c r="A1893" t="s">
        <v>1585</v>
      </c>
      <c r="B1893" t="s">
        <v>1584</v>
      </c>
      <c r="C1893" t="s">
        <v>53</v>
      </c>
      <c r="D1893" t="s">
        <v>156</v>
      </c>
      <c r="E1893" t="s">
        <v>99</v>
      </c>
      <c r="F1893" s="1">
        <v>46138</v>
      </c>
      <c r="G1893">
        <v>2020</v>
      </c>
      <c r="H1893" t="s">
        <v>46</v>
      </c>
      <c r="I1893" t="s">
        <v>39</v>
      </c>
      <c r="J1893" t="s">
        <v>48</v>
      </c>
      <c r="K1893">
        <v>8.1999999999999993</v>
      </c>
      <c r="L1893">
        <v>-299</v>
      </c>
      <c r="M1893">
        <v>3850179</v>
      </c>
      <c r="N1893">
        <v>52</v>
      </c>
      <c r="O1893" t="s">
        <v>49</v>
      </c>
      <c r="P1893" t="s">
        <v>4181</v>
      </c>
    </row>
    <row r="1894" spans="1:16" x14ac:dyDescent="0.35">
      <c r="A1894" t="s">
        <v>3514</v>
      </c>
      <c r="B1894" t="s">
        <v>3515</v>
      </c>
      <c r="C1894" t="s">
        <v>84</v>
      </c>
      <c r="D1894" t="s">
        <v>4178</v>
      </c>
      <c r="E1894" t="s">
        <v>20</v>
      </c>
      <c r="F1894" s="1">
        <v>46142</v>
      </c>
      <c r="G1894">
        <v>2020</v>
      </c>
      <c r="H1894" t="s">
        <v>121</v>
      </c>
      <c r="I1894" t="s">
        <v>4262</v>
      </c>
      <c r="J1894" t="s">
        <v>23</v>
      </c>
      <c r="K1894">
        <v>7.1</v>
      </c>
      <c r="L1894">
        <v>18982633</v>
      </c>
      <c r="M1894">
        <v>1901269</v>
      </c>
      <c r="N1894">
        <v>51</v>
      </c>
      <c r="O1894" t="s">
        <v>41</v>
      </c>
      <c r="P1894" t="s">
        <v>4178</v>
      </c>
    </row>
    <row r="1895" spans="1:16" x14ac:dyDescent="0.35">
      <c r="A1895" t="s">
        <v>967</v>
      </c>
      <c r="B1895" t="s">
        <v>968</v>
      </c>
      <c r="C1895" t="s">
        <v>84</v>
      </c>
      <c r="D1895" t="s">
        <v>27</v>
      </c>
      <c r="E1895" t="s">
        <v>80</v>
      </c>
      <c r="F1895" s="1">
        <v>46143</v>
      </c>
      <c r="G1895">
        <v>2032</v>
      </c>
      <c r="H1895" t="s">
        <v>114</v>
      </c>
      <c r="I1895" t="s">
        <v>4272</v>
      </c>
      <c r="J1895" t="s">
        <v>23</v>
      </c>
      <c r="K1895">
        <v>7.7</v>
      </c>
      <c r="L1895">
        <v>22159232</v>
      </c>
      <c r="M1895">
        <v>3658169</v>
      </c>
      <c r="N1895">
        <v>40</v>
      </c>
      <c r="O1895" t="s">
        <v>58</v>
      </c>
      <c r="P1895" t="s">
        <v>32</v>
      </c>
    </row>
    <row r="1896" spans="1:16" x14ac:dyDescent="0.35">
      <c r="A1896" t="s">
        <v>757</v>
      </c>
      <c r="B1896" t="s">
        <v>758</v>
      </c>
      <c r="C1896" t="s">
        <v>4178</v>
      </c>
      <c r="D1896" t="s">
        <v>90</v>
      </c>
      <c r="E1896" t="s">
        <v>113</v>
      </c>
      <c r="F1896" s="1">
        <v>46144</v>
      </c>
      <c r="G1896">
        <v>2032</v>
      </c>
      <c r="H1896" t="s">
        <v>114</v>
      </c>
      <c r="I1896" t="s">
        <v>162</v>
      </c>
      <c r="J1896" t="s">
        <v>153</v>
      </c>
      <c r="K1896">
        <v>6.3</v>
      </c>
      <c r="L1896">
        <v>-97</v>
      </c>
      <c r="M1896">
        <v>466224</v>
      </c>
      <c r="N1896">
        <v>94</v>
      </c>
      <c r="O1896" t="s">
        <v>49</v>
      </c>
      <c r="P1896" t="s">
        <v>32</v>
      </c>
    </row>
    <row r="1897" spans="1:16" x14ac:dyDescent="0.35">
      <c r="A1897" t="s">
        <v>1273</v>
      </c>
      <c r="B1897" t="s">
        <v>1274</v>
      </c>
      <c r="C1897" t="s">
        <v>53</v>
      </c>
      <c r="D1897" t="s">
        <v>75</v>
      </c>
      <c r="E1897" t="s">
        <v>45</v>
      </c>
      <c r="F1897" s="1">
        <v>46145</v>
      </c>
      <c r="G1897">
        <v>2000</v>
      </c>
      <c r="H1897" t="s">
        <v>38</v>
      </c>
      <c r="I1897" t="s">
        <v>118</v>
      </c>
      <c r="J1897" t="s">
        <v>153</v>
      </c>
      <c r="K1897">
        <v>5.2</v>
      </c>
      <c r="L1897">
        <v>2788484</v>
      </c>
      <c r="M1897">
        <v>701541</v>
      </c>
      <c r="N1897">
        <v>40</v>
      </c>
      <c r="O1897" t="s">
        <v>123</v>
      </c>
      <c r="P1897" t="s">
        <v>4178</v>
      </c>
    </row>
    <row r="1898" spans="1:16" x14ac:dyDescent="0.35">
      <c r="A1898" t="s">
        <v>2750</v>
      </c>
      <c r="B1898" t="s">
        <v>2751</v>
      </c>
      <c r="C1898" t="s">
        <v>84</v>
      </c>
      <c r="D1898" t="s">
        <v>36</v>
      </c>
      <c r="E1898" t="s">
        <v>113</v>
      </c>
      <c r="F1898" s="1">
        <v>46146</v>
      </c>
      <c r="G1898">
        <v>2025</v>
      </c>
      <c r="H1898" t="s">
        <v>21</v>
      </c>
      <c r="I1898" t="s">
        <v>4191</v>
      </c>
      <c r="J1898" t="s">
        <v>57</v>
      </c>
      <c r="K1898">
        <v>6.6</v>
      </c>
      <c r="L1898">
        <v>1771250</v>
      </c>
      <c r="M1898">
        <v>252608</v>
      </c>
      <c r="N1898">
        <v>57</v>
      </c>
      <c r="O1898" t="s">
        <v>31</v>
      </c>
      <c r="P1898" t="s">
        <v>87</v>
      </c>
    </row>
    <row r="1899" spans="1:16" x14ac:dyDescent="0.35">
      <c r="A1899" t="s">
        <v>495</v>
      </c>
      <c r="B1899" t="s">
        <v>496</v>
      </c>
      <c r="C1899" t="s">
        <v>53</v>
      </c>
      <c r="D1899" t="s">
        <v>54</v>
      </c>
      <c r="E1899" t="s">
        <v>45</v>
      </c>
      <c r="F1899" s="1">
        <v>46156</v>
      </c>
      <c r="G1899">
        <v>2019</v>
      </c>
      <c r="H1899" t="s">
        <v>81</v>
      </c>
      <c r="I1899" t="s">
        <v>118</v>
      </c>
      <c r="J1899" t="s">
        <v>96</v>
      </c>
      <c r="K1899">
        <v>4.5</v>
      </c>
      <c r="L1899">
        <v>3490989</v>
      </c>
      <c r="M1899">
        <v>2063536</v>
      </c>
      <c r="N1899">
        <v>91</v>
      </c>
      <c r="O1899" t="s">
        <v>123</v>
      </c>
      <c r="P1899" t="s">
        <v>50</v>
      </c>
    </row>
    <row r="1900" spans="1:16" x14ac:dyDescent="0.35">
      <c r="A1900" t="s">
        <v>1360</v>
      </c>
      <c r="B1900" t="s">
        <v>4310</v>
      </c>
      <c r="C1900" t="s">
        <v>84</v>
      </c>
      <c r="D1900" t="s">
        <v>54</v>
      </c>
      <c r="E1900" t="s">
        <v>113</v>
      </c>
      <c r="F1900" s="1">
        <v>46156</v>
      </c>
      <c r="G1900">
        <v>2009</v>
      </c>
      <c r="H1900" t="s">
        <v>121</v>
      </c>
      <c r="I1900" t="s">
        <v>4311</v>
      </c>
      <c r="J1900" t="s">
        <v>133</v>
      </c>
      <c r="K1900">
        <v>7.6</v>
      </c>
      <c r="L1900">
        <v>19250022</v>
      </c>
      <c r="M1900">
        <v>4903150</v>
      </c>
      <c r="N1900">
        <v>73</v>
      </c>
      <c r="O1900" t="s">
        <v>24</v>
      </c>
      <c r="P1900" t="s">
        <v>4178</v>
      </c>
    </row>
    <row r="1901" spans="1:16" x14ac:dyDescent="0.35">
      <c r="A1901" t="s">
        <v>666</v>
      </c>
      <c r="B1901" t="s">
        <v>667</v>
      </c>
      <c r="C1901" t="s">
        <v>4178</v>
      </c>
      <c r="D1901" t="s">
        <v>4178</v>
      </c>
      <c r="E1901" t="s">
        <v>4178</v>
      </c>
      <c r="F1901" s="1">
        <v>46157</v>
      </c>
      <c r="G1901">
        <v>2001</v>
      </c>
      <c r="H1901" t="s">
        <v>46</v>
      </c>
      <c r="I1901" t="s">
        <v>95</v>
      </c>
      <c r="J1901" t="s">
        <v>133</v>
      </c>
      <c r="K1901">
        <v>7.2</v>
      </c>
      <c r="L1901">
        <v>22477900</v>
      </c>
      <c r="M1901">
        <v>1758190</v>
      </c>
      <c r="N1901">
        <v>82</v>
      </c>
      <c r="O1901" t="s">
        <v>49</v>
      </c>
      <c r="P1901" t="s">
        <v>87</v>
      </c>
    </row>
    <row r="1902" spans="1:16" x14ac:dyDescent="0.35">
      <c r="A1902" t="s">
        <v>2501</v>
      </c>
      <c r="B1902" t="s">
        <v>2502</v>
      </c>
      <c r="C1902" t="s">
        <v>4178</v>
      </c>
      <c r="D1902" t="s">
        <v>75</v>
      </c>
      <c r="E1902" t="s">
        <v>4178</v>
      </c>
      <c r="F1902" s="1">
        <v>46158</v>
      </c>
      <c r="G1902">
        <v>2025</v>
      </c>
      <c r="H1902" t="s">
        <v>114</v>
      </c>
      <c r="I1902" t="s">
        <v>95</v>
      </c>
      <c r="J1902" t="s">
        <v>72</v>
      </c>
      <c r="K1902">
        <v>6.2</v>
      </c>
      <c r="L1902">
        <v>1441084</v>
      </c>
      <c r="M1902">
        <v>3441452</v>
      </c>
      <c r="N1902">
        <v>88</v>
      </c>
      <c r="O1902" t="s">
        <v>65</v>
      </c>
      <c r="P1902" t="s">
        <v>50</v>
      </c>
    </row>
    <row r="1903" spans="1:16" x14ac:dyDescent="0.35">
      <c r="A1903" t="s">
        <v>16</v>
      </c>
      <c r="B1903" t="s">
        <v>17</v>
      </c>
      <c r="C1903" t="s">
        <v>84</v>
      </c>
      <c r="D1903" t="s">
        <v>19</v>
      </c>
      <c r="E1903" t="s">
        <v>20</v>
      </c>
      <c r="F1903" s="1">
        <v>46161</v>
      </c>
      <c r="G1903">
        <v>2002</v>
      </c>
      <c r="H1903" t="s">
        <v>21</v>
      </c>
      <c r="I1903" t="s">
        <v>4177</v>
      </c>
      <c r="J1903" t="s">
        <v>23</v>
      </c>
      <c r="K1903">
        <v>6.7</v>
      </c>
      <c r="L1903">
        <v>4164104</v>
      </c>
      <c r="M1903">
        <v>1873664</v>
      </c>
      <c r="N1903">
        <v>77</v>
      </c>
      <c r="O1903" t="s">
        <v>24</v>
      </c>
      <c r="P1903" t="s">
        <v>4178</v>
      </c>
    </row>
    <row r="1904" spans="1:16" x14ac:dyDescent="0.35">
      <c r="A1904" t="s">
        <v>3157</v>
      </c>
      <c r="B1904" t="s">
        <v>3158</v>
      </c>
      <c r="C1904" t="s">
        <v>53</v>
      </c>
      <c r="D1904" t="s">
        <v>36</v>
      </c>
      <c r="E1904" t="s">
        <v>80</v>
      </c>
      <c r="F1904" s="1">
        <v>46164</v>
      </c>
      <c r="G1904">
        <v>2003</v>
      </c>
      <c r="H1904" t="s">
        <v>85</v>
      </c>
      <c r="I1904" t="s">
        <v>64</v>
      </c>
      <c r="J1904" t="s">
        <v>40</v>
      </c>
      <c r="K1904">
        <v>7.7</v>
      </c>
      <c r="L1904">
        <v>1076171</v>
      </c>
      <c r="M1904">
        <v>4344222</v>
      </c>
      <c r="N1904">
        <v>96</v>
      </c>
      <c r="O1904" t="s">
        <v>65</v>
      </c>
      <c r="P1904" t="s">
        <v>4178</v>
      </c>
    </row>
    <row r="1905" spans="1:16" x14ac:dyDescent="0.35">
      <c r="A1905" t="s">
        <v>3874</v>
      </c>
      <c r="B1905" t="s">
        <v>4395</v>
      </c>
      <c r="C1905" t="s">
        <v>84</v>
      </c>
      <c r="D1905" t="s">
        <v>4178</v>
      </c>
      <c r="E1905" t="s">
        <v>62</v>
      </c>
      <c r="F1905" s="1">
        <v>46164</v>
      </c>
      <c r="G1905">
        <v>2003</v>
      </c>
      <c r="H1905" t="s">
        <v>107</v>
      </c>
      <c r="I1905" t="s">
        <v>4195</v>
      </c>
      <c r="J1905" t="s">
        <v>40</v>
      </c>
      <c r="K1905">
        <v>5.7</v>
      </c>
      <c r="L1905">
        <v>23228704</v>
      </c>
      <c r="M1905">
        <v>3330564</v>
      </c>
      <c r="N1905">
        <v>89</v>
      </c>
      <c r="O1905" t="s">
        <v>31</v>
      </c>
      <c r="P1905" t="s">
        <v>4181</v>
      </c>
    </row>
    <row r="1906" spans="1:16" x14ac:dyDescent="0.35">
      <c r="A1906" t="s">
        <v>2740</v>
      </c>
      <c r="B1906" t="s">
        <v>2741</v>
      </c>
      <c r="C1906" t="s">
        <v>53</v>
      </c>
      <c r="D1906" t="s">
        <v>4178</v>
      </c>
      <c r="E1906" t="s">
        <v>55</v>
      </c>
      <c r="F1906" s="1">
        <v>46168</v>
      </c>
      <c r="G1906">
        <v>2000</v>
      </c>
      <c r="H1906" t="s">
        <v>81</v>
      </c>
      <c r="I1906" t="s">
        <v>56</v>
      </c>
      <c r="J1906" t="s">
        <v>133</v>
      </c>
      <c r="K1906">
        <v>9.1999999999999993</v>
      </c>
      <c r="L1906">
        <v>24390440</v>
      </c>
      <c r="M1906">
        <v>2466549</v>
      </c>
      <c r="N1906">
        <v>68</v>
      </c>
      <c r="O1906" t="s">
        <v>49</v>
      </c>
      <c r="P1906" t="s">
        <v>87</v>
      </c>
    </row>
    <row r="1907" spans="1:16" x14ac:dyDescent="0.35">
      <c r="A1907" t="s">
        <v>2659</v>
      </c>
      <c r="B1907" t="s">
        <v>2660</v>
      </c>
      <c r="C1907" t="s">
        <v>84</v>
      </c>
      <c r="D1907" t="s">
        <v>75</v>
      </c>
      <c r="E1907" t="s">
        <v>80</v>
      </c>
      <c r="F1907" s="1">
        <v>46169</v>
      </c>
      <c r="G1907">
        <v>2016</v>
      </c>
      <c r="H1907" t="s">
        <v>114</v>
      </c>
      <c r="I1907" t="s">
        <v>4287</v>
      </c>
      <c r="J1907" t="s">
        <v>4178</v>
      </c>
      <c r="K1907">
        <v>5.8</v>
      </c>
      <c r="L1907">
        <v>15504781</v>
      </c>
      <c r="M1907">
        <v>1714462</v>
      </c>
      <c r="N1907">
        <v>61</v>
      </c>
      <c r="O1907" t="s">
        <v>58</v>
      </c>
      <c r="P1907" t="s">
        <v>87</v>
      </c>
    </row>
    <row r="1908" spans="1:16" x14ac:dyDescent="0.35">
      <c r="A1908" t="s">
        <v>3003</v>
      </c>
      <c r="B1908" t="s">
        <v>3004</v>
      </c>
      <c r="C1908" t="s">
        <v>53</v>
      </c>
      <c r="D1908" t="s">
        <v>4178</v>
      </c>
      <c r="E1908" t="s">
        <v>99</v>
      </c>
      <c r="F1908" s="1">
        <v>46174</v>
      </c>
      <c r="G1908">
        <v>2002</v>
      </c>
      <c r="H1908" t="s">
        <v>38</v>
      </c>
      <c r="I1908" t="s">
        <v>136</v>
      </c>
      <c r="J1908" t="s">
        <v>48</v>
      </c>
      <c r="K1908">
        <v>5.9</v>
      </c>
      <c r="L1908">
        <v>12098789</v>
      </c>
      <c r="M1908">
        <v>1436185</v>
      </c>
      <c r="N1908">
        <v>56</v>
      </c>
      <c r="O1908" t="s">
        <v>41</v>
      </c>
      <c r="P1908" t="s">
        <v>87</v>
      </c>
    </row>
    <row r="1909" spans="1:16" x14ac:dyDescent="0.35">
      <c r="A1909" t="s">
        <v>1624</v>
      </c>
      <c r="B1909" t="s">
        <v>1625</v>
      </c>
      <c r="C1909" t="s">
        <v>4178</v>
      </c>
      <c r="D1909" t="s">
        <v>4178</v>
      </c>
      <c r="E1909" t="s">
        <v>131</v>
      </c>
      <c r="F1909" s="1">
        <v>46175</v>
      </c>
      <c r="G1909">
        <v>2021</v>
      </c>
      <c r="H1909" t="s">
        <v>63</v>
      </c>
      <c r="I1909" t="s">
        <v>64</v>
      </c>
      <c r="J1909" t="s">
        <v>153</v>
      </c>
      <c r="K1909">
        <v>4.7</v>
      </c>
      <c r="L1909">
        <v>23281047</v>
      </c>
      <c r="M1909">
        <v>1506545</v>
      </c>
      <c r="N1909">
        <v>51</v>
      </c>
      <c r="O1909" t="s">
        <v>58</v>
      </c>
      <c r="P1909" t="s">
        <v>32</v>
      </c>
    </row>
    <row r="1910" spans="1:16" x14ac:dyDescent="0.35">
      <c r="A1910" t="s">
        <v>2467</v>
      </c>
      <c r="B1910" t="s">
        <v>2468</v>
      </c>
      <c r="C1910" t="s">
        <v>84</v>
      </c>
      <c r="D1910" t="s">
        <v>4178</v>
      </c>
      <c r="E1910" t="s">
        <v>4178</v>
      </c>
      <c r="F1910" s="1">
        <v>46175</v>
      </c>
      <c r="G1910">
        <v>2004</v>
      </c>
      <c r="H1910" t="s">
        <v>4178</v>
      </c>
      <c r="I1910" t="s">
        <v>4264</v>
      </c>
      <c r="J1910" t="s">
        <v>133</v>
      </c>
      <c r="K1910">
        <v>11.2</v>
      </c>
      <c r="L1910">
        <v>5112335</v>
      </c>
      <c r="M1910">
        <v>1284554</v>
      </c>
      <c r="N1910">
        <v>93</v>
      </c>
      <c r="O1910" t="s">
        <v>58</v>
      </c>
      <c r="P1910" t="s">
        <v>87</v>
      </c>
    </row>
    <row r="1911" spans="1:16" x14ac:dyDescent="0.35">
      <c r="A1911" t="s">
        <v>2756</v>
      </c>
      <c r="B1911" t="s">
        <v>2757</v>
      </c>
      <c r="C1911" t="s">
        <v>84</v>
      </c>
      <c r="D1911" t="s">
        <v>4178</v>
      </c>
      <c r="E1911" t="s">
        <v>4196</v>
      </c>
      <c r="F1911" s="1">
        <v>46176</v>
      </c>
      <c r="G1911">
        <v>2008</v>
      </c>
      <c r="H1911" t="s">
        <v>4178</v>
      </c>
      <c r="I1911" t="s">
        <v>4216</v>
      </c>
      <c r="J1911" t="s">
        <v>153</v>
      </c>
      <c r="K1911">
        <v>8.6</v>
      </c>
      <c r="L1911">
        <v>15687259</v>
      </c>
      <c r="M1911">
        <v>4335957</v>
      </c>
      <c r="N1911">
        <v>84</v>
      </c>
      <c r="O1911" t="s">
        <v>41</v>
      </c>
      <c r="P1911" t="s">
        <v>4181</v>
      </c>
    </row>
    <row r="1912" spans="1:16" x14ac:dyDescent="0.35">
      <c r="A1912" t="s">
        <v>854</v>
      </c>
      <c r="B1912" t="s">
        <v>855</v>
      </c>
      <c r="C1912" t="s">
        <v>53</v>
      </c>
      <c r="D1912" t="s">
        <v>90</v>
      </c>
      <c r="E1912" t="s">
        <v>69</v>
      </c>
      <c r="F1912" s="1">
        <v>46180</v>
      </c>
      <c r="G1912">
        <v>2004</v>
      </c>
      <c r="H1912" t="s">
        <v>38</v>
      </c>
      <c r="I1912" t="s">
        <v>64</v>
      </c>
      <c r="J1912" t="s">
        <v>72</v>
      </c>
      <c r="K1912">
        <v>9.6</v>
      </c>
      <c r="L1912">
        <v>7453260</v>
      </c>
      <c r="M1912">
        <v>2863951</v>
      </c>
      <c r="N1912">
        <v>120</v>
      </c>
      <c r="O1912" t="s">
        <v>123</v>
      </c>
      <c r="P1912" t="s">
        <v>50</v>
      </c>
    </row>
    <row r="1913" spans="1:16" x14ac:dyDescent="0.35">
      <c r="A1913" t="s">
        <v>2085</v>
      </c>
      <c r="B1913" t="s">
        <v>2086</v>
      </c>
      <c r="C1913" t="s">
        <v>4178</v>
      </c>
      <c r="D1913" t="s">
        <v>90</v>
      </c>
      <c r="E1913" t="s">
        <v>45</v>
      </c>
      <c r="F1913" s="1">
        <v>46180</v>
      </c>
      <c r="G1913">
        <v>2012</v>
      </c>
      <c r="H1913" t="s">
        <v>85</v>
      </c>
      <c r="I1913" t="s">
        <v>162</v>
      </c>
      <c r="J1913" t="s">
        <v>96</v>
      </c>
      <c r="K1913">
        <v>9.4</v>
      </c>
      <c r="L1913">
        <v>8260540</v>
      </c>
      <c r="M1913">
        <v>1786507</v>
      </c>
      <c r="N1913">
        <v>120</v>
      </c>
      <c r="O1913" t="s">
        <v>49</v>
      </c>
      <c r="P1913" t="s">
        <v>4178</v>
      </c>
    </row>
    <row r="1914" spans="1:16" x14ac:dyDescent="0.35">
      <c r="A1914" t="s">
        <v>3299</v>
      </c>
      <c r="B1914" t="s">
        <v>3300</v>
      </c>
      <c r="C1914" t="s">
        <v>53</v>
      </c>
      <c r="D1914" t="s">
        <v>4178</v>
      </c>
      <c r="E1914" t="s">
        <v>4178</v>
      </c>
      <c r="F1914" s="1">
        <v>46180</v>
      </c>
      <c r="G1914">
        <v>2002</v>
      </c>
      <c r="H1914" t="s">
        <v>4178</v>
      </c>
      <c r="I1914" t="s">
        <v>95</v>
      </c>
      <c r="J1914" t="s">
        <v>72</v>
      </c>
      <c r="K1914">
        <v>8.5</v>
      </c>
      <c r="L1914">
        <v>24225372</v>
      </c>
      <c r="M1914">
        <v>595015</v>
      </c>
      <c r="N1914">
        <v>45</v>
      </c>
      <c r="O1914" t="s">
        <v>41</v>
      </c>
      <c r="P1914" t="s">
        <v>4181</v>
      </c>
    </row>
    <row r="1915" spans="1:16" x14ac:dyDescent="0.35">
      <c r="A1915" t="s">
        <v>1717</v>
      </c>
      <c r="B1915" t="s">
        <v>1718</v>
      </c>
      <c r="C1915" t="s">
        <v>84</v>
      </c>
      <c r="D1915" t="s">
        <v>27</v>
      </c>
      <c r="E1915" t="s">
        <v>37</v>
      </c>
      <c r="F1915" s="1">
        <v>46182</v>
      </c>
      <c r="G1915">
        <v>2010</v>
      </c>
      <c r="H1915" t="s">
        <v>38</v>
      </c>
      <c r="I1915" t="s">
        <v>4206</v>
      </c>
      <c r="J1915" t="s">
        <v>48</v>
      </c>
      <c r="K1915">
        <v>7.8</v>
      </c>
      <c r="L1915">
        <v>22196241</v>
      </c>
      <c r="M1915">
        <v>268759</v>
      </c>
      <c r="N1915">
        <v>86</v>
      </c>
      <c r="O1915" t="s">
        <v>4178</v>
      </c>
      <c r="P1915" t="s">
        <v>4181</v>
      </c>
    </row>
    <row r="1916" spans="1:16" x14ac:dyDescent="0.35">
      <c r="A1916" t="s">
        <v>205</v>
      </c>
      <c r="B1916" t="s">
        <v>206</v>
      </c>
      <c r="C1916" t="s">
        <v>53</v>
      </c>
      <c r="D1916" t="s">
        <v>75</v>
      </c>
      <c r="E1916" t="s">
        <v>4178</v>
      </c>
      <c r="F1916" s="1">
        <v>46184</v>
      </c>
      <c r="G1916">
        <v>2001</v>
      </c>
      <c r="H1916" t="s">
        <v>4178</v>
      </c>
      <c r="I1916" t="s">
        <v>39</v>
      </c>
      <c r="J1916" t="s">
        <v>133</v>
      </c>
      <c r="K1916">
        <v>8.3000000000000007</v>
      </c>
      <c r="L1916">
        <v>16918885</v>
      </c>
      <c r="M1916">
        <v>3170741</v>
      </c>
      <c r="N1916">
        <v>90</v>
      </c>
      <c r="O1916" t="s">
        <v>91</v>
      </c>
      <c r="P1916" t="s">
        <v>87</v>
      </c>
    </row>
    <row r="1917" spans="1:16" x14ac:dyDescent="0.35">
      <c r="A1917" t="s">
        <v>990</v>
      </c>
      <c r="B1917" t="s">
        <v>991</v>
      </c>
      <c r="C1917" t="s">
        <v>53</v>
      </c>
      <c r="D1917" t="s">
        <v>156</v>
      </c>
      <c r="E1917" t="s">
        <v>80</v>
      </c>
      <c r="F1917" s="1">
        <v>46184</v>
      </c>
      <c r="G1917">
        <v>2018</v>
      </c>
      <c r="H1917" t="s">
        <v>121</v>
      </c>
      <c r="I1917" t="s">
        <v>162</v>
      </c>
      <c r="J1917" t="s">
        <v>96</v>
      </c>
      <c r="K1917">
        <v>9.1999999999999993</v>
      </c>
      <c r="L1917">
        <v>133283</v>
      </c>
      <c r="M1917">
        <v>2256575</v>
      </c>
      <c r="N1917">
        <v>88</v>
      </c>
      <c r="O1917" t="s">
        <v>24</v>
      </c>
      <c r="P1917" t="s">
        <v>87</v>
      </c>
    </row>
    <row r="1918" spans="1:16" x14ac:dyDescent="0.35">
      <c r="A1918" t="s">
        <v>1221</v>
      </c>
      <c r="B1918" t="s">
        <v>4302</v>
      </c>
      <c r="C1918" t="s">
        <v>53</v>
      </c>
      <c r="D1918" t="s">
        <v>27</v>
      </c>
      <c r="E1918" t="s">
        <v>55</v>
      </c>
      <c r="F1918" s="1">
        <v>46187</v>
      </c>
      <c r="G1918">
        <v>2001</v>
      </c>
      <c r="H1918" t="s">
        <v>63</v>
      </c>
      <c r="I1918" t="s">
        <v>118</v>
      </c>
      <c r="J1918" t="s">
        <v>30</v>
      </c>
      <c r="K1918">
        <v>7.8</v>
      </c>
      <c r="L1918">
        <v>5352461</v>
      </c>
      <c r="M1918">
        <v>2805990</v>
      </c>
      <c r="N1918">
        <v>59</v>
      </c>
      <c r="O1918" t="s">
        <v>123</v>
      </c>
      <c r="P1918" t="s">
        <v>32</v>
      </c>
    </row>
    <row r="1919" spans="1:16" x14ac:dyDescent="0.35">
      <c r="A1919" t="s">
        <v>2800</v>
      </c>
      <c r="B1919" t="s">
        <v>2801</v>
      </c>
      <c r="C1919" t="s">
        <v>84</v>
      </c>
      <c r="D1919" t="s">
        <v>4178</v>
      </c>
      <c r="E1919" t="s">
        <v>55</v>
      </c>
      <c r="F1919" s="1">
        <v>46188</v>
      </c>
      <c r="G1919">
        <v>2012</v>
      </c>
      <c r="H1919" t="s">
        <v>85</v>
      </c>
      <c r="I1919" t="s">
        <v>4242</v>
      </c>
      <c r="J1919" t="s">
        <v>23</v>
      </c>
      <c r="K1919">
        <v>9.8000000000000007</v>
      </c>
      <c r="L1919">
        <v>9110211</v>
      </c>
      <c r="M1919">
        <v>694379</v>
      </c>
      <c r="N1919">
        <v>120</v>
      </c>
      <c r="O1919" t="s">
        <v>49</v>
      </c>
      <c r="P1919" t="s">
        <v>87</v>
      </c>
    </row>
    <row r="1920" spans="1:16" x14ac:dyDescent="0.35">
      <c r="A1920" t="s">
        <v>2545</v>
      </c>
      <c r="B1920" t="s">
        <v>4359</v>
      </c>
      <c r="C1920" t="s">
        <v>53</v>
      </c>
      <c r="D1920" t="s">
        <v>61</v>
      </c>
      <c r="E1920" t="s">
        <v>62</v>
      </c>
      <c r="F1920" s="1">
        <v>46194</v>
      </c>
      <c r="G1920">
        <v>2024</v>
      </c>
      <c r="H1920" t="s">
        <v>85</v>
      </c>
      <c r="I1920" t="s">
        <v>118</v>
      </c>
      <c r="J1920" t="s">
        <v>4178</v>
      </c>
      <c r="K1920">
        <v>11.2</v>
      </c>
      <c r="L1920">
        <v>-695</v>
      </c>
      <c r="M1920">
        <v>7178</v>
      </c>
      <c r="N1920">
        <v>49</v>
      </c>
      <c r="O1920" t="s">
        <v>49</v>
      </c>
      <c r="P1920" t="s">
        <v>87</v>
      </c>
    </row>
    <row r="1921" spans="1:16" x14ac:dyDescent="0.35">
      <c r="A1921" t="s">
        <v>105</v>
      </c>
      <c r="B1921" t="s">
        <v>4187</v>
      </c>
      <c r="C1921" t="s">
        <v>84</v>
      </c>
      <c r="D1921" t="s">
        <v>19</v>
      </c>
      <c r="E1921" t="s">
        <v>20</v>
      </c>
      <c r="F1921" s="1">
        <v>46200</v>
      </c>
      <c r="G1921">
        <v>2008</v>
      </c>
      <c r="H1921" t="s">
        <v>107</v>
      </c>
      <c r="I1921" t="s">
        <v>4188</v>
      </c>
      <c r="J1921" t="s">
        <v>4178</v>
      </c>
      <c r="K1921">
        <v>9.5</v>
      </c>
      <c r="L1921">
        <v>8720471</v>
      </c>
      <c r="M1921">
        <v>4694541</v>
      </c>
      <c r="N1921">
        <v>52</v>
      </c>
      <c r="O1921" t="s">
        <v>49</v>
      </c>
      <c r="P1921" t="s">
        <v>4181</v>
      </c>
    </row>
    <row r="1922" spans="1:16" x14ac:dyDescent="0.35">
      <c r="A1922" t="s">
        <v>909</v>
      </c>
      <c r="B1922" t="s">
        <v>910</v>
      </c>
      <c r="C1922" t="s">
        <v>4178</v>
      </c>
      <c r="D1922" t="s">
        <v>68</v>
      </c>
      <c r="E1922" t="s">
        <v>4196</v>
      </c>
      <c r="F1922" s="1">
        <v>46200</v>
      </c>
      <c r="G1922">
        <v>2014</v>
      </c>
      <c r="H1922" t="s">
        <v>63</v>
      </c>
      <c r="I1922" t="s">
        <v>95</v>
      </c>
      <c r="J1922" t="s">
        <v>96</v>
      </c>
      <c r="K1922">
        <v>8.6999999999999993</v>
      </c>
      <c r="L1922">
        <v>9583546</v>
      </c>
      <c r="M1922">
        <v>433518</v>
      </c>
      <c r="N1922">
        <v>69</v>
      </c>
      <c r="O1922" t="s">
        <v>104</v>
      </c>
      <c r="P1922" t="s">
        <v>4181</v>
      </c>
    </row>
    <row r="1923" spans="1:16" x14ac:dyDescent="0.35">
      <c r="A1923" t="s">
        <v>2208</v>
      </c>
      <c r="B1923" t="s">
        <v>2209</v>
      </c>
      <c r="C1923" t="s">
        <v>4178</v>
      </c>
      <c r="D1923" t="s">
        <v>156</v>
      </c>
      <c r="E1923" t="s">
        <v>62</v>
      </c>
      <c r="F1923" s="1">
        <v>46201</v>
      </c>
      <c r="G1923">
        <v>2020</v>
      </c>
      <c r="H1923" t="s">
        <v>107</v>
      </c>
      <c r="I1923" t="s">
        <v>56</v>
      </c>
      <c r="J1923" t="s">
        <v>103</v>
      </c>
      <c r="K1923">
        <v>8.9</v>
      </c>
      <c r="L1923">
        <v>1841509</v>
      </c>
      <c r="M1923">
        <v>3944045</v>
      </c>
      <c r="N1923">
        <v>66</v>
      </c>
      <c r="O1923" t="s">
        <v>91</v>
      </c>
      <c r="P1923" t="s">
        <v>50</v>
      </c>
    </row>
    <row r="1924" spans="1:16" x14ac:dyDescent="0.35">
      <c r="A1924" t="s">
        <v>3133</v>
      </c>
      <c r="B1924" t="s">
        <v>3134</v>
      </c>
      <c r="C1924" t="s">
        <v>4178</v>
      </c>
      <c r="D1924" t="s">
        <v>61</v>
      </c>
      <c r="E1924" t="s">
        <v>4178</v>
      </c>
      <c r="F1924" s="1">
        <v>46201</v>
      </c>
      <c r="G1924">
        <v>2009</v>
      </c>
      <c r="H1924" t="s">
        <v>38</v>
      </c>
      <c r="I1924" t="s">
        <v>136</v>
      </c>
      <c r="J1924" t="s">
        <v>72</v>
      </c>
      <c r="K1924">
        <v>8.6</v>
      </c>
      <c r="L1924">
        <v>16560207</v>
      </c>
      <c r="M1924">
        <v>2250371</v>
      </c>
      <c r="N1924">
        <v>63</v>
      </c>
      <c r="O1924" t="s">
        <v>31</v>
      </c>
      <c r="P1924" t="s">
        <v>4181</v>
      </c>
    </row>
    <row r="1925" spans="1:16" x14ac:dyDescent="0.35">
      <c r="A1925" t="s">
        <v>499</v>
      </c>
      <c r="B1925" t="s">
        <v>500</v>
      </c>
      <c r="C1925" t="s">
        <v>4178</v>
      </c>
      <c r="D1925" t="s">
        <v>156</v>
      </c>
      <c r="E1925" t="s">
        <v>113</v>
      </c>
      <c r="F1925" s="1">
        <v>46203</v>
      </c>
      <c r="G1925">
        <v>2023</v>
      </c>
      <c r="H1925" t="s">
        <v>107</v>
      </c>
      <c r="I1925" t="s">
        <v>56</v>
      </c>
      <c r="J1925" t="s">
        <v>72</v>
      </c>
      <c r="K1925">
        <v>7.1</v>
      </c>
      <c r="L1925">
        <v>-960</v>
      </c>
      <c r="M1925">
        <v>2278138</v>
      </c>
      <c r="N1925">
        <v>77</v>
      </c>
      <c r="O1925" t="s">
        <v>4178</v>
      </c>
      <c r="P1925" t="s">
        <v>4178</v>
      </c>
    </row>
    <row r="1926" spans="1:16" x14ac:dyDescent="0.35">
      <c r="A1926" t="s">
        <v>1555</v>
      </c>
      <c r="B1926" t="s">
        <v>1556</v>
      </c>
      <c r="C1926" t="s">
        <v>53</v>
      </c>
      <c r="D1926" t="s">
        <v>90</v>
      </c>
      <c r="E1926" t="s">
        <v>20</v>
      </c>
      <c r="F1926" s="1">
        <v>46204</v>
      </c>
      <c r="G1926">
        <v>2020</v>
      </c>
      <c r="H1926" t="s">
        <v>85</v>
      </c>
      <c r="I1926" t="s">
        <v>136</v>
      </c>
      <c r="J1926" t="s">
        <v>48</v>
      </c>
      <c r="K1926">
        <v>9.1</v>
      </c>
      <c r="L1926">
        <v>11375483</v>
      </c>
      <c r="M1926">
        <v>1741106</v>
      </c>
      <c r="N1926">
        <v>58</v>
      </c>
      <c r="O1926" t="s">
        <v>123</v>
      </c>
      <c r="P1926" t="s">
        <v>4178</v>
      </c>
    </row>
    <row r="1927" spans="1:16" x14ac:dyDescent="0.35">
      <c r="A1927" t="s">
        <v>119</v>
      </c>
      <c r="B1927" t="s">
        <v>120</v>
      </c>
      <c r="C1927" t="s">
        <v>84</v>
      </c>
      <c r="D1927" t="s">
        <v>75</v>
      </c>
      <c r="E1927" t="s">
        <v>62</v>
      </c>
      <c r="F1927" s="1"/>
      <c r="G1927">
        <v>2013</v>
      </c>
      <c r="H1927" t="s">
        <v>121</v>
      </c>
      <c r="I1927" t="s">
        <v>4190</v>
      </c>
      <c r="J1927" t="s">
        <v>72</v>
      </c>
      <c r="K1927">
        <v>5.8</v>
      </c>
      <c r="L1927">
        <v>5427332</v>
      </c>
      <c r="M1927">
        <v>2197936</v>
      </c>
      <c r="N1927">
        <v>52</v>
      </c>
      <c r="O1927" t="s">
        <v>123</v>
      </c>
      <c r="P1927" t="s">
        <v>50</v>
      </c>
    </row>
    <row r="1928" spans="1:16" x14ac:dyDescent="0.35">
      <c r="A1928" t="s">
        <v>124</v>
      </c>
      <c r="B1928" t="s">
        <v>125</v>
      </c>
      <c r="C1928" t="s">
        <v>53</v>
      </c>
      <c r="D1928" t="s">
        <v>19</v>
      </c>
      <c r="E1928" t="s">
        <v>4178</v>
      </c>
      <c r="F1928" s="1"/>
      <c r="G1928">
        <v>2000</v>
      </c>
      <c r="H1928" t="s">
        <v>114</v>
      </c>
      <c r="I1928" t="s">
        <v>118</v>
      </c>
      <c r="J1928" t="s">
        <v>103</v>
      </c>
      <c r="K1928">
        <v>7.2</v>
      </c>
      <c r="L1928">
        <v>15010695</v>
      </c>
      <c r="M1928">
        <v>892552</v>
      </c>
      <c r="N1928">
        <v>81</v>
      </c>
      <c r="O1928" t="s">
        <v>58</v>
      </c>
      <c r="P1928" t="s">
        <v>32</v>
      </c>
    </row>
    <row r="1929" spans="1:16" x14ac:dyDescent="0.35">
      <c r="A1929" t="s">
        <v>166</v>
      </c>
      <c r="B1929" t="s">
        <v>167</v>
      </c>
      <c r="C1929" t="s">
        <v>53</v>
      </c>
      <c r="D1929" t="s">
        <v>156</v>
      </c>
      <c r="E1929" t="s">
        <v>37</v>
      </c>
      <c r="F1929" s="1"/>
      <c r="G1929">
        <v>2020</v>
      </c>
      <c r="H1929" t="s">
        <v>121</v>
      </c>
      <c r="I1929" t="s">
        <v>64</v>
      </c>
      <c r="J1929" t="s">
        <v>23</v>
      </c>
      <c r="K1929">
        <v>8.1</v>
      </c>
      <c r="L1929">
        <v>8642083</v>
      </c>
      <c r="M1929">
        <v>1912264</v>
      </c>
      <c r="N1929">
        <v>99</v>
      </c>
      <c r="O1929" t="s">
        <v>41</v>
      </c>
      <c r="P1929" t="s">
        <v>4181</v>
      </c>
    </row>
    <row r="1930" spans="1:16" x14ac:dyDescent="0.35">
      <c r="A1930" t="s">
        <v>168</v>
      </c>
      <c r="B1930" t="s">
        <v>169</v>
      </c>
      <c r="C1930" t="s">
        <v>84</v>
      </c>
      <c r="D1930" t="s">
        <v>90</v>
      </c>
      <c r="E1930" t="s">
        <v>37</v>
      </c>
      <c r="F1930" s="1"/>
      <c r="G1930">
        <v>2016</v>
      </c>
      <c r="H1930" t="s">
        <v>46</v>
      </c>
      <c r="I1930" t="s">
        <v>4197</v>
      </c>
      <c r="J1930" t="s">
        <v>23</v>
      </c>
      <c r="K1930">
        <v>8.8000000000000007</v>
      </c>
      <c r="L1930">
        <v>7440387</v>
      </c>
      <c r="M1930">
        <v>2224165</v>
      </c>
      <c r="N1930">
        <v>58</v>
      </c>
      <c r="O1930" t="s">
        <v>104</v>
      </c>
      <c r="P1930" t="s">
        <v>4178</v>
      </c>
    </row>
    <row r="1931" spans="1:16" x14ac:dyDescent="0.35">
      <c r="A1931" t="s">
        <v>209</v>
      </c>
      <c r="B1931" t="s">
        <v>210</v>
      </c>
      <c r="C1931" t="s">
        <v>84</v>
      </c>
      <c r="D1931" t="s">
        <v>19</v>
      </c>
      <c r="E1931" t="s">
        <v>45</v>
      </c>
      <c r="F1931" s="1"/>
      <c r="G1931">
        <v>2005</v>
      </c>
      <c r="H1931" t="s">
        <v>4178</v>
      </c>
      <c r="I1931" t="s">
        <v>4206</v>
      </c>
      <c r="J1931" t="s">
        <v>72</v>
      </c>
      <c r="K1931">
        <v>6.5</v>
      </c>
      <c r="L1931">
        <v>8879807</v>
      </c>
      <c r="M1931">
        <v>966350</v>
      </c>
      <c r="N1931">
        <v>43</v>
      </c>
      <c r="O1931" t="s">
        <v>41</v>
      </c>
      <c r="P1931" t="s">
        <v>32</v>
      </c>
    </row>
    <row r="1932" spans="1:16" x14ac:dyDescent="0.35">
      <c r="A1932" t="s">
        <v>239</v>
      </c>
      <c r="B1932" t="s">
        <v>240</v>
      </c>
      <c r="C1932" t="s">
        <v>4178</v>
      </c>
      <c r="D1932" t="s">
        <v>90</v>
      </c>
      <c r="E1932" t="s">
        <v>4196</v>
      </c>
      <c r="F1932" s="1"/>
      <c r="G1932">
        <v>2008</v>
      </c>
      <c r="H1932" t="s">
        <v>21</v>
      </c>
      <c r="I1932" t="s">
        <v>56</v>
      </c>
      <c r="J1932" t="s">
        <v>103</v>
      </c>
      <c r="K1932">
        <v>9.6999999999999993</v>
      </c>
      <c r="L1932">
        <v>15475506</v>
      </c>
      <c r="M1932">
        <v>1065350</v>
      </c>
      <c r="N1932">
        <v>88</v>
      </c>
      <c r="O1932" t="s">
        <v>4178</v>
      </c>
      <c r="P1932" t="s">
        <v>87</v>
      </c>
    </row>
    <row r="1933" spans="1:16" x14ac:dyDescent="0.35">
      <c r="A1933" t="s">
        <v>288</v>
      </c>
      <c r="B1933" t="s">
        <v>289</v>
      </c>
      <c r="C1933" t="s">
        <v>53</v>
      </c>
      <c r="D1933" t="s">
        <v>94</v>
      </c>
      <c r="E1933" t="s">
        <v>4178</v>
      </c>
      <c r="F1933" s="1"/>
      <c r="G1933">
        <v>2017</v>
      </c>
      <c r="H1933" t="s">
        <v>46</v>
      </c>
      <c r="I1933" t="s">
        <v>118</v>
      </c>
      <c r="J1933" t="s">
        <v>40</v>
      </c>
      <c r="K1933">
        <v>5.7</v>
      </c>
      <c r="L1933">
        <v>8718768</v>
      </c>
      <c r="M1933">
        <v>4378666</v>
      </c>
      <c r="N1933">
        <v>72</v>
      </c>
      <c r="O1933" t="s">
        <v>4178</v>
      </c>
      <c r="P1933" t="s">
        <v>4181</v>
      </c>
    </row>
    <row r="1934" spans="1:16" x14ac:dyDescent="0.35">
      <c r="A1934" t="s">
        <v>376</v>
      </c>
      <c r="B1934" t="s">
        <v>377</v>
      </c>
      <c r="C1934" t="s">
        <v>53</v>
      </c>
      <c r="D1934" t="s">
        <v>156</v>
      </c>
      <c r="E1934" t="s">
        <v>45</v>
      </c>
      <c r="F1934" s="1"/>
      <c r="G1934">
        <v>2020</v>
      </c>
      <c r="H1934" t="s">
        <v>121</v>
      </c>
      <c r="I1934" t="s">
        <v>64</v>
      </c>
      <c r="J1934" t="s">
        <v>133</v>
      </c>
      <c r="K1934">
        <v>5.8</v>
      </c>
      <c r="L1934">
        <v>4662404</v>
      </c>
      <c r="M1934">
        <v>233100</v>
      </c>
      <c r="N1934">
        <v>120</v>
      </c>
      <c r="O1934" t="s">
        <v>58</v>
      </c>
      <c r="P1934" t="s">
        <v>4181</v>
      </c>
    </row>
    <row r="1935" spans="1:16" x14ac:dyDescent="0.35">
      <c r="A1935" t="s">
        <v>424</v>
      </c>
      <c r="B1935" t="s">
        <v>425</v>
      </c>
      <c r="C1935" t="s">
        <v>84</v>
      </c>
      <c r="D1935" t="s">
        <v>4178</v>
      </c>
      <c r="E1935" t="s">
        <v>80</v>
      </c>
      <c r="F1935" s="1"/>
      <c r="G1935">
        <v>2012</v>
      </c>
      <c r="H1935" t="s">
        <v>4178</v>
      </c>
      <c r="I1935" t="s">
        <v>4193</v>
      </c>
      <c r="J1935" t="s">
        <v>72</v>
      </c>
      <c r="K1935">
        <v>6.5</v>
      </c>
      <c r="L1935">
        <v>12611929</v>
      </c>
      <c r="M1935">
        <v>1880742</v>
      </c>
      <c r="N1935">
        <v>41</v>
      </c>
      <c r="O1935" t="s">
        <v>123</v>
      </c>
      <c r="P1935" t="s">
        <v>32</v>
      </c>
    </row>
    <row r="1936" spans="1:16" x14ac:dyDescent="0.35">
      <c r="A1936" t="s">
        <v>432</v>
      </c>
      <c r="B1936" t="s">
        <v>433</v>
      </c>
      <c r="C1936" t="s">
        <v>53</v>
      </c>
      <c r="D1936" t="s">
        <v>156</v>
      </c>
      <c r="E1936" t="s">
        <v>113</v>
      </c>
      <c r="F1936" s="1"/>
      <c r="G1936">
        <v>2017</v>
      </c>
      <c r="H1936" t="s">
        <v>63</v>
      </c>
      <c r="I1936" t="s">
        <v>95</v>
      </c>
      <c r="J1936" t="s">
        <v>103</v>
      </c>
      <c r="K1936">
        <v>5.0999999999999996</v>
      </c>
      <c r="L1936">
        <v>16661941</v>
      </c>
      <c r="M1936">
        <v>649670</v>
      </c>
      <c r="N1936">
        <v>53</v>
      </c>
      <c r="O1936" t="s">
        <v>31</v>
      </c>
      <c r="P1936" t="s">
        <v>87</v>
      </c>
    </row>
    <row r="1937" spans="1:16" x14ac:dyDescent="0.35">
      <c r="A1937" t="s">
        <v>536</v>
      </c>
      <c r="B1937" t="s">
        <v>537</v>
      </c>
      <c r="C1937" t="s">
        <v>53</v>
      </c>
      <c r="D1937" t="s">
        <v>75</v>
      </c>
      <c r="E1937" t="s">
        <v>4178</v>
      </c>
      <c r="F1937" s="1"/>
      <c r="G1937">
        <v>2002</v>
      </c>
      <c r="H1937" t="s">
        <v>38</v>
      </c>
      <c r="I1937" t="s">
        <v>71</v>
      </c>
      <c r="J1937" t="s">
        <v>30</v>
      </c>
      <c r="K1937">
        <v>8.6999999999999993</v>
      </c>
      <c r="L1937">
        <v>1829910</v>
      </c>
      <c r="M1937">
        <v>4576739</v>
      </c>
      <c r="N1937">
        <v>69</v>
      </c>
      <c r="O1937" t="s">
        <v>58</v>
      </c>
      <c r="P1937" t="s">
        <v>87</v>
      </c>
    </row>
    <row r="1938" spans="1:16" x14ac:dyDescent="0.35">
      <c r="A1938" t="s">
        <v>628</v>
      </c>
      <c r="B1938" t="s">
        <v>629</v>
      </c>
      <c r="C1938" t="s">
        <v>53</v>
      </c>
      <c r="D1938" t="s">
        <v>4178</v>
      </c>
      <c r="E1938" t="s">
        <v>113</v>
      </c>
      <c r="F1938" s="1"/>
      <c r="G1938">
        <v>2001</v>
      </c>
      <c r="H1938" t="s">
        <v>63</v>
      </c>
      <c r="I1938" t="s">
        <v>95</v>
      </c>
      <c r="J1938" t="s">
        <v>23</v>
      </c>
      <c r="K1938">
        <v>6.8</v>
      </c>
      <c r="L1938">
        <v>24173797</v>
      </c>
      <c r="M1938">
        <v>899512</v>
      </c>
      <c r="N1938">
        <v>75</v>
      </c>
      <c r="O1938" t="s">
        <v>65</v>
      </c>
      <c r="P1938" t="s">
        <v>87</v>
      </c>
    </row>
    <row r="1939" spans="1:16" x14ac:dyDescent="0.35">
      <c r="A1939" t="s">
        <v>697</v>
      </c>
      <c r="B1939" t="s">
        <v>698</v>
      </c>
      <c r="C1939" t="s">
        <v>53</v>
      </c>
      <c r="D1939" t="s">
        <v>4178</v>
      </c>
      <c r="E1939" t="s">
        <v>55</v>
      </c>
      <c r="F1939" s="1"/>
      <c r="G1939">
        <v>2010</v>
      </c>
      <c r="H1939" t="s">
        <v>4178</v>
      </c>
      <c r="I1939" t="s">
        <v>39</v>
      </c>
      <c r="J1939" t="s">
        <v>72</v>
      </c>
      <c r="K1939">
        <v>7</v>
      </c>
      <c r="L1939">
        <v>5814634</v>
      </c>
      <c r="M1939">
        <v>566980</v>
      </c>
      <c r="N1939">
        <v>84</v>
      </c>
      <c r="O1939" t="s">
        <v>91</v>
      </c>
      <c r="P1939" t="s">
        <v>50</v>
      </c>
    </row>
    <row r="1940" spans="1:16" x14ac:dyDescent="0.35">
      <c r="A1940" t="s">
        <v>815</v>
      </c>
      <c r="B1940" t="s">
        <v>816</v>
      </c>
      <c r="C1940" t="s">
        <v>84</v>
      </c>
      <c r="D1940" t="s">
        <v>90</v>
      </c>
      <c r="E1940" t="s">
        <v>131</v>
      </c>
      <c r="F1940" s="1"/>
      <c r="G1940">
        <v>2015</v>
      </c>
      <c r="H1940" t="s">
        <v>4178</v>
      </c>
      <c r="I1940" t="s">
        <v>4277</v>
      </c>
      <c r="J1940" t="s">
        <v>133</v>
      </c>
      <c r="K1940">
        <v>6.7</v>
      </c>
      <c r="L1940">
        <v>21250147</v>
      </c>
      <c r="M1940">
        <v>1729554</v>
      </c>
      <c r="N1940">
        <v>83</v>
      </c>
      <c r="O1940" t="s">
        <v>4178</v>
      </c>
      <c r="P1940" t="s">
        <v>32</v>
      </c>
    </row>
    <row r="1941" spans="1:16" x14ac:dyDescent="0.35">
      <c r="A1941" t="s">
        <v>832</v>
      </c>
      <c r="B1941" t="s">
        <v>833</v>
      </c>
      <c r="C1941" t="s">
        <v>84</v>
      </c>
      <c r="D1941" t="s">
        <v>156</v>
      </c>
      <c r="E1941" t="s">
        <v>28</v>
      </c>
      <c r="F1941" s="1"/>
      <c r="G1941">
        <v>2013</v>
      </c>
      <c r="H1941" t="s">
        <v>63</v>
      </c>
      <c r="I1941" t="s">
        <v>4197</v>
      </c>
      <c r="J1941" t="s">
        <v>48</v>
      </c>
      <c r="K1941">
        <v>5.0999999999999996</v>
      </c>
      <c r="L1941">
        <v>16766000</v>
      </c>
      <c r="M1941">
        <v>2742429</v>
      </c>
      <c r="N1941">
        <v>58</v>
      </c>
      <c r="O1941" t="s">
        <v>123</v>
      </c>
      <c r="P1941" t="s">
        <v>50</v>
      </c>
    </row>
    <row r="1942" spans="1:16" x14ac:dyDescent="0.35">
      <c r="A1942" t="s">
        <v>938</v>
      </c>
      <c r="B1942" t="s">
        <v>939</v>
      </c>
      <c r="C1942" t="s">
        <v>53</v>
      </c>
      <c r="D1942" t="s">
        <v>156</v>
      </c>
      <c r="E1942" t="s">
        <v>4196</v>
      </c>
      <c r="F1942" s="1"/>
      <c r="G1942">
        <v>2001</v>
      </c>
      <c r="H1942" t="s">
        <v>121</v>
      </c>
      <c r="I1942" t="s">
        <v>136</v>
      </c>
      <c r="J1942" t="s">
        <v>133</v>
      </c>
      <c r="K1942">
        <v>5.3</v>
      </c>
      <c r="L1942">
        <v>9505097</v>
      </c>
      <c r="M1942">
        <v>3680903</v>
      </c>
      <c r="N1942">
        <v>81</v>
      </c>
      <c r="O1942" t="s">
        <v>91</v>
      </c>
      <c r="P1942" t="s">
        <v>4178</v>
      </c>
    </row>
    <row r="1943" spans="1:16" x14ac:dyDescent="0.35">
      <c r="A1943" t="s">
        <v>1049</v>
      </c>
      <c r="B1943" t="s">
        <v>1050</v>
      </c>
      <c r="C1943" t="s">
        <v>84</v>
      </c>
      <c r="D1943" t="s">
        <v>68</v>
      </c>
      <c r="E1943" t="s">
        <v>4178</v>
      </c>
      <c r="F1943" s="1"/>
      <c r="G1943">
        <v>2014</v>
      </c>
      <c r="H1943" t="s">
        <v>4178</v>
      </c>
      <c r="I1943" t="s">
        <v>4212</v>
      </c>
      <c r="J1943" t="s">
        <v>133</v>
      </c>
      <c r="K1943">
        <v>7.1</v>
      </c>
      <c r="L1943">
        <v>11993206</v>
      </c>
      <c r="M1943">
        <v>4355548</v>
      </c>
      <c r="N1943">
        <v>79</v>
      </c>
      <c r="O1943" t="s">
        <v>24</v>
      </c>
      <c r="P1943" t="s">
        <v>32</v>
      </c>
    </row>
    <row r="1944" spans="1:16" x14ac:dyDescent="0.35">
      <c r="A1944" t="s">
        <v>1217</v>
      </c>
      <c r="B1944" t="s">
        <v>1218</v>
      </c>
      <c r="C1944" t="s">
        <v>4178</v>
      </c>
      <c r="D1944" t="s">
        <v>68</v>
      </c>
      <c r="E1944" t="s">
        <v>55</v>
      </c>
      <c r="F1944" s="1"/>
      <c r="G1944">
        <v>2021</v>
      </c>
      <c r="H1944" t="s">
        <v>38</v>
      </c>
      <c r="I1944" t="s">
        <v>64</v>
      </c>
      <c r="J1944" t="s">
        <v>30</v>
      </c>
      <c r="K1944">
        <v>9.5</v>
      </c>
      <c r="L1944">
        <v>17025152</v>
      </c>
      <c r="M1944">
        <v>4741221</v>
      </c>
      <c r="N1944">
        <v>85</v>
      </c>
      <c r="O1944" t="s">
        <v>4178</v>
      </c>
      <c r="P1944" t="s">
        <v>32</v>
      </c>
    </row>
    <row r="1945" spans="1:16" x14ac:dyDescent="0.35">
      <c r="A1945" t="s">
        <v>1290</v>
      </c>
      <c r="B1945" t="s">
        <v>1291</v>
      </c>
      <c r="C1945" t="s">
        <v>4178</v>
      </c>
      <c r="D1945" t="s">
        <v>61</v>
      </c>
      <c r="E1945" t="s">
        <v>4196</v>
      </c>
      <c r="F1945" s="1"/>
      <c r="G1945">
        <v>2020</v>
      </c>
      <c r="H1945" t="s">
        <v>21</v>
      </c>
      <c r="I1945" t="s">
        <v>64</v>
      </c>
      <c r="J1945" t="s">
        <v>23</v>
      </c>
      <c r="K1945">
        <v>9.6</v>
      </c>
      <c r="L1945">
        <v>18763012</v>
      </c>
      <c r="M1945">
        <v>2244951</v>
      </c>
      <c r="N1945">
        <v>56</v>
      </c>
      <c r="O1945" t="s">
        <v>123</v>
      </c>
      <c r="P1945" t="s">
        <v>50</v>
      </c>
    </row>
    <row r="1946" spans="1:16" x14ac:dyDescent="0.35">
      <c r="A1946" t="s">
        <v>1319</v>
      </c>
      <c r="B1946" t="s">
        <v>1320</v>
      </c>
      <c r="C1946" t="s">
        <v>53</v>
      </c>
      <c r="D1946" t="s">
        <v>54</v>
      </c>
      <c r="E1946" t="s">
        <v>20</v>
      </c>
      <c r="F1946" s="1"/>
      <c r="G1946">
        <v>2018</v>
      </c>
      <c r="H1946" t="s">
        <v>85</v>
      </c>
      <c r="I1946" t="s">
        <v>162</v>
      </c>
      <c r="J1946" t="s">
        <v>40</v>
      </c>
      <c r="K1946">
        <v>6.9</v>
      </c>
      <c r="L1946">
        <v>8455798</v>
      </c>
      <c r="M1946">
        <v>3926665</v>
      </c>
      <c r="N1946">
        <v>78</v>
      </c>
      <c r="O1946" t="s">
        <v>65</v>
      </c>
      <c r="P1946" t="s">
        <v>4181</v>
      </c>
    </row>
    <row r="1947" spans="1:16" x14ac:dyDescent="0.35">
      <c r="A1947" t="s">
        <v>1356</v>
      </c>
      <c r="B1947" t="s">
        <v>1357</v>
      </c>
      <c r="C1947" t="s">
        <v>53</v>
      </c>
      <c r="D1947" t="s">
        <v>54</v>
      </c>
      <c r="E1947" t="s">
        <v>20</v>
      </c>
      <c r="F1947" s="1"/>
      <c r="G1947">
        <v>2014</v>
      </c>
      <c r="H1947" t="s">
        <v>114</v>
      </c>
      <c r="I1947" t="s">
        <v>162</v>
      </c>
      <c r="J1947" t="s">
        <v>96</v>
      </c>
      <c r="K1947">
        <v>7</v>
      </c>
      <c r="L1947">
        <v>1825019</v>
      </c>
      <c r="M1947">
        <v>2720374</v>
      </c>
      <c r="N1947">
        <v>96</v>
      </c>
      <c r="O1947" t="s">
        <v>104</v>
      </c>
      <c r="P1947" t="s">
        <v>4181</v>
      </c>
    </row>
    <row r="1948" spans="1:16" x14ac:dyDescent="0.35">
      <c r="A1948" t="s">
        <v>1384</v>
      </c>
      <c r="B1948" t="s">
        <v>1385</v>
      </c>
      <c r="C1948" t="s">
        <v>84</v>
      </c>
      <c r="D1948" t="s">
        <v>54</v>
      </c>
      <c r="E1948" t="s">
        <v>45</v>
      </c>
      <c r="F1948" s="1"/>
      <c r="G1948">
        <v>2022</v>
      </c>
      <c r="H1948" t="s">
        <v>38</v>
      </c>
      <c r="I1948" t="s">
        <v>4305</v>
      </c>
      <c r="J1948" t="s">
        <v>103</v>
      </c>
      <c r="K1948">
        <v>9.4</v>
      </c>
      <c r="L1948">
        <v>21551083</v>
      </c>
      <c r="M1948">
        <v>3508327</v>
      </c>
      <c r="N1948">
        <v>70</v>
      </c>
      <c r="O1948" t="s">
        <v>31</v>
      </c>
      <c r="P1948" t="s">
        <v>4178</v>
      </c>
    </row>
    <row r="1949" spans="1:16" x14ac:dyDescent="0.35">
      <c r="A1949" t="s">
        <v>1419</v>
      </c>
      <c r="B1949" t="s">
        <v>1420</v>
      </c>
      <c r="C1949" t="s">
        <v>53</v>
      </c>
      <c r="D1949" t="s">
        <v>54</v>
      </c>
      <c r="E1949" t="s">
        <v>131</v>
      </c>
      <c r="F1949" s="1"/>
      <c r="G1949">
        <v>2011</v>
      </c>
      <c r="H1949" t="s">
        <v>4178</v>
      </c>
      <c r="I1949" t="s">
        <v>136</v>
      </c>
      <c r="J1949" t="s">
        <v>4178</v>
      </c>
      <c r="K1949">
        <v>9.4</v>
      </c>
      <c r="L1949">
        <v>19128123</v>
      </c>
      <c r="M1949">
        <v>2252463</v>
      </c>
      <c r="N1949">
        <v>56</v>
      </c>
      <c r="O1949" t="s">
        <v>24</v>
      </c>
      <c r="P1949" t="s">
        <v>32</v>
      </c>
    </row>
    <row r="1950" spans="1:16" x14ac:dyDescent="0.35">
      <c r="A1950" t="s">
        <v>1461</v>
      </c>
      <c r="B1950" t="s">
        <v>1462</v>
      </c>
      <c r="C1950" t="s">
        <v>53</v>
      </c>
      <c r="D1950" t="s">
        <v>90</v>
      </c>
      <c r="E1950" t="s">
        <v>131</v>
      </c>
      <c r="F1950" s="1"/>
      <c r="G1950">
        <v>2032</v>
      </c>
      <c r="H1950" t="s">
        <v>63</v>
      </c>
      <c r="I1950" t="s">
        <v>56</v>
      </c>
      <c r="J1950" t="s">
        <v>133</v>
      </c>
      <c r="K1950">
        <v>7.2</v>
      </c>
      <c r="L1950">
        <v>6496570</v>
      </c>
      <c r="M1950">
        <v>810812</v>
      </c>
      <c r="N1950">
        <v>93</v>
      </c>
      <c r="O1950" t="s">
        <v>24</v>
      </c>
      <c r="P1950" t="s">
        <v>4181</v>
      </c>
    </row>
    <row r="1951" spans="1:16" x14ac:dyDescent="0.35">
      <c r="A1951" t="s">
        <v>1501</v>
      </c>
      <c r="B1951" t="s">
        <v>1502</v>
      </c>
      <c r="C1951" t="s">
        <v>84</v>
      </c>
      <c r="D1951" t="s">
        <v>4178</v>
      </c>
      <c r="E1951" t="s">
        <v>4196</v>
      </c>
      <c r="F1951" s="1"/>
      <c r="G1951">
        <v>2009</v>
      </c>
      <c r="H1951" t="s">
        <v>121</v>
      </c>
      <c r="I1951" t="s">
        <v>4275</v>
      </c>
      <c r="J1951" t="s">
        <v>72</v>
      </c>
      <c r="K1951">
        <v>5.2</v>
      </c>
      <c r="L1951">
        <v>10520459</v>
      </c>
      <c r="M1951">
        <v>2676572</v>
      </c>
      <c r="N1951">
        <v>72</v>
      </c>
      <c r="O1951" t="s">
        <v>41</v>
      </c>
      <c r="P1951" t="s">
        <v>32</v>
      </c>
    </row>
    <row r="1952" spans="1:16" x14ac:dyDescent="0.35">
      <c r="A1952" t="s">
        <v>1511</v>
      </c>
      <c r="B1952" t="s">
        <v>1512</v>
      </c>
      <c r="C1952" t="s">
        <v>53</v>
      </c>
      <c r="D1952" t="s">
        <v>94</v>
      </c>
      <c r="E1952" t="s">
        <v>28</v>
      </c>
      <c r="F1952" s="1"/>
      <c r="G1952">
        <v>2025</v>
      </c>
      <c r="H1952" t="s">
        <v>121</v>
      </c>
      <c r="I1952" t="s">
        <v>64</v>
      </c>
      <c r="J1952" t="s">
        <v>153</v>
      </c>
      <c r="K1952">
        <v>7.6</v>
      </c>
      <c r="L1952">
        <v>7711424</v>
      </c>
      <c r="M1952">
        <v>378838</v>
      </c>
      <c r="N1952">
        <v>43</v>
      </c>
      <c r="O1952" t="s">
        <v>123</v>
      </c>
      <c r="P1952" t="s">
        <v>50</v>
      </c>
    </row>
    <row r="1953" spans="1:16" x14ac:dyDescent="0.35">
      <c r="A1953" t="s">
        <v>1536</v>
      </c>
      <c r="B1953" t="s">
        <v>1537</v>
      </c>
      <c r="C1953" t="s">
        <v>84</v>
      </c>
      <c r="D1953" t="s">
        <v>4178</v>
      </c>
      <c r="E1953" t="s">
        <v>37</v>
      </c>
      <c r="F1953" s="1"/>
      <c r="G1953">
        <v>2032</v>
      </c>
      <c r="H1953" t="s">
        <v>85</v>
      </c>
      <c r="I1953" t="s">
        <v>4224</v>
      </c>
      <c r="J1953" t="s">
        <v>133</v>
      </c>
      <c r="K1953">
        <v>9.1</v>
      </c>
      <c r="L1953">
        <v>7663153</v>
      </c>
      <c r="M1953">
        <v>1645453</v>
      </c>
      <c r="N1953">
        <v>70</v>
      </c>
      <c r="O1953" t="s">
        <v>49</v>
      </c>
      <c r="P1953" t="s">
        <v>4181</v>
      </c>
    </row>
    <row r="1954" spans="1:16" x14ac:dyDescent="0.35">
      <c r="A1954" t="s">
        <v>1613</v>
      </c>
      <c r="B1954" t="s">
        <v>1614</v>
      </c>
      <c r="C1954" t="s">
        <v>53</v>
      </c>
      <c r="D1954" t="s">
        <v>19</v>
      </c>
      <c r="E1954" t="s">
        <v>20</v>
      </c>
      <c r="F1954" s="1"/>
      <c r="G1954">
        <v>2003</v>
      </c>
      <c r="H1954" t="s">
        <v>107</v>
      </c>
      <c r="I1954" t="s">
        <v>56</v>
      </c>
      <c r="J1954" t="s">
        <v>96</v>
      </c>
      <c r="K1954">
        <v>9.1999999999999993</v>
      </c>
      <c r="L1954">
        <v>24774179</v>
      </c>
      <c r="M1954">
        <v>3284151</v>
      </c>
      <c r="N1954">
        <v>70</v>
      </c>
      <c r="O1954" t="s">
        <v>49</v>
      </c>
      <c r="P1954" t="s">
        <v>4181</v>
      </c>
    </row>
    <row r="1955" spans="1:16" x14ac:dyDescent="0.35">
      <c r="A1955" t="s">
        <v>1632</v>
      </c>
      <c r="B1955" t="s">
        <v>1633</v>
      </c>
      <c r="C1955" t="s">
        <v>84</v>
      </c>
      <c r="D1955" t="s">
        <v>36</v>
      </c>
      <c r="E1955" t="s">
        <v>55</v>
      </c>
      <c r="F1955" s="1"/>
      <c r="G1955">
        <v>2012</v>
      </c>
      <c r="H1955" t="s">
        <v>114</v>
      </c>
      <c r="I1955" t="s">
        <v>4247</v>
      </c>
      <c r="J1955" t="s">
        <v>153</v>
      </c>
      <c r="K1955">
        <v>8.1999999999999993</v>
      </c>
      <c r="L1955">
        <v>19597016</v>
      </c>
      <c r="M1955">
        <v>4584455</v>
      </c>
      <c r="N1955">
        <v>46</v>
      </c>
      <c r="O1955" t="s">
        <v>49</v>
      </c>
      <c r="P1955" t="s">
        <v>32</v>
      </c>
    </row>
    <row r="1956" spans="1:16" x14ac:dyDescent="0.35">
      <c r="A1956" t="s">
        <v>1685</v>
      </c>
      <c r="B1956" t="s">
        <v>1686</v>
      </c>
      <c r="C1956" t="s">
        <v>53</v>
      </c>
      <c r="D1956" t="s">
        <v>75</v>
      </c>
      <c r="E1956" t="s">
        <v>20</v>
      </c>
      <c r="F1956" s="1"/>
      <c r="G1956">
        <v>2004</v>
      </c>
      <c r="H1956" t="s">
        <v>121</v>
      </c>
      <c r="I1956" t="s">
        <v>71</v>
      </c>
      <c r="J1956" t="s">
        <v>133</v>
      </c>
      <c r="K1956">
        <v>7.6</v>
      </c>
      <c r="L1956">
        <v>7503350</v>
      </c>
      <c r="M1956">
        <v>3706305</v>
      </c>
      <c r="N1956">
        <v>61</v>
      </c>
      <c r="O1956" t="s">
        <v>24</v>
      </c>
      <c r="P1956" t="s">
        <v>32</v>
      </c>
    </row>
    <row r="1957" spans="1:16" x14ac:dyDescent="0.35">
      <c r="A1957" t="s">
        <v>1704</v>
      </c>
      <c r="B1957" t="s">
        <v>1705</v>
      </c>
      <c r="C1957" t="s">
        <v>53</v>
      </c>
      <c r="D1957" t="s">
        <v>54</v>
      </c>
      <c r="E1957" t="s">
        <v>99</v>
      </c>
      <c r="F1957" s="1"/>
      <c r="G1957">
        <v>2003</v>
      </c>
      <c r="H1957" t="s">
        <v>114</v>
      </c>
      <c r="I1957" t="s">
        <v>95</v>
      </c>
      <c r="J1957" t="s">
        <v>57</v>
      </c>
      <c r="K1957">
        <v>8.1</v>
      </c>
      <c r="L1957">
        <v>5463762</v>
      </c>
      <c r="M1957">
        <v>1392174</v>
      </c>
      <c r="N1957">
        <v>47</v>
      </c>
      <c r="O1957" t="s">
        <v>91</v>
      </c>
      <c r="P1957" t="s">
        <v>4181</v>
      </c>
    </row>
    <row r="1958" spans="1:16" x14ac:dyDescent="0.35">
      <c r="A1958" t="s">
        <v>2020</v>
      </c>
      <c r="B1958" t="s">
        <v>2021</v>
      </c>
      <c r="C1958" t="s">
        <v>4178</v>
      </c>
      <c r="D1958" t="s">
        <v>4178</v>
      </c>
      <c r="E1958" t="s">
        <v>20</v>
      </c>
      <c r="F1958" s="1"/>
      <c r="G1958">
        <v>2015</v>
      </c>
      <c r="H1958" t="s">
        <v>81</v>
      </c>
      <c r="I1958" t="s">
        <v>71</v>
      </c>
      <c r="J1958" t="s">
        <v>133</v>
      </c>
      <c r="K1958">
        <v>7.7</v>
      </c>
      <c r="L1958">
        <v>10353263</v>
      </c>
      <c r="M1958">
        <v>708201</v>
      </c>
      <c r="N1958">
        <v>65</v>
      </c>
      <c r="O1958" t="s">
        <v>24</v>
      </c>
      <c r="P1958" t="s">
        <v>32</v>
      </c>
    </row>
    <row r="1959" spans="1:16" x14ac:dyDescent="0.35">
      <c r="A1959" t="s">
        <v>2032</v>
      </c>
      <c r="B1959" t="s">
        <v>2033</v>
      </c>
      <c r="C1959" t="s">
        <v>84</v>
      </c>
      <c r="D1959" t="s">
        <v>4178</v>
      </c>
      <c r="E1959" t="s">
        <v>99</v>
      </c>
      <c r="F1959" s="1"/>
      <c r="G1959">
        <v>2023</v>
      </c>
      <c r="H1959" t="s">
        <v>121</v>
      </c>
      <c r="I1959" t="s">
        <v>4216</v>
      </c>
      <c r="J1959" t="s">
        <v>96</v>
      </c>
      <c r="K1959">
        <v>9</v>
      </c>
      <c r="L1959">
        <v>24003001</v>
      </c>
      <c r="M1959">
        <v>4933270</v>
      </c>
      <c r="N1959">
        <v>89</v>
      </c>
      <c r="O1959" t="s">
        <v>24</v>
      </c>
      <c r="P1959" t="s">
        <v>50</v>
      </c>
    </row>
    <row r="1960" spans="1:16" x14ac:dyDescent="0.35">
      <c r="A1960" t="s">
        <v>2044</v>
      </c>
      <c r="B1960" t="s">
        <v>2045</v>
      </c>
      <c r="C1960" t="s">
        <v>84</v>
      </c>
      <c r="D1960" t="s">
        <v>94</v>
      </c>
      <c r="E1960" t="s">
        <v>113</v>
      </c>
      <c r="F1960" s="1"/>
      <c r="G1960">
        <v>2013</v>
      </c>
      <c r="H1960" t="s">
        <v>114</v>
      </c>
      <c r="I1960" t="s">
        <v>4227</v>
      </c>
      <c r="J1960" t="s">
        <v>133</v>
      </c>
      <c r="K1960">
        <v>6.3</v>
      </c>
      <c r="L1960">
        <v>5086793</v>
      </c>
      <c r="M1960">
        <v>3151395</v>
      </c>
      <c r="N1960">
        <v>99</v>
      </c>
      <c r="O1960" t="s">
        <v>104</v>
      </c>
      <c r="P1960" t="s">
        <v>4181</v>
      </c>
    </row>
    <row r="1961" spans="1:16" x14ac:dyDescent="0.35">
      <c r="A1961" t="s">
        <v>2054</v>
      </c>
      <c r="B1961" t="s">
        <v>2055</v>
      </c>
      <c r="C1961" t="s">
        <v>4178</v>
      </c>
      <c r="D1961" t="s">
        <v>61</v>
      </c>
      <c r="E1961" t="s">
        <v>55</v>
      </c>
      <c r="F1961" s="1"/>
      <c r="G1961">
        <v>2002</v>
      </c>
      <c r="H1961" t="s">
        <v>107</v>
      </c>
      <c r="I1961" t="s">
        <v>136</v>
      </c>
      <c r="J1961" t="s">
        <v>48</v>
      </c>
      <c r="K1961">
        <v>9.6</v>
      </c>
      <c r="L1961">
        <v>18662722</v>
      </c>
      <c r="M1961">
        <v>1851253</v>
      </c>
      <c r="N1961">
        <v>41</v>
      </c>
      <c r="O1961" t="s">
        <v>41</v>
      </c>
      <c r="P1961" t="s">
        <v>4178</v>
      </c>
    </row>
    <row r="1962" spans="1:16" x14ac:dyDescent="0.35">
      <c r="A1962" t="s">
        <v>2123</v>
      </c>
      <c r="B1962" t="s">
        <v>2124</v>
      </c>
      <c r="C1962" t="s">
        <v>53</v>
      </c>
      <c r="D1962" t="s">
        <v>156</v>
      </c>
      <c r="E1962" t="s">
        <v>4196</v>
      </c>
      <c r="F1962" s="1"/>
      <c r="G1962">
        <v>2025</v>
      </c>
      <c r="H1962" t="s">
        <v>38</v>
      </c>
      <c r="I1962" t="s">
        <v>39</v>
      </c>
      <c r="J1962" t="s">
        <v>23</v>
      </c>
      <c r="K1962">
        <v>4.7</v>
      </c>
      <c r="L1962">
        <v>12265496</v>
      </c>
      <c r="M1962">
        <v>1040481</v>
      </c>
      <c r="N1962">
        <v>58</v>
      </c>
      <c r="O1962" t="s">
        <v>41</v>
      </c>
      <c r="P1962" t="s">
        <v>32</v>
      </c>
    </row>
    <row r="1963" spans="1:16" x14ac:dyDescent="0.35">
      <c r="A1963" t="s">
        <v>2182</v>
      </c>
      <c r="B1963" t="s">
        <v>4346</v>
      </c>
      <c r="C1963" t="s">
        <v>53</v>
      </c>
      <c r="D1963" t="s">
        <v>90</v>
      </c>
      <c r="E1963" t="s">
        <v>4196</v>
      </c>
      <c r="F1963" s="1"/>
      <c r="G1963">
        <v>2014</v>
      </c>
      <c r="H1963" t="s">
        <v>107</v>
      </c>
      <c r="I1963" t="s">
        <v>39</v>
      </c>
      <c r="J1963" t="s">
        <v>40</v>
      </c>
      <c r="K1963">
        <v>5</v>
      </c>
      <c r="L1963">
        <v>17434716</v>
      </c>
      <c r="M1963">
        <v>4781469</v>
      </c>
      <c r="N1963">
        <v>72</v>
      </c>
      <c r="O1963" t="s">
        <v>4178</v>
      </c>
      <c r="P1963" t="s">
        <v>87</v>
      </c>
    </row>
    <row r="1964" spans="1:16" x14ac:dyDescent="0.35">
      <c r="A1964" t="s">
        <v>2198</v>
      </c>
      <c r="B1964" t="s">
        <v>2199</v>
      </c>
      <c r="C1964" t="s">
        <v>84</v>
      </c>
      <c r="D1964" t="s">
        <v>19</v>
      </c>
      <c r="E1964" t="s">
        <v>113</v>
      </c>
      <c r="F1964" s="1"/>
      <c r="G1964">
        <v>2005</v>
      </c>
      <c r="H1964" t="s">
        <v>85</v>
      </c>
      <c r="I1964" t="s">
        <v>4260</v>
      </c>
      <c r="J1964" t="s">
        <v>72</v>
      </c>
      <c r="K1964">
        <v>5.9</v>
      </c>
      <c r="L1964">
        <v>-951</v>
      </c>
      <c r="M1964">
        <v>3203334</v>
      </c>
      <c r="N1964">
        <v>96</v>
      </c>
      <c r="O1964" t="s">
        <v>65</v>
      </c>
      <c r="P1964" t="s">
        <v>4178</v>
      </c>
    </row>
    <row r="1965" spans="1:16" x14ac:dyDescent="0.35">
      <c r="A1965" t="s">
        <v>2202</v>
      </c>
      <c r="B1965" t="s">
        <v>2203</v>
      </c>
      <c r="C1965" t="s">
        <v>84</v>
      </c>
      <c r="D1965" t="s">
        <v>94</v>
      </c>
      <c r="E1965" t="s">
        <v>4178</v>
      </c>
      <c r="F1965" s="1"/>
      <c r="G1965">
        <v>2011</v>
      </c>
      <c r="H1965" t="s">
        <v>46</v>
      </c>
      <c r="I1965" t="s">
        <v>4264</v>
      </c>
      <c r="J1965" t="s">
        <v>48</v>
      </c>
      <c r="K1965">
        <v>9.4</v>
      </c>
      <c r="L1965">
        <v>21889536</v>
      </c>
      <c r="M1965">
        <v>2040</v>
      </c>
      <c r="N1965">
        <v>64</v>
      </c>
      <c r="O1965" t="s">
        <v>4178</v>
      </c>
      <c r="P1965" t="s">
        <v>4178</v>
      </c>
    </row>
    <row r="1966" spans="1:16" x14ac:dyDescent="0.35">
      <c r="A1966" t="s">
        <v>2254</v>
      </c>
      <c r="B1966" t="s">
        <v>2255</v>
      </c>
      <c r="C1966" t="s">
        <v>84</v>
      </c>
      <c r="D1966" t="s">
        <v>36</v>
      </c>
      <c r="E1966" t="s">
        <v>55</v>
      </c>
      <c r="F1966" s="1"/>
      <c r="G1966">
        <v>2006</v>
      </c>
      <c r="H1966" t="s">
        <v>46</v>
      </c>
      <c r="I1966" t="s">
        <v>4260</v>
      </c>
      <c r="J1966" t="s">
        <v>4178</v>
      </c>
      <c r="K1966">
        <v>8.6999999999999993</v>
      </c>
      <c r="L1966">
        <v>574144</v>
      </c>
      <c r="M1966">
        <v>3995286</v>
      </c>
      <c r="N1966">
        <v>60</v>
      </c>
      <c r="O1966" t="s">
        <v>58</v>
      </c>
      <c r="P1966" t="s">
        <v>4178</v>
      </c>
    </row>
    <row r="1967" spans="1:16" x14ac:dyDescent="0.35">
      <c r="A1967" t="s">
        <v>2276</v>
      </c>
      <c r="B1967" t="s">
        <v>2277</v>
      </c>
      <c r="C1967" t="s">
        <v>53</v>
      </c>
      <c r="D1967" t="s">
        <v>75</v>
      </c>
      <c r="E1967" t="s">
        <v>99</v>
      </c>
      <c r="F1967" s="1"/>
      <c r="G1967">
        <v>2002</v>
      </c>
      <c r="H1967" t="s">
        <v>21</v>
      </c>
      <c r="I1967" t="s">
        <v>39</v>
      </c>
      <c r="J1967" t="s">
        <v>72</v>
      </c>
      <c r="K1967">
        <v>5.7</v>
      </c>
      <c r="L1967">
        <v>7187708</v>
      </c>
      <c r="M1967">
        <v>222265</v>
      </c>
      <c r="N1967">
        <v>40</v>
      </c>
      <c r="O1967" t="s">
        <v>123</v>
      </c>
      <c r="P1967" t="s">
        <v>87</v>
      </c>
    </row>
    <row r="1968" spans="1:16" x14ac:dyDescent="0.35">
      <c r="A1968" t="s">
        <v>2318</v>
      </c>
      <c r="B1968" t="s">
        <v>2319</v>
      </c>
      <c r="C1968" t="s">
        <v>4178</v>
      </c>
      <c r="D1968" t="s">
        <v>156</v>
      </c>
      <c r="E1968" t="s">
        <v>28</v>
      </c>
      <c r="F1968" s="1"/>
      <c r="G1968">
        <v>2000</v>
      </c>
      <c r="H1968" t="s">
        <v>46</v>
      </c>
      <c r="I1968" t="s">
        <v>4178</v>
      </c>
      <c r="J1968" t="s">
        <v>133</v>
      </c>
      <c r="K1968">
        <v>5.5</v>
      </c>
      <c r="L1968">
        <v>8725144</v>
      </c>
      <c r="M1968">
        <v>3188888</v>
      </c>
      <c r="N1968">
        <v>120</v>
      </c>
      <c r="O1968" t="s">
        <v>91</v>
      </c>
      <c r="P1968" t="s">
        <v>4178</v>
      </c>
    </row>
    <row r="1969" spans="1:16" x14ac:dyDescent="0.35">
      <c r="A1969" t="s">
        <v>2489</v>
      </c>
      <c r="B1969" t="s">
        <v>2490</v>
      </c>
      <c r="C1969" t="s">
        <v>53</v>
      </c>
      <c r="D1969" t="s">
        <v>4178</v>
      </c>
      <c r="E1969" t="s">
        <v>4196</v>
      </c>
      <c r="F1969" s="1"/>
      <c r="G1969">
        <v>2018</v>
      </c>
      <c r="H1969" t="s">
        <v>21</v>
      </c>
      <c r="I1969" t="s">
        <v>64</v>
      </c>
      <c r="J1969" t="s">
        <v>57</v>
      </c>
      <c r="K1969">
        <v>9.4</v>
      </c>
      <c r="L1969">
        <v>21981306</v>
      </c>
      <c r="M1969">
        <v>2463842</v>
      </c>
      <c r="N1969">
        <v>100</v>
      </c>
      <c r="O1969" t="s">
        <v>31</v>
      </c>
      <c r="P1969" t="s">
        <v>32</v>
      </c>
    </row>
    <row r="1970" spans="1:16" x14ac:dyDescent="0.35">
      <c r="A1970" t="s">
        <v>2491</v>
      </c>
      <c r="B1970" t="s">
        <v>4357</v>
      </c>
      <c r="C1970" t="s">
        <v>53</v>
      </c>
      <c r="D1970" t="s">
        <v>36</v>
      </c>
      <c r="E1970" t="s">
        <v>4196</v>
      </c>
      <c r="F1970" s="1"/>
      <c r="G1970">
        <v>2002</v>
      </c>
      <c r="H1970" t="s">
        <v>38</v>
      </c>
      <c r="I1970" t="s">
        <v>118</v>
      </c>
      <c r="J1970" t="s">
        <v>133</v>
      </c>
      <c r="K1970">
        <v>6.3</v>
      </c>
      <c r="L1970">
        <v>17864675</v>
      </c>
      <c r="M1970">
        <v>90035</v>
      </c>
      <c r="N1970">
        <v>54</v>
      </c>
      <c r="O1970" t="s">
        <v>104</v>
      </c>
      <c r="P1970" t="s">
        <v>4178</v>
      </c>
    </row>
    <row r="1971" spans="1:16" x14ac:dyDescent="0.35">
      <c r="A1971" t="s">
        <v>2507</v>
      </c>
      <c r="B1971" t="s">
        <v>2508</v>
      </c>
      <c r="C1971" t="s">
        <v>84</v>
      </c>
      <c r="D1971" t="s">
        <v>75</v>
      </c>
      <c r="E1971" t="s">
        <v>20</v>
      </c>
      <c r="F1971" s="1"/>
      <c r="G1971">
        <v>2017</v>
      </c>
      <c r="H1971" t="s">
        <v>85</v>
      </c>
      <c r="I1971" t="s">
        <v>4276</v>
      </c>
      <c r="J1971" t="s">
        <v>96</v>
      </c>
      <c r="K1971">
        <v>7.4</v>
      </c>
      <c r="L1971">
        <v>18617753</v>
      </c>
      <c r="M1971">
        <v>3583406</v>
      </c>
      <c r="N1971">
        <v>41</v>
      </c>
      <c r="O1971" t="s">
        <v>4178</v>
      </c>
      <c r="P1971" t="s">
        <v>4181</v>
      </c>
    </row>
    <row r="1972" spans="1:16" x14ac:dyDescent="0.35">
      <c r="A1972" t="s">
        <v>2591</v>
      </c>
      <c r="B1972" t="s">
        <v>2592</v>
      </c>
      <c r="C1972" t="s">
        <v>53</v>
      </c>
      <c r="D1972" t="s">
        <v>94</v>
      </c>
      <c r="E1972" t="s">
        <v>55</v>
      </c>
      <c r="F1972" s="1"/>
      <c r="G1972">
        <v>2009</v>
      </c>
      <c r="H1972" t="s">
        <v>81</v>
      </c>
      <c r="I1972" t="s">
        <v>56</v>
      </c>
      <c r="J1972" t="s">
        <v>96</v>
      </c>
      <c r="K1972">
        <v>6.2</v>
      </c>
      <c r="L1972">
        <v>4480419</v>
      </c>
      <c r="M1972">
        <v>4092071</v>
      </c>
      <c r="N1972">
        <v>79</v>
      </c>
      <c r="O1972" t="s">
        <v>58</v>
      </c>
      <c r="P1972" t="s">
        <v>4181</v>
      </c>
    </row>
    <row r="1973" spans="1:16" x14ac:dyDescent="0.35">
      <c r="A1973" t="s">
        <v>2780</v>
      </c>
      <c r="B1973" t="s">
        <v>2781</v>
      </c>
      <c r="C1973" t="s">
        <v>84</v>
      </c>
      <c r="D1973" t="s">
        <v>19</v>
      </c>
      <c r="E1973" t="s">
        <v>131</v>
      </c>
      <c r="F1973" s="1"/>
      <c r="G1973">
        <v>2010</v>
      </c>
      <c r="H1973" t="s">
        <v>4178</v>
      </c>
      <c r="I1973" t="s">
        <v>4208</v>
      </c>
      <c r="J1973" t="s">
        <v>4178</v>
      </c>
      <c r="K1973">
        <v>7.4</v>
      </c>
      <c r="L1973">
        <v>12901010</v>
      </c>
      <c r="M1973">
        <v>485170</v>
      </c>
      <c r="N1973">
        <v>85</v>
      </c>
      <c r="O1973" t="s">
        <v>31</v>
      </c>
      <c r="P1973" t="s">
        <v>50</v>
      </c>
    </row>
    <row r="1974" spans="1:16" x14ac:dyDescent="0.35">
      <c r="A1974" t="s">
        <v>2942</v>
      </c>
      <c r="B1974" t="s">
        <v>2943</v>
      </c>
      <c r="C1974" t="s">
        <v>84</v>
      </c>
      <c r="D1974" t="s">
        <v>19</v>
      </c>
      <c r="E1974" t="s">
        <v>4196</v>
      </c>
      <c r="F1974" s="1"/>
      <c r="G1974">
        <v>2019</v>
      </c>
      <c r="H1974" t="s">
        <v>46</v>
      </c>
      <c r="I1974" t="s">
        <v>4259</v>
      </c>
      <c r="J1974" t="s">
        <v>48</v>
      </c>
      <c r="K1974">
        <v>5.4</v>
      </c>
      <c r="L1974">
        <v>18745970</v>
      </c>
      <c r="M1974">
        <v>478490</v>
      </c>
      <c r="N1974">
        <v>81</v>
      </c>
      <c r="O1974" t="s">
        <v>24</v>
      </c>
      <c r="P1974" t="s">
        <v>32</v>
      </c>
    </row>
    <row r="1975" spans="1:16" x14ac:dyDescent="0.35">
      <c r="A1975" t="s">
        <v>3013</v>
      </c>
      <c r="B1975" t="s">
        <v>3014</v>
      </c>
      <c r="C1975" t="s">
        <v>84</v>
      </c>
      <c r="D1975" t="s">
        <v>27</v>
      </c>
      <c r="E1975" t="s">
        <v>4178</v>
      </c>
      <c r="F1975" s="1"/>
      <c r="G1975">
        <v>2006</v>
      </c>
      <c r="H1975" t="s">
        <v>107</v>
      </c>
      <c r="I1975" t="s">
        <v>4178</v>
      </c>
      <c r="J1975" t="s">
        <v>153</v>
      </c>
      <c r="K1975">
        <v>5.8</v>
      </c>
      <c r="L1975">
        <v>12557178</v>
      </c>
      <c r="M1975">
        <v>2950148</v>
      </c>
      <c r="N1975">
        <v>82</v>
      </c>
      <c r="O1975" t="s">
        <v>91</v>
      </c>
      <c r="P1975" t="s">
        <v>4181</v>
      </c>
    </row>
    <row r="1976" spans="1:16" x14ac:dyDescent="0.35">
      <c r="A1976" t="s">
        <v>3056</v>
      </c>
      <c r="B1976" t="s">
        <v>3057</v>
      </c>
      <c r="C1976" t="s">
        <v>84</v>
      </c>
      <c r="D1976" t="s">
        <v>19</v>
      </c>
      <c r="E1976" t="s">
        <v>62</v>
      </c>
      <c r="F1976" s="1"/>
      <c r="G1976">
        <v>2013</v>
      </c>
      <c r="H1976" t="s">
        <v>121</v>
      </c>
      <c r="I1976" t="s">
        <v>4188</v>
      </c>
      <c r="J1976" t="s">
        <v>40</v>
      </c>
      <c r="K1976">
        <v>7.3</v>
      </c>
      <c r="L1976">
        <v>10329200</v>
      </c>
      <c r="M1976">
        <v>4293913</v>
      </c>
      <c r="N1976">
        <v>65</v>
      </c>
      <c r="O1976" t="s">
        <v>31</v>
      </c>
      <c r="P1976" t="s">
        <v>32</v>
      </c>
    </row>
    <row r="1977" spans="1:16" x14ac:dyDescent="0.35">
      <c r="A1977" t="s">
        <v>3072</v>
      </c>
      <c r="B1977" t="s">
        <v>3073</v>
      </c>
      <c r="C1977" t="s">
        <v>53</v>
      </c>
      <c r="D1977" t="s">
        <v>4178</v>
      </c>
      <c r="E1977" t="s">
        <v>80</v>
      </c>
      <c r="F1977" s="1"/>
      <c r="G1977">
        <v>2019</v>
      </c>
      <c r="H1977" t="s">
        <v>81</v>
      </c>
      <c r="I1977" t="s">
        <v>39</v>
      </c>
      <c r="J1977" t="s">
        <v>153</v>
      </c>
      <c r="K1977">
        <v>9.4</v>
      </c>
      <c r="L1977">
        <v>21084954</v>
      </c>
      <c r="M1977">
        <v>4787256</v>
      </c>
      <c r="N1977">
        <v>72</v>
      </c>
      <c r="O1977" t="s">
        <v>49</v>
      </c>
      <c r="P1977" t="s">
        <v>4181</v>
      </c>
    </row>
    <row r="1978" spans="1:16" x14ac:dyDescent="0.35">
      <c r="A1978" t="s">
        <v>3084</v>
      </c>
      <c r="B1978" t="s">
        <v>3085</v>
      </c>
      <c r="C1978" t="s">
        <v>4178</v>
      </c>
      <c r="D1978" t="s">
        <v>4178</v>
      </c>
      <c r="E1978" t="s">
        <v>45</v>
      </c>
      <c r="F1978" s="1"/>
      <c r="G1978">
        <v>2015</v>
      </c>
      <c r="H1978" t="s">
        <v>107</v>
      </c>
      <c r="I1978" t="s">
        <v>56</v>
      </c>
      <c r="J1978" t="s">
        <v>30</v>
      </c>
      <c r="K1978">
        <v>9.6999999999999993</v>
      </c>
      <c r="L1978">
        <v>2749919</v>
      </c>
      <c r="M1978">
        <v>4439632</v>
      </c>
      <c r="N1978">
        <v>53</v>
      </c>
      <c r="O1978" t="s">
        <v>24</v>
      </c>
      <c r="P1978" t="s">
        <v>87</v>
      </c>
    </row>
    <row r="1979" spans="1:16" x14ac:dyDescent="0.35">
      <c r="A1979" t="s">
        <v>3174</v>
      </c>
      <c r="B1979" t="s">
        <v>4373</v>
      </c>
      <c r="C1979" t="s">
        <v>53</v>
      </c>
      <c r="D1979" t="s">
        <v>156</v>
      </c>
      <c r="E1979" t="s">
        <v>45</v>
      </c>
      <c r="F1979" s="1"/>
      <c r="G1979">
        <v>2019</v>
      </c>
      <c r="H1979" t="s">
        <v>46</v>
      </c>
      <c r="I1979" t="s">
        <v>162</v>
      </c>
      <c r="J1979" t="s">
        <v>133</v>
      </c>
      <c r="K1979">
        <v>9.1</v>
      </c>
      <c r="L1979">
        <v>1877596</v>
      </c>
      <c r="M1979">
        <v>3072726</v>
      </c>
      <c r="N1979">
        <v>97</v>
      </c>
      <c r="O1979" t="s">
        <v>65</v>
      </c>
      <c r="P1979" t="s">
        <v>4181</v>
      </c>
    </row>
    <row r="1980" spans="1:16" x14ac:dyDescent="0.35">
      <c r="A1980" t="s">
        <v>3182</v>
      </c>
      <c r="B1980" t="s">
        <v>3183</v>
      </c>
      <c r="C1980" t="s">
        <v>84</v>
      </c>
      <c r="D1980" t="s">
        <v>68</v>
      </c>
      <c r="E1980" t="s">
        <v>28</v>
      </c>
      <c r="F1980" s="1"/>
      <c r="G1980">
        <v>2032</v>
      </c>
      <c r="H1980" t="s">
        <v>85</v>
      </c>
      <c r="I1980" t="s">
        <v>4206</v>
      </c>
      <c r="J1980" t="s">
        <v>40</v>
      </c>
      <c r="K1980">
        <v>9.4</v>
      </c>
      <c r="L1980">
        <v>1940440</v>
      </c>
      <c r="M1980">
        <v>4877890</v>
      </c>
      <c r="N1980">
        <v>53</v>
      </c>
      <c r="O1980" t="s">
        <v>104</v>
      </c>
      <c r="P1980" t="s">
        <v>50</v>
      </c>
    </row>
    <row r="1981" spans="1:16" x14ac:dyDescent="0.35">
      <c r="A1981" t="s">
        <v>3186</v>
      </c>
      <c r="B1981" t="s">
        <v>3187</v>
      </c>
      <c r="C1981" t="s">
        <v>4178</v>
      </c>
      <c r="D1981" t="s">
        <v>90</v>
      </c>
      <c r="E1981" t="s">
        <v>4196</v>
      </c>
      <c r="F1981" s="1"/>
      <c r="G1981">
        <v>2000</v>
      </c>
      <c r="H1981" t="s">
        <v>46</v>
      </c>
      <c r="I1981" t="s">
        <v>39</v>
      </c>
      <c r="J1981" t="s">
        <v>30</v>
      </c>
      <c r="K1981">
        <v>5.3</v>
      </c>
      <c r="L1981">
        <v>17186517</v>
      </c>
      <c r="M1981">
        <v>1706550</v>
      </c>
      <c r="N1981">
        <v>70</v>
      </c>
      <c r="O1981" t="s">
        <v>31</v>
      </c>
      <c r="P1981" t="s">
        <v>32</v>
      </c>
    </row>
    <row r="1982" spans="1:16" x14ac:dyDescent="0.35">
      <c r="A1982" t="s">
        <v>3261</v>
      </c>
      <c r="B1982" t="s">
        <v>3262</v>
      </c>
      <c r="C1982" t="s">
        <v>84</v>
      </c>
      <c r="D1982" t="s">
        <v>75</v>
      </c>
      <c r="E1982" t="s">
        <v>20</v>
      </c>
      <c r="F1982" s="1"/>
      <c r="G1982">
        <v>2024</v>
      </c>
      <c r="H1982" t="s">
        <v>107</v>
      </c>
      <c r="I1982" t="s">
        <v>4348</v>
      </c>
      <c r="J1982" t="s">
        <v>133</v>
      </c>
      <c r="K1982">
        <v>5.0999999999999996</v>
      </c>
      <c r="L1982">
        <v>14679180</v>
      </c>
      <c r="M1982">
        <v>940451</v>
      </c>
      <c r="N1982">
        <v>99</v>
      </c>
      <c r="O1982" t="s">
        <v>41</v>
      </c>
      <c r="P1982" t="s">
        <v>32</v>
      </c>
    </row>
    <row r="1983" spans="1:16" x14ac:dyDescent="0.35">
      <c r="A1983" t="s">
        <v>3349</v>
      </c>
      <c r="B1983" t="s">
        <v>3350</v>
      </c>
      <c r="C1983" t="s">
        <v>84</v>
      </c>
      <c r="D1983" t="s">
        <v>94</v>
      </c>
      <c r="E1983" t="s">
        <v>4196</v>
      </c>
      <c r="F1983" s="1"/>
      <c r="G1983">
        <v>2026</v>
      </c>
      <c r="H1983" t="s">
        <v>63</v>
      </c>
      <c r="I1983" t="s">
        <v>4244</v>
      </c>
      <c r="J1983" t="s">
        <v>96</v>
      </c>
      <c r="K1983">
        <v>5.8</v>
      </c>
      <c r="L1983">
        <v>15504837</v>
      </c>
      <c r="M1983">
        <v>1033727</v>
      </c>
      <c r="N1983">
        <v>43</v>
      </c>
      <c r="O1983" t="s">
        <v>123</v>
      </c>
      <c r="P1983" t="s">
        <v>4178</v>
      </c>
    </row>
    <row r="1984" spans="1:16" x14ac:dyDescent="0.35">
      <c r="A1984" t="s">
        <v>3500</v>
      </c>
      <c r="B1984" t="s">
        <v>3501</v>
      </c>
      <c r="C1984" t="s">
        <v>53</v>
      </c>
      <c r="D1984" t="s">
        <v>156</v>
      </c>
      <c r="E1984" t="s">
        <v>28</v>
      </c>
      <c r="F1984" s="1"/>
      <c r="G1984">
        <v>2013</v>
      </c>
      <c r="H1984" t="s">
        <v>21</v>
      </c>
      <c r="I1984" t="s">
        <v>56</v>
      </c>
      <c r="J1984" t="s">
        <v>153</v>
      </c>
      <c r="K1984">
        <v>11.2</v>
      </c>
      <c r="L1984">
        <v>23941435</v>
      </c>
      <c r="M1984">
        <v>1637427</v>
      </c>
      <c r="N1984">
        <v>42</v>
      </c>
      <c r="O1984" t="s">
        <v>24</v>
      </c>
      <c r="P1984" t="s">
        <v>4181</v>
      </c>
    </row>
    <row r="1985" spans="1:16" x14ac:dyDescent="0.35">
      <c r="A1985" t="s">
        <v>3530</v>
      </c>
      <c r="B1985" t="s">
        <v>3531</v>
      </c>
      <c r="C1985" t="s">
        <v>4178</v>
      </c>
      <c r="D1985" t="s">
        <v>61</v>
      </c>
      <c r="E1985" t="s">
        <v>131</v>
      </c>
      <c r="F1985" s="1"/>
      <c r="G1985">
        <v>2025</v>
      </c>
      <c r="H1985" t="s">
        <v>38</v>
      </c>
      <c r="I1985" t="s">
        <v>64</v>
      </c>
      <c r="J1985" t="s">
        <v>57</v>
      </c>
      <c r="K1985">
        <v>9</v>
      </c>
      <c r="L1985">
        <v>6505265</v>
      </c>
      <c r="M1985">
        <v>1610721</v>
      </c>
      <c r="N1985">
        <v>97</v>
      </c>
      <c r="O1985" t="s">
        <v>123</v>
      </c>
      <c r="P1985" t="s">
        <v>32</v>
      </c>
    </row>
    <row r="1986" spans="1:16" x14ac:dyDescent="0.35">
      <c r="A1986" t="s">
        <v>3534</v>
      </c>
      <c r="B1986" t="s">
        <v>3533</v>
      </c>
      <c r="C1986" t="s">
        <v>84</v>
      </c>
      <c r="D1986" t="s">
        <v>94</v>
      </c>
      <c r="E1986" t="s">
        <v>37</v>
      </c>
      <c r="F1986" s="1"/>
      <c r="G1986">
        <v>2007</v>
      </c>
      <c r="H1986" t="s">
        <v>121</v>
      </c>
      <c r="I1986" t="s">
        <v>4247</v>
      </c>
      <c r="J1986" t="s">
        <v>72</v>
      </c>
      <c r="K1986">
        <v>4.9000000000000004</v>
      </c>
      <c r="L1986">
        <v>17961437</v>
      </c>
      <c r="M1986">
        <v>3120485</v>
      </c>
      <c r="N1986">
        <v>66</v>
      </c>
      <c r="O1986" t="s">
        <v>41</v>
      </c>
      <c r="P1986" t="s">
        <v>32</v>
      </c>
    </row>
    <row r="1987" spans="1:16" x14ac:dyDescent="0.35">
      <c r="A1987" t="s">
        <v>3565</v>
      </c>
      <c r="B1987" t="s">
        <v>3566</v>
      </c>
      <c r="C1987" t="s">
        <v>84</v>
      </c>
      <c r="D1987" t="s">
        <v>90</v>
      </c>
      <c r="E1987" t="s">
        <v>69</v>
      </c>
      <c r="F1987" s="1"/>
      <c r="G1987">
        <v>2004</v>
      </c>
      <c r="H1987" t="s">
        <v>63</v>
      </c>
      <c r="I1987" t="s">
        <v>4218</v>
      </c>
      <c r="J1987" t="s">
        <v>4178</v>
      </c>
      <c r="K1987">
        <v>9.3000000000000007</v>
      </c>
      <c r="L1987">
        <v>13187811</v>
      </c>
      <c r="M1987">
        <v>4293875</v>
      </c>
      <c r="N1987">
        <v>89</v>
      </c>
      <c r="O1987" t="s">
        <v>58</v>
      </c>
      <c r="P1987" t="s">
        <v>32</v>
      </c>
    </row>
    <row r="1988" spans="1:16" x14ac:dyDescent="0.35">
      <c r="A1988" t="s">
        <v>3753</v>
      </c>
      <c r="B1988" t="s">
        <v>3754</v>
      </c>
      <c r="C1988" t="s">
        <v>84</v>
      </c>
      <c r="D1988" t="s">
        <v>90</v>
      </c>
      <c r="E1988" t="s">
        <v>99</v>
      </c>
      <c r="F1988" s="1"/>
      <c r="G1988">
        <v>2005</v>
      </c>
      <c r="H1988" t="s">
        <v>121</v>
      </c>
      <c r="I1988" t="s">
        <v>4241</v>
      </c>
      <c r="J1988" t="s">
        <v>133</v>
      </c>
      <c r="K1988">
        <v>9.6</v>
      </c>
      <c r="L1988">
        <v>3215796</v>
      </c>
      <c r="M1988">
        <v>1511258</v>
      </c>
      <c r="N1988">
        <v>56</v>
      </c>
      <c r="O1988" t="s">
        <v>24</v>
      </c>
      <c r="P1988" t="s">
        <v>4178</v>
      </c>
    </row>
    <row r="1989" spans="1:16" x14ac:dyDescent="0.35">
      <c r="A1989" t="s">
        <v>3757</v>
      </c>
      <c r="B1989" t="s">
        <v>3758</v>
      </c>
      <c r="C1989" t="s">
        <v>84</v>
      </c>
      <c r="D1989" t="s">
        <v>94</v>
      </c>
      <c r="E1989" t="s">
        <v>4178</v>
      </c>
      <c r="F1989" s="1"/>
      <c r="G1989">
        <v>2023</v>
      </c>
      <c r="H1989" t="s">
        <v>81</v>
      </c>
      <c r="I1989" t="s">
        <v>4248</v>
      </c>
      <c r="J1989" t="s">
        <v>103</v>
      </c>
      <c r="K1989">
        <v>7</v>
      </c>
      <c r="L1989">
        <v>21138239</v>
      </c>
      <c r="M1989">
        <v>3283836</v>
      </c>
      <c r="N1989">
        <v>52</v>
      </c>
      <c r="O1989" t="s">
        <v>104</v>
      </c>
      <c r="P1989" t="s">
        <v>4178</v>
      </c>
    </row>
    <row r="1990" spans="1:16" x14ac:dyDescent="0.35">
      <c r="A1990" t="s">
        <v>3767</v>
      </c>
      <c r="B1990" t="s">
        <v>3768</v>
      </c>
      <c r="C1990" t="s">
        <v>53</v>
      </c>
      <c r="D1990" t="s">
        <v>54</v>
      </c>
      <c r="E1990" t="s">
        <v>45</v>
      </c>
      <c r="F1990" s="1"/>
      <c r="G1990">
        <v>2008</v>
      </c>
      <c r="H1990" t="s">
        <v>114</v>
      </c>
      <c r="I1990" t="s">
        <v>136</v>
      </c>
      <c r="J1990" t="s">
        <v>4178</v>
      </c>
      <c r="K1990">
        <v>5.4</v>
      </c>
      <c r="L1990">
        <v>18469742</v>
      </c>
      <c r="M1990">
        <v>154682</v>
      </c>
      <c r="N1990">
        <v>50</v>
      </c>
      <c r="O1990" t="s">
        <v>4178</v>
      </c>
      <c r="P1990" t="s">
        <v>32</v>
      </c>
    </row>
    <row r="1991" spans="1:16" x14ac:dyDescent="0.35">
      <c r="A1991" t="s">
        <v>3779</v>
      </c>
      <c r="B1991" t="s">
        <v>3780</v>
      </c>
      <c r="C1991" t="s">
        <v>84</v>
      </c>
      <c r="D1991" t="s">
        <v>94</v>
      </c>
      <c r="E1991" t="s">
        <v>28</v>
      </c>
      <c r="F1991" s="1"/>
      <c r="G1991">
        <v>2005</v>
      </c>
      <c r="H1991" t="s">
        <v>81</v>
      </c>
      <c r="I1991" t="s">
        <v>4232</v>
      </c>
      <c r="J1991" t="s">
        <v>40</v>
      </c>
      <c r="K1991">
        <v>9.1999999999999993</v>
      </c>
      <c r="L1991">
        <v>9759198</v>
      </c>
      <c r="M1991">
        <v>691898</v>
      </c>
      <c r="N1991">
        <v>54</v>
      </c>
      <c r="O1991" t="s">
        <v>123</v>
      </c>
      <c r="P1991" t="s">
        <v>50</v>
      </c>
    </row>
    <row r="1992" spans="1:16" x14ac:dyDescent="0.35">
      <c r="A1992" t="s">
        <v>3882</v>
      </c>
      <c r="B1992" t="s">
        <v>3883</v>
      </c>
      <c r="C1992" t="s">
        <v>84</v>
      </c>
      <c r="D1992" t="s">
        <v>75</v>
      </c>
      <c r="E1992" t="s">
        <v>4178</v>
      </c>
      <c r="F1992" s="1"/>
      <c r="G1992">
        <v>2008</v>
      </c>
      <c r="H1992" t="s">
        <v>63</v>
      </c>
      <c r="I1992" t="s">
        <v>4247</v>
      </c>
      <c r="J1992" t="s">
        <v>30</v>
      </c>
      <c r="K1992">
        <v>6.1</v>
      </c>
      <c r="L1992">
        <v>-323</v>
      </c>
      <c r="M1992">
        <v>118522</v>
      </c>
      <c r="N1992">
        <v>76</v>
      </c>
      <c r="O1992" t="s">
        <v>104</v>
      </c>
      <c r="P1992" t="s">
        <v>4178</v>
      </c>
    </row>
    <row r="1993" spans="1:16" x14ac:dyDescent="0.35">
      <c r="A1993" t="s">
        <v>3896</v>
      </c>
      <c r="B1993" t="s">
        <v>3897</v>
      </c>
      <c r="C1993" t="s">
        <v>4178</v>
      </c>
      <c r="D1993" t="s">
        <v>4178</v>
      </c>
      <c r="E1993" t="s">
        <v>45</v>
      </c>
      <c r="F1993" s="1"/>
      <c r="G1993">
        <v>2006</v>
      </c>
      <c r="H1993" t="s">
        <v>121</v>
      </c>
      <c r="I1993" t="s">
        <v>136</v>
      </c>
      <c r="J1993" t="s">
        <v>133</v>
      </c>
      <c r="K1993">
        <v>9.3000000000000007</v>
      </c>
      <c r="L1993">
        <v>2033984</v>
      </c>
      <c r="M1993">
        <v>48206</v>
      </c>
      <c r="N1993">
        <v>69</v>
      </c>
      <c r="O1993" t="s">
        <v>104</v>
      </c>
      <c r="P1993" t="s">
        <v>32</v>
      </c>
    </row>
    <row r="1994" spans="1:16" x14ac:dyDescent="0.35">
      <c r="A1994" t="s">
        <v>3912</v>
      </c>
      <c r="B1994" t="s">
        <v>3913</v>
      </c>
      <c r="C1994" t="s">
        <v>53</v>
      </c>
      <c r="D1994" t="s">
        <v>156</v>
      </c>
      <c r="E1994" t="s">
        <v>4178</v>
      </c>
      <c r="F1994" s="1"/>
      <c r="G1994">
        <v>2000</v>
      </c>
      <c r="H1994" t="s">
        <v>114</v>
      </c>
      <c r="I1994" t="s">
        <v>64</v>
      </c>
      <c r="J1994" t="s">
        <v>72</v>
      </c>
      <c r="K1994">
        <v>9.6</v>
      </c>
      <c r="L1994">
        <v>19426460</v>
      </c>
      <c r="M1994">
        <v>1177052</v>
      </c>
      <c r="N1994">
        <v>53</v>
      </c>
      <c r="O1994" t="s">
        <v>104</v>
      </c>
      <c r="P1994" t="s">
        <v>50</v>
      </c>
    </row>
    <row r="1995" spans="1:16" x14ac:dyDescent="0.35">
      <c r="A1995" t="s">
        <v>3914</v>
      </c>
      <c r="B1995" t="s">
        <v>3915</v>
      </c>
      <c r="C1995" t="s">
        <v>84</v>
      </c>
      <c r="D1995" t="s">
        <v>4178</v>
      </c>
      <c r="E1995" t="s">
        <v>69</v>
      </c>
      <c r="F1995" s="1"/>
      <c r="G1995">
        <v>2019</v>
      </c>
      <c r="H1995" t="s">
        <v>4178</v>
      </c>
      <c r="I1995" t="s">
        <v>4178</v>
      </c>
      <c r="J1995" t="s">
        <v>96</v>
      </c>
      <c r="K1995">
        <v>7.2</v>
      </c>
      <c r="L1995">
        <v>14493966</v>
      </c>
      <c r="M1995">
        <v>3069004</v>
      </c>
      <c r="N1995">
        <v>99</v>
      </c>
      <c r="O1995" t="s">
        <v>123</v>
      </c>
      <c r="P1995" t="s">
        <v>50</v>
      </c>
    </row>
    <row r="1996" spans="1:16" x14ac:dyDescent="0.35">
      <c r="A1996" t="s">
        <v>3998</v>
      </c>
      <c r="B1996" t="s">
        <v>3999</v>
      </c>
      <c r="C1996" t="s">
        <v>84</v>
      </c>
      <c r="D1996" t="s">
        <v>156</v>
      </c>
      <c r="E1996" t="s">
        <v>131</v>
      </c>
      <c r="F1996" s="1"/>
      <c r="G1996">
        <v>2005</v>
      </c>
      <c r="H1996" t="s">
        <v>21</v>
      </c>
      <c r="I1996" t="s">
        <v>4283</v>
      </c>
      <c r="J1996" t="s">
        <v>72</v>
      </c>
      <c r="K1996">
        <v>6.1</v>
      </c>
      <c r="L1996">
        <v>7882408</v>
      </c>
      <c r="M1996">
        <v>3036363</v>
      </c>
      <c r="N1996">
        <v>95</v>
      </c>
      <c r="O1996" t="s">
        <v>58</v>
      </c>
      <c r="P1996" t="s">
        <v>87</v>
      </c>
    </row>
    <row r="1997" spans="1:16" x14ac:dyDescent="0.35">
      <c r="A1997" t="s">
        <v>4040</v>
      </c>
      <c r="B1997" t="s">
        <v>4402</v>
      </c>
      <c r="C1997" t="s">
        <v>84</v>
      </c>
      <c r="D1997" t="s">
        <v>156</v>
      </c>
      <c r="E1997" t="s">
        <v>37</v>
      </c>
      <c r="F1997" s="1"/>
      <c r="G1997">
        <v>2022</v>
      </c>
      <c r="H1997" t="s">
        <v>46</v>
      </c>
      <c r="I1997" t="s">
        <v>4306</v>
      </c>
      <c r="J1997" t="s">
        <v>153</v>
      </c>
      <c r="K1997">
        <v>7.3</v>
      </c>
      <c r="L1997">
        <v>21892110</v>
      </c>
      <c r="M1997">
        <v>4303127</v>
      </c>
      <c r="N1997">
        <v>61</v>
      </c>
      <c r="O1997" t="s">
        <v>41</v>
      </c>
      <c r="P1997" t="s">
        <v>50</v>
      </c>
    </row>
    <row r="1998" spans="1:16" x14ac:dyDescent="0.35">
      <c r="A1998" t="s">
        <v>4077</v>
      </c>
      <c r="B1998" t="s">
        <v>4078</v>
      </c>
      <c r="C1998" t="s">
        <v>84</v>
      </c>
      <c r="D1998" t="s">
        <v>68</v>
      </c>
      <c r="E1998" t="s">
        <v>4196</v>
      </c>
      <c r="F1998" s="1"/>
      <c r="G1998">
        <v>2023</v>
      </c>
      <c r="H1998" t="s">
        <v>85</v>
      </c>
      <c r="I1998" t="s">
        <v>4241</v>
      </c>
      <c r="J1998" t="s">
        <v>133</v>
      </c>
      <c r="K1998">
        <v>5.2</v>
      </c>
      <c r="L1998">
        <v>141023</v>
      </c>
      <c r="M1998">
        <v>1815034</v>
      </c>
      <c r="N1998">
        <v>85</v>
      </c>
      <c r="O1998" t="s">
        <v>24</v>
      </c>
      <c r="P1998" t="s">
        <v>87</v>
      </c>
    </row>
    <row r="1999" spans="1:16" x14ac:dyDescent="0.35">
      <c r="A1999" t="s">
        <v>4109</v>
      </c>
      <c r="B1999" t="s">
        <v>4110</v>
      </c>
      <c r="C1999" t="s">
        <v>53</v>
      </c>
      <c r="D1999" t="s">
        <v>75</v>
      </c>
      <c r="E1999" t="s">
        <v>4196</v>
      </c>
      <c r="F1999" s="1"/>
      <c r="G1999">
        <v>2025</v>
      </c>
      <c r="H1999" t="s">
        <v>81</v>
      </c>
      <c r="I1999" t="s">
        <v>136</v>
      </c>
      <c r="J1999" t="s">
        <v>48</v>
      </c>
      <c r="K1999">
        <v>7.6</v>
      </c>
      <c r="L1999">
        <v>17991673</v>
      </c>
      <c r="M1999">
        <v>4283390</v>
      </c>
      <c r="N1999">
        <v>59</v>
      </c>
      <c r="O1999" t="s">
        <v>91</v>
      </c>
      <c r="P1999" t="s">
        <v>32</v>
      </c>
    </row>
    <row r="2000" spans="1:16" x14ac:dyDescent="0.35">
      <c r="A2000" t="s">
        <v>4111</v>
      </c>
      <c r="B2000" t="s">
        <v>4112</v>
      </c>
      <c r="C2000" t="s">
        <v>4178</v>
      </c>
      <c r="D2000" t="s">
        <v>94</v>
      </c>
      <c r="E2000" t="s">
        <v>4178</v>
      </c>
      <c r="F2000" s="1"/>
      <c r="G2000">
        <v>2006</v>
      </c>
      <c r="H2000" t="s">
        <v>21</v>
      </c>
      <c r="I2000" t="s">
        <v>95</v>
      </c>
      <c r="J2000" t="s">
        <v>103</v>
      </c>
      <c r="K2000">
        <v>6.9</v>
      </c>
      <c r="L2000">
        <v>3990044</v>
      </c>
      <c r="M2000">
        <v>3571686</v>
      </c>
      <c r="N2000">
        <v>45</v>
      </c>
      <c r="O2000" t="s">
        <v>123</v>
      </c>
      <c r="P2000" t="s">
        <v>32</v>
      </c>
    </row>
    <row r="2001" spans="1:16" x14ac:dyDescent="0.35">
      <c r="A2001" t="s">
        <v>4129</v>
      </c>
      <c r="B2001" t="s">
        <v>4130</v>
      </c>
      <c r="C2001" t="s">
        <v>53</v>
      </c>
      <c r="D2001" t="s">
        <v>90</v>
      </c>
      <c r="E2001" t="s">
        <v>99</v>
      </c>
      <c r="F2001" s="1"/>
      <c r="G2001">
        <v>2016</v>
      </c>
      <c r="H2001" t="s">
        <v>46</v>
      </c>
      <c r="I2001" t="s">
        <v>39</v>
      </c>
      <c r="J2001" t="s">
        <v>57</v>
      </c>
      <c r="K2001">
        <v>9.5</v>
      </c>
      <c r="L2001">
        <v>13312806</v>
      </c>
      <c r="M2001">
        <v>2397098</v>
      </c>
      <c r="N2001">
        <v>70</v>
      </c>
      <c r="O2001" t="s">
        <v>49</v>
      </c>
      <c r="P2001" t="s">
        <v>87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C9213-0125-4B08-BC4D-B181B0BAB224}">
  <dimension ref="A1:I4"/>
  <sheetViews>
    <sheetView workbookViewId="0">
      <selection activeCell="F9" sqref="F9"/>
    </sheetView>
  </sheetViews>
  <sheetFormatPr defaultRowHeight="14.5" x14ac:dyDescent="0.35"/>
  <cols>
    <col min="1" max="1" width="10.26953125" customWidth="1"/>
    <col min="6" max="6" width="17.1796875" customWidth="1"/>
    <col min="7" max="7" width="15.54296875" customWidth="1"/>
    <col min="8" max="8" width="17.81640625" customWidth="1"/>
    <col min="9" max="9" width="21.7265625" customWidth="1"/>
  </cols>
  <sheetData>
    <row r="1" spans="1:9" ht="31" x14ac:dyDescent="0.7">
      <c r="A1" s="22" t="s">
        <v>4416</v>
      </c>
    </row>
    <row r="3" spans="1:9" x14ac:dyDescent="0.35">
      <c r="A3" s="10" t="s">
        <v>4417</v>
      </c>
      <c r="B3" s="10" t="s">
        <v>4418</v>
      </c>
      <c r="C3" s="10" t="s">
        <v>4419</v>
      </c>
      <c r="D3" s="10" t="s">
        <v>4420</v>
      </c>
      <c r="E3" s="10" t="s">
        <v>4421</v>
      </c>
      <c r="F3" s="10" t="s">
        <v>4422</v>
      </c>
      <c r="G3" s="10" t="s">
        <v>4423</v>
      </c>
      <c r="H3" s="10" t="s">
        <v>4424</v>
      </c>
      <c r="I3" s="10" t="s">
        <v>4425</v>
      </c>
    </row>
    <row r="4" spans="1:9" x14ac:dyDescent="0.35">
      <c r="A4" s="23">
        <f>COUNTA(Netflix_Cleaned[show_id])</f>
        <v>2000</v>
      </c>
      <c r="B4" s="23">
        <f>COUNTIF(Netflix_Cleaned[type],"Movie")</f>
        <v>969</v>
      </c>
      <c r="C4" s="23">
        <f>COUNTIF(Netflix_Cleaned[type],"TV Show")</f>
        <v>707</v>
      </c>
      <c r="D4" s="23">
        <f>COUNTA(_xlfn.UNIQUE(Netflix_Cleaned[country]))</f>
        <v>13</v>
      </c>
      <c r="E4" s="23">
        <f>COUNTA(_xlfn.UNIQUE(Netflix_Cleaned[genre]))</f>
        <v>11</v>
      </c>
      <c r="F4" s="23">
        <f>AVERAGE(Netflix_Cleaned[imdb_rating])</f>
        <v>7.2596000000000167</v>
      </c>
      <c r="G4" s="23">
        <f>SUM(Netflix_Cleaned[views])</f>
        <v>24186632043</v>
      </c>
      <c r="H4" s="23">
        <f>SUM(Netflix_Cleaned[watch_hours])</f>
        <v>4945760434</v>
      </c>
      <c r="I4" s="23">
        <f>AVERAGE(Netflix_Cleaned[completion_rate])</f>
        <v>71.283000000000001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40AA3-78CC-407B-BAE9-0CEB1093BDF0}">
  <dimension ref="B1:P34"/>
  <sheetViews>
    <sheetView tabSelected="1" topLeftCell="A8" zoomScale="53" zoomScaleNormal="114" workbookViewId="0">
      <selection activeCell="R29" sqref="R29"/>
    </sheetView>
  </sheetViews>
  <sheetFormatPr defaultRowHeight="14.5" x14ac:dyDescent="0.35"/>
  <cols>
    <col min="2" max="2" width="12.453125" bestFit="1" customWidth="1"/>
    <col min="3" max="3" width="15.1796875" bestFit="1" customWidth="1"/>
    <col min="6" max="6" width="13.54296875" bestFit="1" customWidth="1"/>
    <col min="7" max="7" width="15.1796875" bestFit="1" customWidth="1"/>
    <col min="9" max="9" width="12.453125" bestFit="1" customWidth="1"/>
    <col min="10" max="10" width="15.1796875" bestFit="1" customWidth="1"/>
    <col min="12" max="12" width="14.26953125" customWidth="1"/>
    <col min="13" max="13" width="16" customWidth="1"/>
    <col min="15" max="15" width="12.453125" bestFit="1" customWidth="1"/>
    <col min="16" max="16" width="15.1796875" bestFit="1" customWidth="1"/>
  </cols>
  <sheetData>
    <row r="1" spans="2:16" x14ac:dyDescent="0.35">
      <c r="F1" s="10" t="s">
        <v>4404</v>
      </c>
    </row>
    <row r="2" spans="2:16" ht="15" thickBot="1" x14ac:dyDescent="0.4"/>
    <row r="3" spans="2:16" x14ac:dyDescent="0.35">
      <c r="B3" s="6" t="s">
        <v>4137</v>
      </c>
      <c r="C3" s="7" t="s">
        <v>4138</v>
      </c>
      <c r="F3" s="19" t="s">
        <v>4414</v>
      </c>
      <c r="G3" t="s">
        <v>4413</v>
      </c>
      <c r="I3" s="19" t="s">
        <v>4414</v>
      </c>
      <c r="J3" t="s">
        <v>4413</v>
      </c>
      <c r="O3" s="19" t="s">
        <v>4414</v>
      </c>
      <c r="P3" t="s">
        <v>4413</v>
      </c>
    </row>
    <row r="4" spans="2:16" x14ac:dyDescent="0.35">
      <c r="B4" s="2" t="s">
        <v>4139</v>
      </c>
      <c r="C4" s="3">
        <v>2000</v>
      </c>
      <c r="F4" s="20" t="s">
        <v>20</v>
      </c>
      <c r="G4">
        <v>133</v>
      </c>
      <c r="I4" s="20" t="s">
        <v>50</v>
      </c>
      <c r="J4">
        <v>424</v>
      </c>
      <c r="O4" s="20">
        <v>2000</v>
      </c>
      <c r="P4">
        <v>63</v>
      </c>
    </row>
    <row r="5" spans="2:16" x14ac:dyDescent="0.35">
      <c r="B5" s="2" t="s">
        <v>4140</v>
      </c>
      <c r="C5" s="3">
        <v>16</v>
      </c>
      <c r="F5" s="20" t="s">
        <v>37</v>
      </c>
      <c r="G5">
        <v>112</v>
      </c>
      <c r="I5" s="20" t="s">
        <v>87</v>
      </c>
      <c r="J5">
        <v>388</v>
      </c>
      <c r="O5" s="20">
        <v>2001</v>
      </c>
      <c r="P5">
        <v>68</v>
      </c>
    </row>
    <row r="6" spans="2:16" x14ac:dyDescent="0.35">
      <c r="B6" s="2" t="s">
        <v>4405</v>
      </c>
      <c r="C6" s="21" t="s">
        <v>4412</v>
      </c>
      <c r="F6" s="20" t="s">
        <v>62</v>
      </c>
      <c r="G6">
        <v>173</v>
      </c>
      <c r="I6" s="20" t="s">
        <v>32</v>
      </c>
      <c r="J6">
        <v>388</v>
      </c>
      <c r="O6" s="20">
        <v>2002</v>
      </c>
      <c r="P6">
        <v>72</v>
      </c>
    </row>
    <row r="7" spans="2:16" ht="29" x14ac:dyDescent="0.35">
      <c r="B7" s="2" t="s">
        <v>4406</v>
      </c>
      <c r="C7" s="3">
        <f>COUNTIF(Netflix_Cleaned[type],"Movie")</f>
        <v>969</v>
      </c>
      <c r="F7" s="20" t="s">
        <v>99</v>
      </c>
      <c r="G7">
        <v>152</v>
      </c>
      <c r="I7" s="20" t="s">
        <v>4181</v>
      </c>
      <c r="J7">
        <v>403</v>
      </c>
      <c r="O7" s="20">
        <v>2003</v>
      </c>
      <c r="P7">
        <v>81</v>
      </c>
    </row>
    <row r="8" spans="2:16" ht="29" x14ac:dyDescent="0.35">
      <c r="B8" s="2" t="s">
        <v>4407</v>
      </c>
      <c r="C8" s="3">
        <v>707</v>
      </c>
      <c r="F8" s="20" t="s">
        <v>69</v>
      </c>
      <c r="G8">
        <v>136</v>
      </c>
      <c r="I8" s="20" t="s">
        <v>4178</v>
      </c>
      <c r="J8">
        <v>397</v>
      </c>
      <c r="O8" s="20">
        <v>2004</v>
      </c>
      <c r="P8">
        <v>75</v>
      </c>
    </row>
    <row r="9" spans="2:16" ht="29" x14ac:dyDescent="0.35">
      <c r="B9" s="2" t="s">
        <v>4408</v>
      </c>
      <c r="C9" s="3"/>
      <c r="F9" s="20" t="s">
        <v>45</v>
      </c>
      <c r="G9">
        <v>163</v>
      </c>
      <c r="I9" s="20" t="s">
        <v>4415</v>
      </c>
      <c r="J9">
        <v>2000</v>
      </c>
      <c r="O9" s="20">
        <v>2005</v>
      </c>
      <c r="P9">
        <v>75</v>
      </c>
    </row>
    <row r="10" spans="2:16" ht="29" x14ac:dyDescent="0.35">
      <c r="B10" s="2" t="s">
        <v>4409</v>
      </c>
      <c r="C10" s="3"/>
      <c r="F10" s="20" t="s">
        <v>28</v>
      </c>
      <c r="G10">
        <v>120</v>
      </c>
      <c r="O10" s="20">
        <v>2006</v>
      </c>
      <c r="P10">
        <v>82</v>
      </c>
    </row>
    <row r="11" spans="2:16" ht="29" x14ac:dyDescent="0.35">
      <c r="B11" s="2" t="s">
        <v>4141</v>
      </c>
      <c r="C11" s="3" t="s">
        <v>4152</v>
      </c>
      <c r="F11" s="20" t="s">
        <v>113</v>
      </c>
      <c r="G11">
        <v>162</v>
      </c>
      <c r="O11" s="20">
        <v>2007</v>
      </c>
      <c r="P11">
        <v>80</v>
      </c>
    </row>
    <row r="12" spans="2:16" ht="44" thickBot="1" x14ac:dyDescent="0.4">
      <c r="B12" s="4" t="s">
        <v>4410</v>
      </c>
      <c r="C12" s="5" t="s">
        <v>4411</v>
      </c>
      <c r="F12" s="20" t="s">
        <v>80</v>
      </c>
      <c r="G12">
        <v>135</v>
      </c>
      <c r="L12" s="19" t="s">
        <v>4414</v>
      </c>
      <c r="M12" t="s">
        <v>4413</v>
      </c>
      <c r="O12" s="20">
        <v>2008</v>
      </c>
      <c r="P12">
        <v>67</v>
      </c>
    </row>
    <row r="13" spans="2:16" x14ac:dyDescent="0.35">
      <c r="F13" s="20" t="s">
        <v>131</v>
      </c>
      <c r="G13">
        <v>152</v>
      </c>
      <c r="L13" s="20" t="s">
        <v>114</v>
      </c>
      <c r="M13">
        <v>189</v>
      </c>
      <c r="O13" s="20">
        <v>2009</v>
      </c>
      <c r="P13">
        <v>71</v>
      </c>
    </row>
    <row r="14" spans="2:16" x14ac:dyDescent="0.35">
      <c r="F14" s="20" t="s">
        <v>55</v>
      </c>
      <c r="G14">
        <v>133</v>
      </c>
      <c r="L14" s="20" t="s">
        <v>46</v>
      </c>
      <c r="M14">
        <v>185</v>
      </c>
      <c r="O14" s="20">
        <v>2010</v>
      </c>
      <c r="P14">
        <v>71</v>
      </c>
    </row>
    <row r="15" spans="2:16" x14ac:dyDescent="0.35">
      <c r="F15" s="20" t="s">
        <v>4178</v>
      </c>
      <c r="G15">
        <v>274</v>
      </c>
      <c r="L15" s="20" t="s">
        <v>63</v>
      </c>
      <c r="M15">
        <v>188</v>
      </c>
      <c r="O15" s="20">
        <v>2011</v>
      </c>
      <c r="P15">
        <v>82</v>
      </c>
    </row>
    <row r="16" spans="2:16" x14ac:dyDescent="0.35">
      <c r="F16" s="20" t="s">
        <v>4196</v>
      </c>
      <c r="G16">
        <v>155</v>
      </c>
      <c r="L16" s="20" t="s">
        <v>38</v>
      </c>
      <c r="M16">
        <v>197</v>
      </c>
      <c r="O16" s="20">
        <v>2012</v>
      </c>
      <c r="P16">
        <v>69</v>
      </c>
    </row>
    <row r="17" spans="2:16" x14ac:dyDescent="0.35">
      <c r="F17" s="20" t="s">
        <v>4415</v>
      </c>
      <c r="G17">
        <v>2000</v>
      </c>
      <c r="L17" s="20" t="s">
        <v>21</v>
      </c>
      <c r="M17">
        <v>159</v>
      </c>
      <c r="O17" s="20">
        <v>2013</v>
      </c>
      <c r="P17">
        <v>72</v>
      </c>
    </row>
    <row r="18" spans="2:16" x14ac:dyDescent="0.35">
      <c r="L18" s="20" t="s">
        <v>121</v>
      </c>
      <c r="M18">
        <v>184</v>
      </c>
      <c r="O18" s="20">
        <v>2014</v>
      </c>
      <c r="P18">
        <v>71</v>
      </c>
    </row>
    <row r="19" spans="2:16" x14ac:dyDescent="0.35">
      <c r="L19" s="20" t="s">
        <v>107</v>
      </c>
      <c r="M19">
        <v>363</v>
      </c>
      <c r="O19" s="20">
        <v>2015</v>
      </c>
      <c r="P19">
        <v>72</v>
      </c>
    </row>
    <row r="20" spans="2:16" x14ac:dyDescent="0.35">
      <c r="L20" s="20" t="s">
        <v>85</v>
      </c>
      <c r="M20">
        <v>181</v>
      </c>
      <c r="O20" s="20">
        <v>2016</v>
      </c>
      <c r="P20">
        <v>80</v>
      </c>
    </row>
    <row r="21" spans="2:16" x14ac:dyDescent="0.35">
      <c r="L21" s="20" t="s">
        <v>81</v>
      </c>
      <c r="M21">
        <v>170</v>
      </c>
      <c r="O21" s="20">
        <v>2017</v>
      </c>
      <c r="P21">
        <v>80</v>
      </c>
    </row>
    <row r="22" spans="2:16" x14ac:dyDescent="0.35">
      <c r="I22" s="19" t="s">
        <v>4414</v>
      </c>
      <c r="J22" t="s">
        <v>4413</v>
      </c>
      <c r="L22" s="20" t="s">
        <v>4178</v>
      </c>
      <c r="M22">
        <v>184</v>
      </c>
      <c r="O22" s="20">
        <v>2018</v>
      </c>
      <c r="P22">
        <v>77</v>
      </c>
    </row>
    <row r="23" spans="2:16" x14ac:dyDescent="0.35">
      <c r="I23" s="20" t="s">
        <v>96</v>
      </c>
      <c r="J23">
        <v>165</v>
      </c>
      <c r="L23" s="20" t="s">
        <v>4415</v>
      </c>
      <c r="M23">
        <v>2000</v>
      </c>
      <c r="O23" s="20">
        <v>2019</v>
      </c>
      <c r="P23">
        <v>75</v>
      </c>
    </row>
    <row r="24" spans="2:16" x14ac:dyDescent="0.35">
      <c r="I24" s="20" t="s">
        <v>103</v>
      </c>
      <c r="J24">
        <v>168</v>
      </c>
      <c r="O24" s="20">
        <v>2020</v>
      </c>
      <c r="P24">
        <v>83</v>
      </c>
    </row>
    <row r="25" spans="2:16" x14ac:dyDescent="0.35">
      <c r="B25" s="19" t="s">
        <v>4414</v>
      </c>
      <c r="C25" t="s">
        <v>4413</v>
      </c>
      <c r="I25" s="20" t="s">
        <v>133</v>
      </c>
      <c r="J25">
        <v>300</v>
      </c>
      <c r="O25" s="20">
        <v>2021</v>
      </c>
      <c r="P25">
        <v>54</v>
      </c>
    </row>
    <row r="26" spans="2:16" x14ac:dyDescent="0.35">
      <c r="B26" s="20" t="s">
        <v>84</v>
      </c>
      <c r="C26">
        <v>969</v>
      </c>
      <c r="I26" s="20" t="s">
        <v>30</v>
      </c>
      <c r="J26">
        <v>170</v>
      </c>
      <c r="O26" s="20">
        <v>2022</v>
      </c>
      <c r="P26">
        <v>48</v>
      </c>
    </row>
    <row r="27" spans="2:16" x14ac:dyDescent="0.35">
      <c r="B27" s="20" t="s">
        <v>53</v>
      </c>
      <c r="C27">
        <v>707</v>
      </c>
      <c r="I27" s="20" t="s">
        <v>40</v>
      </c>
      <c r="J27">
        <v>152</v>
      </c>
      <c r="O27" s="20">
        <v>2023</v>
      </c>
      <c r="P27">
        <v>75</v>
      </c>
    </row>
    <row r="28" spans="2:16" x14ac:dyDescent="0.35">
      <c r="B28" s="20" t="s">
        <v>4178</v>
      </c>
      <c r="C28">
        <v>324</v>
      </c>
      <c r="I28" s="20" t="s">
        <v>72</v>
      </c>
      <c r="J28">
        <v>294</v>
      </c>
      <c r="O28" s="20">
        <v>2024</v>
      </c>
      <c r="P28">
        <v>71</v>
      </c>
    </row>
    <row r="29" spans="2:16" x14ac:dyDescent="0.35">
      <c r="B29" s="20" t="s">
        <v>4415</v>
      </c>
      <c r="C29">
        <v>2000</v>
      </c>
      <c r="I29" s="20" t="s">
        <v>57</v>
      </c>
      <c r="J29">
        <v>152</v>
      </c>
      <c r="O29" s="20">
        <v>2025</v>
      </c>
      <c r="P29">
        <v>72</v>
      </c>
    </row>
    <row r="30" spans="2:16" x14ac:dyDescent="0.35">
      <c r="I30" s="20" t="s">
        <v>48</v>
      </c>
      <c r="J30">
        <v>148</v>
      </c>
      <c r="O30" s="20">
        <v>2026</v>
      </c>
      <c r="P30">
        <v>69</v>
      </c>
    </row>
    <row r="31" spans="2:16" x14ac:dyDescent="0.35">
      <c r="I31" s="20" t="s">
        <v>153</v>
      </c>
      <c r="J31">
        <v>149</v>
      </c>
      <c r="O31" s="20">
        <v>2032</v>
      </c>
      <c r="P31">
        <v>45</v>
      </c>
    </row>
    <row r="32" spans="2:16" x14ac:dyDescent="0.35">
      <c r="I32" s="20" t="s">
        <v>23</v>
      </c>
      <c r="J32">
        <v>161</v>
      </c>
      <c r="O32" s="20" t="s">
        <v>4415</v>
      </c>
      <c r="P32">
        <v>2000</v>
      </c>
    </row>
    <row r="33" spans="9:10" x14ac:dyDescent="0.35">
      <c r="I33" s="20" t="s">
        <v>4178</v>
      </c>
      <c r="J33">
        <v>141</v>
      </c>
    </row>
    <row r="34" spans="9:10" x14ac:dyDescent="0.35">
      <c r="I34" s="20" t="s">
        <v>4415</v>
      </c>
      <c r="J34">
        <v>2000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EAC47-498D-416D-B625-518D0D85BD36}">
  <dimension ref="A1:P2001"/>
  <sheetViews>
    <sheetView zoomScale="56" zoomScaleNormal="100" workbookViewId="0">
      <selection activeCell="I26" sqref="I26"/>
    </sheetView>
  </sheetViews>
  <sheetFormatPr defaultRowHeight="14.5" x14ac:dyDescent="0.35"/>
  <cols>
    <col min="1" max="1" width="9.453125" customWidth="1"/>
    <col min="4" max="4" width="9.26953125" customWidth="1"/>
    <col min="5" max="5" width="8.90625" customWidth="1"/>
    <col min="6" max="6" width="12.1796875" customWidth="1"/>
    <col min="7" max="7" width="13.1796875" customWidth="1"/>
    <col min="9" max="9" width="9.54296875" customWidth="1"/>
    <col min="11" max="11" width="12.54296875" customWidth="1"/>
    <col min="13" max="13" width="13.1796875" customWidth="1"/>
    <col min="14" max="14" width="16.08984375" customWidth="1"/>
    <col min="15" max="15" width="10.26953125" customWidth="1"/>
    <col min="16" max="16" width="12.36328125"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t="s">
        <v>19</v>
      </c>
      <c r="E2" t="s">
        <v>20</v>
      </c>
      <c r="F2" s="1">
        <v>46161</v>
      </c>
      <c r="G2">
        <v>2002</v>
      </c>
      <c r="H2" t="s">
        <v>21</v>
      </c>
      <c r="I2" t="s">
        <v>22</v>
      </c>
      <c r="J2" t="s">
        <v>23</v>
      </c>
      <c r="K2">
        <v>6.7</v>
      </c>
      <c r="L2">
        <v>4164104</v>
      </c>
      <c r="M2">
        <v>1873664</v>
      </c>
      <c r="N2">
        <v>77</v>
      </c>
      <c r="O2" t="s">
        <v>24</v>
      </c>
    </row>
    <row r="3" spans="1:16" x14ac:dyDescent="0.35">
      <c r="A3" t="s">
        <v>25</v>
      </c>
      <c r="B3" t="s">
        <v>26</v>
      </c>
      <c r="C3" t="s">
        <v>18</v>
      </c>
      <c r="D3" t="s">
        <v>27</v>
      </c>
      <c r="E3" t="s">
        <v>28</v>
      </c>
      <c r="F3" s="1">
        <v>42969</v>
      </c>
      <c r="G3">
        <v>2017</v>
      </c>
      <c r="I3" t="s">
        <v>29</v>
      </c>
      <c r="J3" t="s">
        <v>30</v>
      </c>
      <c r="K3">
        <v>5.5</v>
      </c>
      <c r="L3">
        <v>23904472</v>
      </c>
      <c r="M3">
        <v>527712</v>
      </c>
      <c r="N3">
        <v>79</v>
      </c>
      <c r="O3" t="s">
        <v>31</v>
      </c>
      <c r="P3" t="s">
        <v>32</v>
      </c>
    </row>
    <row r="4" spans="1:16" x14ac:dyDescent="0.35">
      <c r="A4" t="s">
        <v>33</v>
      </c>
      <c r="B4" t="s">
        <v>34</v>
      </c>
      <c r="C4" t="s">
        <v>35</v>
      </c>
      <c r="D4" t="s">
        <v>36</v>
      </c>
      <c r="E4" t="s">
        <v>37</v>
      </c>
      <c r="F4" s="1">
        <v>44004</v>
      </c>
      <c r="G4">
        <v>2009</v>
      </c>
      <c r="H4" t="s">
        <v>38</v>
      </c>
      <c r="I4" t="s">
        <v>39</v>
      </c>
      <c r="J4" t="s">
        <v>40</v>
      </c>
      <c r="K4">
        <v>6</v>
      </c>
      <c r="L4">
        <v>3971630</v>
      </c>
      <c r="M4">
        <v>4295403</v>
      </c>
      <c r="N4">
        <v>88</v>
      </c>
      <c r="O4" t="s">
        <v>41</v>
      </c>
      <c r="P4" t="s">
        <v>42</v>
      </c>
    </row>
    <row r="5" spans="1:16" x14ac:dyDescent="0.35">
      <c r="A5" t="s">
        <v>43</v>
      </c>
      <c r="B5" t="s">
        <v>44</v>
      </c>
      <c r="C5" t="s">
        <v>18</v>
      </c>
      <c r="D5" t="s">
        <v>19</v>
      </c>
      <c r="E5" t="s">
        <v>45</v>
      </c>
      <c r="F5" s="1">
        <v>46073</v>
      </c>
      <c r="G5">
        <v>2014</v>
      </c>
      <c r="H5" t="s">
        <v>46</v>
      </c>
      <c r="I5" t="s">
        <v>47</v>
      </c>
      <c r="J5" t="s">
        <v>48</v>
      </c>
      <c r="K5">
        <v>8</v>
      </c>
      <c r="L5">
        <v>23548166</v>
      </c>
      <c r="M5">
        <v>2598174</v>
      </c>
      <c r="N5">
        <v>83</v>
      </c>
      <c r="O5" t="s">
        <v>49</v>
      </c>
      <c r="P5" t="s">
        <v>50</v>
      </c>
    </row>
    <row r="6" spans="1:16" x14ac:dyDescent="0.35">
      <c r="A6" t="s">
        <v>51</v>
      </c>
      <c r="B6" t="s">
        <v>52</v>
      </c>
      <c r="C6" t="s">
        <v>53</v>
      </c>
      <c r="D6" t="s">
        <v>54</v>
      </c>
      <c r="E6" t="s">
        <v>55</v>
      </c>
      <c r="F6" s="1">
        <v>44359</v>
      </c>
      <c r="G6">
        <v>2007</v>
      </c>
      <c r="H6" t="s">
        <v>21</v>
      </c>
      <c r="I6" t="s">
        <v>56</v>
      </c>
      <c r="J6" t="s">
        <v>57</v>
      </c>
      <c r="K6">
        <v>6.9</v>
      </c>
      <c r="L6">
        <v>4604478</v>
      </c>
      <c r="M6">
        <v>3612477</v>
      </c>
      <c r="N6">
        <v>57</v>
      </c>
      <c r="O6" t="s">
        <v>58</v>
      </c>
      <c r="P6" t="s">
        <v>50</v>
      </c>
    </row>
    <row r="7" spans="1:16" x14ac:dyDescent="0.35">
      <c r="A7" t="s">
        <v>59</v>
      </c>
      <c r="B7" t="s">
        <v>60</v>
      </c>
      <c r="C7" t="s">
        <v>53</v>
      </c>
      <c r="D7" t="s">
        <v>61</v>
      </c>
      <c r="E7" t="s">
        <v>62</v>
      </c>
      <c r="F7" s="1">
        <v>43498</v>
      </c>
      <c r="G7">
        <v>2000</v>
      </c>
      <c r="H7" t="s">
        <v>63</v>
      </c>
      <c r="I7" t="s">
        <v>64</v>
      </c>
      <c r="J7" t="s">
        <v>40</v>
      </c>
      <c r="K7">
        <v>6.2</v>
      </c>
      <c r="L7">
        <v>17307022</v>
      </c>
      <c r="M7">
        <v>453925</v>
      </c>
      <c r="N7">
        <v>95</v>
      </c>
      <c r="O7" t="s">
        <v>65</v>
      </c>
      <c r="P7" t="s">
        <v>32</v>
      </c>
    </row>
    <row r="8" spans="1:16" x14ac:dyDescent="0.35">
      <c r="A8" t="s">
        <v>66</v>
      </c>
      <c r="B8" t="s">
        <v>67</v>
      </c>
      <c r="C8" t="s">
        <v>35</v>
      </c>
      <c r="D8" t="s">
        <v>68</v>
      </c>
      <c r="E8" t="s">
        <v>69</v>
      </c>
      <c r="F8" s="1">
        <v>45614</v>
      </c>
      <c r="G8">
        <v>2010</v>
      </c>
      <c r="H8" t="s">
        <v>70</v>
      </c>
      <c r="I8" t="s">
        <v>71</v>
      </c>
      <c r="J8" t="s">
        <v>72</v>
      </c>
      <c r="K8">
        <v>7.3</v>
      </c>
      <c r="L8">
        <v>20603605</v>
      </c>
      <c r="M8">
        <v>214916</v>
      </c>
      <c r="N8">
        <v>53</v>
      </c>
      <c r="P8" t="s">
        <v>32</v>
      </c>
    </row>
    <row r="9" spans="1:16" x14ac:dyDescent="0.35">
      <c r="A9" t="s">
        <v>73</v>
      </c>
      <c r="B9" t="s">
        <v>74</v>
      </c>
      <c r="C9" t="s">
        <v>35</v>
      </c>
      <c r="D9" t="s">
        <v>75</v>
      </c>
      <c r="F9" s="1">
        <v>45822</v>
      </c>
      <c r="G9">
        <v>2009</v>
      </c>
      <c r="H9" t="s">
        <v>46</v>
      </c>
      <c r="I9" t="s">
        <v>56</v>
      </c>
      <c r="J9" t="s">
        <v>76</v>
      </c>
      <c r="K9">
        <v>5.9</v>
      </c>
      <c r="L9">
        <v>5426980</v>
      </c>
      <c r="M9">
        <v>4332327</v>
      </c>
      <c r="N9">
        <v>120</v>
      </c>
      <c r="O9" t="s">
        <v>65</v>
      </c>
      <c r="P9" t="s">
        <v>50</v>
      </c>
    </row>
    <row r="10" spans="1:16" x14ac:dyDescent="0.35">
      <c r="A10" t="s">
        <v>77</v>
      </c>
      <c r="B10" t="s">
        <v>78</v>
      </c>
      <c r="C10" t="s">
        <v>79</v>
      </c>
      <c r="D10" t="s">
        <v>75</v>
      </c>
      <c r="E10" t="s">
        <v>80</v>
      </c>
      <c r="F10" s="1">
        <v>45009</v>
      </c>
      <c r="G10">
        <v>2011</v>
      </c>
      <c r="H10" t="s">
        <v>81</v>
      </c>
      <c r="I10" t="s">
        <v>82</v>
      </c>
      <c r="K10">
        <v>7.9</v>
      </c>
      <c r="L10">
        <v>6558014</v>
      </c>
      <c r="M10">
        <v>2009129</v>
      </c>
      <c r="N10">
        <v>87</v>
      </c>
      <c r="O10" t="s">
        <v>31</v>
      </c>
      <c r="P10" t="s">
        <v>42</v>
      </c>
    </row>
    <row r="11" spans="1:16" x14ac:dyDescent="0.35">
      <c r="A11" t="s">
        <v>83</v>
      </c>
      <c r="B11" t="s">
        <v>78</v>
      </c>
      <c r="C11" t="s">
        <v>84</v>
      </c>
      <c r="D11" t="s">
        <v>36</v>
      </c>
      <c r="E11" t="s">
        <v>62</v>
      </c>
      <c r="F11" s="1">
        <v>44825</v>
      </c>
      <c r="G11">
        <v>2023</v>
      </c>
      <c r="H11" t="s">
        <v>85</v>
      </c>
      <c r="I11" t="s">
        <v>86</v>
      </c>
      <c r="J11" t="s">
        <v>40</v>
      </c>
      <c r="K11">
        <v>5</v>
      </c>
      <c r="L11">
        <v>11342589</v>
      </c>
      <c r="M11">
        <v>1715408</v>
      </c>
      <c r="N11">
        <v>97</v>
      </c>
      <c r="P11" t="s">
        <v>87</v>
      </c>
    </row>
    <row r="12" spans="1:16" x14ac:dyDescent="0.35">
      <c r="A12" t="s">
        <v>88</v>
      </c>
      <c r="B12" t="s">
        <v>89</v>
      </c>
      <c r="D12" t="s">
        <v>90</v>
      </c>
      <c r="F12" s="1">
        <v>43637</v>
      </c>
      <c r="G12">
        <v>2005</v>
      </c>
      <c r="H12" t="s">
        <v>21</v>
      </c>
      <c r="I12" t="s">
        <v>56</v>
      </c>
      <c r="J12" t="s">
        <v>40</v>
      </c>
      <c r="K12">
        <v>9.5</v>
      </c>
      <c r="L12">
        <v>15551088</v>
      </c>
      <c r="M12">
        <v>3368076</v>
      </c>
      <c r="N12">
        <v>45</v>
      </c>
      <c r="O12" t="s">
        <v>91</v>
      </c>
      <c r="P12" t="s">
        <v>42</v>
      </c>
    </row>
    <row r="13" spans="1:16" x14ac:dyDescent="0.35">
      <c r="A13" t="s">
        <v>92</v>
      </c>
      <c r="B13" t="s">
        <v>93</v>
      </c>
      <c r="D13" t="s">
        <v>94</v>
      </c>
      <c r="F13" s="1">
        <v>45890</v>
      </c>
      <c r="G13">
        <v>2011</v>
      </c>
      <c r="H13" t="s">
        <v>63</v>
      </c>
      <c r="I13" t="s">
        <v>95</v>
      </c>
      <c r="J13" t="s">
        <v>96</v>
      </c>
      <c r="K13">
        <v>8.6999999999999993</v>
      </c>
      <c r="L13">
        <v>3458457</v>
      </c>
      <c r="M13">
        <v>4418281</v>
      </c>
      <c r="N13">
        <v>48</v>
      </c>
      <c r="O13" t="s">
        <v>58</v>
      </c>
      <c r="P13" t="s">
        <v>42</v>
      </c>
    </row>
    <row r="14" spans="1:16" x14ac:dyDescent="0.35">
      <c r="A14" t="s">
        <v>97</v>
      </c>
      <c r="B14" t="s">
        <v>98</v>
      </c>
      <c r="C14" t="s">
        <v>53</v>
      </c>
      <c r="D14" t="s">
        <v>36</v>
      </c>
      <c r="E14" t="s">
        <v>99</v>
      </c>
      <c r="F14" s="1">
        <v>43078</v>
      </c>
      <c r="G14">
        <v>2023</v>
      </c>
      <c r="H14" t="s">
        <v>85</v>
      </c>
      <c r="I14" t="s">
        <v>39</v>
      </c>
      <c r="J14" t="s">
        <v>100</v>
      </c>
      <c r="K14">
        <v>9.3000000000000007</v>
      </c>
      <c r="L14">
        <v>16842545</v>
      </c>
      <c r="M14">
        <v>1097921</v>
      </c>
      <c r="N14">
        <v>73</v>
      </c>
      <c r="O14" t="s">
        <v>65</v>
      </c>
      <c r="P14" t="s">
        <v>87</v>
      </c>
    </row>
    <row r="15" spans="1:16" x14ac:dyDescent="0.35">
      <c r="A15" t="s">
        <v>101</v>
      </c>
      <c r="B15" t="s">
        <v>102</v>
      </c>
      <c r="C15" t="s">
        <v>53</v>
      </c>
      <c r="D15" t="s">
        <v>27</v>
      </c>
      <c r="E15" t="s">
        <v>62</v>
      </c>
      <c r="F15" s="1">
        <v>42990</v>
      </c>
      <c r="G15">
        <v>2010</v>
      </c>
      <c r="I15" t="s">
        <v>95</v>
      </c>
      <c r="J15" t="s">
        <v>103</v>
      </c>
      <c r="K15">
        <v>8.6</v>
      </c>
      <c r="L15">
        <v>1916649</v>
      </c>
      <c r="M15">
        <v>2085521</v>
      </c>
      <c r="N15">
        <v>42</v>
      </c>
      <c r="O15" t="s">
        <v>104</v>
      </c>
    </row>
    <row r="16" spans="1:16" x14ac:dyDescent="0.35">
      <c r="A16" t="s">
        <v>105</v>
      </c>
      <c r="B16" t="s">
        <v>106</v>
      </c>
      <c r="C16" t="s">
        <v>84</v>
      </c>
      <c r="D16" t="s">
        <v>19</v>
      </c>
      <c r="E16" t="s">
        <v>20</v>
      </c>
      <c r="F16" s="1">
        <v>46200</v>
      </c>
      <c r="G16">
        <v>2008</v>
      </c>
      <c r="H16" t="s">
        <v>107</v>
      </c>
      <c r="I16" t="s">
        <v>108</v>
      </c>
      <c r="K16">
        <v>9.5</v>
      </c>
      <c r="L16">
        <v>8720471</v>
      </c>
      <c r="M16">
        <v>4694541</v>
      </c>
      <c r="N16">
        <v>52</v>
      </c>
      <c r="O16" t="s">
        <v>49</v>
      </c>
      <c r="P16" t="s">
        <v>42</v>
      </c>
    </row>
    <row r="17" spans="1:16" x14ac:dyDescent="0.35">
      <c r="A17" t="s">
        <v>109</v>
      </c>
      <c r="B17" t="s">
        <v>110</v>
      </c>
      <c r="D17" t="s">
        <v>90</v>
      </c>
      <c r="E17" t="s">
        <v>69</v>
      </c>
      <c r="F17" s="1">
        <v>44485</v>
      </c>
      <c r="G17">
        <v>2024</v>
      </c>
      <c r="H17" t="s">
        <v>63</v>
      </c>
      <c r="I17" t="s">
        <v>64</v>
      </c>
      <c r="J17" t="s">
        <v>100</v>
      </c>
      <c r="K17">
        <v>5.3</v>
      </c>
      <c r="L17">
        <v>15704610</v>
      </c>
      <c r="M17">
        <v>1843036</v>
      </c>
      <c r="N17">
        <v>46</v>
      </c>
      <c r="O17" t="s">
        <v>58</v>
      </c>
      <c r="P17" t="s">
        <v>32</v>
      </c>
    </row>
    <row r="18" spans="1:16" x14ac:dyDescent="0.35">
      <c r="A18" t="s">
        <v>111</v>
      </c>
      <c r="B18" t="s">
        <v>112</v>
      </c>
      <c r="C18" t="s">
        <v>18</v>
      </c>
      <c r="D18" t="s">
        <v>19</v>
      </c>
      <c r="E18" t="s">
        <v>113</v>
      </c>
      <c r="F18" s="1">
        <v>44614</v>
      </c>
      <c r="G18">
        <v>2011</v>
      </c>
      <c r="H18" t="s">
        <v>114</v>
      </c>
      <c r="I18" t="s">
        <v>115</v>
      </c>
      <c r="J18" t="s">
        <v>57</v>
      </c>
      <c r="K18">
        <v>4.5999999999999996</v>
      </c>
      <c r="L18">
        <v>20945518</v>
      </c>
      <c r="M18">
        <v>2479448</v>
      </c>
      <c r="N18">
        <v>44</v>
      </c>
      <c r="O18" t="s">
        <v>104</v>
      </c>
      <c r="P18" t="s">
        <v>42</v>
      </c>
    </row>
    <row r="19" spans="1:16" x14ac:dyDescent="0.35">
      <c r="A19" t="s">
        <v>116</v>
      </c>
      <c r="B19" t="s">
        <v>117</v>
      </c>
      <c r="C19" t="s">
        <v>53</v>
      </c>
      <c r="D19" t="s">
        <v>27</v>
      </c>
      <c r="F19" s="1">
        <v>44123</v>
      </c>
      <c r="G19">
        <v>2017</v>
      </c>
      <c r="H19" t="s">
        <v>38</v>
      </c>
      <c r="I19" t="s">
        <v>118</v>
      </c>
      <c r="J19" t="s">
        <v>76</v>
      </c>
      <c r="K19">
        <v>6</v>
      </c>
      <c r="L19">
        <v>6162004</v>
      </c>
      <c r="M19">
        <v>3568817</v>
      </c>
      <c r="N19">
        <v>57</v>
      </c>
      <c r="O19" t="s">
        <v>24</v>
      </c>
      <c r="P19" t="s">
        <v>87</v>
      </c>
    </row>
    <row r="20" spans="1:16" x14ac:dyDescent="0.35">
      <c r="A20" t="s">
        <v>119</v>
      </c>
      <c r="B20" t="s">
        <v>120</v>
      </c>
      <c r="C20" t="s">
        <v>79</v>
      </c>
      <c r="D20" t="s">
        <v>75</v>
      </c>
      <c r="E20" t="s">
        <v>62</v>
      </c>
      <c r="G20">
        <v>2013</v>
      </c>
      <c r="H20" t="s">
        <v>121</v>
      </c>
      <c r="I20" t="s">
        <v>122</v>
      </c>
      <c r="J20" t="s">
        <v>72</v>
      </c>
      <c r="K20">
        <v>5.8</v>
      </c>
      <c r="L20">
        <v>5427332</v>
      </c>
      <c r="M20">
        <v>2197936</v>
      </c>
      <c r="N20">
        <v>52</v>
      </c>
      <c r="O20" t="s">
        <v>123</v>
      </c>
      <c r="P20" t="s">
        <v>50</v>
      </c>
    </row>
    <row r="21" spans="1:16" x14ac:dyDescent="0.35">
      <c r="A21" t="s">
        <v>124</v>
      </c>
      <c r="B21" t="s">
        <v>125</v>
      </c>
      <c r="C21" t="s">
        <v>53</v>
      </c>
      <c r="D21" t="s">
        <v>19</v>
      </c>
      <c r="G21">
        <v>2000</v>
      </c>
      <c r="H21" t="s">
        <v>114</v>
      </c>
      <c r="I21" t="s">
        <v>118</v>
      </c>
      <c r="J21" t="s">
        <v>103</v>
      </c>
      <c r="K21">
        <v>7.2</v>
      </c>
      <c r="L21">
        <v>15010695</v>
      </c>
      <c r="M21">
        <v>892552</v>
      </c>
      <c r="N21">
        <v>81</v>
      </c>
      <c r="O21" t="s">
        <v>58</v>
      </c>
      <c r="P21" t="s">
        <v>32</v>
      </c>
    </row>
    <row r="22" spans="1:16" x14ac:dyDescent="0.35">
      <c r="A22" t="s">
        <v>126</v>
      </c>
      <c r="B22" t="s">
        <v>127</v>
      </c>
      <c r="C22" t="s">
        <v>53</v>
      </c>
      <c r="D22" t="s">
        <v>19</v>
      </c>
      <c r="E22" t="s">
        <v>37</v>
      </c>
      <c r="F22" s="1">
        <v>43149</v>
      </c>
      <c r="G22">
        <v>2011</v>
      </c>
      <c r="H22" t="s">
        <v>114</v>
      </c>
      <c r="I22" t="s">
        <v>64</v>
      </c>
      <c r="J22" t="s">
        <v>72</v>
      </c>
      <c r="K22">
        <v>8.4</v>
      </c>
      <c r="L22">
        <v>5487644</v>
      </c>
      <c r="M22">
        <v>465738</v>
      </c>
      <c r="N22">
        <v>93</v>
      </c>
      <c r="O22" t="s">
        <v>58</v>
      </c>
    </row>
    <row r="23" spans="1:16" x14ac:dyDescent="0.35">
      <c r="A23" t="s">
        <v>128</v>
      </c>
      <c r="B23" t="s">
        <v>129</v>
      </c>
      <c r="C23" t="s">
        <v>35</v>
      </c>
      <c r="D23" t="s">
        <v>27</v>
      </c>
      <c r="E23" t="s">
        <v>28</v>
      </c>
      <c r="F23" s="1">
        <v>44161</v>
      </c>
      <c r="G23">
        <v>2010</v>
      </c>
      <c r="H23" t="s">
        <v>38</v>
      </c>
      <c r="I23" t="s">
        <v>95</v>
      </c>
      <c r="J23" t="s">
        <v>72</v>
      </c>
      <c r="K23">
        <v>6.1</v>
      </c>
      <c r="L23">
        <v>45866</v>
      </c>
      <c r="M23">
        <v>2813975</v>
      </c>
      <c r="N23">
        <v>70</v>
      </c>
      <c r="O23" t="s">
        <v>123</v>
      </c>
    </row>
    <row r="24" spans="1:16" x14ac:dyDescent="0.35">
      <c r="A24" t="s">
        <v>130</v>
      </c>
      <c r="B24" t="s">
        <v>129</v>
      </c>
      <c r="C24" t="s">
        <v>79</v>
      </c>
      <c r="D24" t="s">
        <v>75</v>
      </c>
      <c r="E24" t="s">
        <v>131</v>
      </c>
      <c r="F24" s="1">
        <v>42346</v>
      </c>
      <c r="G24">
        <v>2009</v>
      </c>
      <c r="H24" t="s">
        <v>121</v>
      </c>
      <c r="I24" t="s">
        <v>132</v>
      </c>
      <c r="J24" t="s">
        <v>133</v>
      </c>
      <c r="K24">
        <v>7.3</v>
      </c>
      <c r="L24">
        <v>22073504</v>
      </c>
      <c r="M24">
        <v>3268500</v>
      </c>
      <c r="N24">
        <v>86</v>
      </c>
      <c r="O24" t="s">
        <v>49</v>
      </c>
      <c r="P24" t="s">
        <v>42</v>
      </c>
    </row>
    <row r="25" spans="1:16" x14ac:dyDescent="0.35">
      <c r="A25" t="s">
        <v>134</v>
      </c>
      <c r="B25" t="s">
        <v>135</v>
      </c>
      <c r="E25" t="s">
        <v>80</v>
      </c>
      <c r="F25" s="1">
        <v>43146</v>
      </c>
      <c r="G25">
        <v>2024</v>
      </c>
      <c r="H25" t="s">
        <v>38</v>
      </c>
      <c r="I25" t="s">
        <v>136</v>
      </c>
      <c r="K25">
        <v>11.2</v>
      </c>
      <c r="L25">
        <v>23873447</v>
      </c>
      <c r="M25">
        <v>1929882</v>
      </c>
      <c r="N25">
        <v>42</v>
      </c>
      <c r="O25" t="s">
        <v>91</v>
      </c>
      <c r="P25" t="s">
        <v>50</v>
      </c>
    </row>
    <row r="26" spans="1:16" x14ac:dyDescent="0.35">
      <c r="A26" t="s">
        <v>137</v>
      </c>
      <c r="B26" t="s">
        <v>138</v>
      </c>
      <c r="E26" t="s">
        <v>99</v>
      </c>
      <c r="F26" s="1">
        <v>46013</v>
      </c>
      <c r="G26">
        <v>2014</v>
      </c>
      <c r="H26" t="s">
        <v>46</v>
      </c>
      <c r="I26" t="s">
        <v>71</v>
      </c>
      <c r="J26" t="s">
        <v>103</v>
      </c>
      <c r="K26">
        <v>5</v>
      </c>
      <c r="L26">
        <v>24732513</v>
      </c>
      <c r="M26">
        <v>3976012</v>
      </c>
      <c r="N26">
        <v>44</v>
      </c>
      <c r="O26" t="s">
        <v>123</v>
      </c>
      <c r="P26" t="s">
        <v>42</v>
      </c>
    </row>
    <row r="27" spans="1:16" x14ac:dyDescent="0.35">
      <c r="A27" t="s">
        <v>139</v>
      </c>
      <c r="B27" t="s">
        <v>140</v>
      </c>
      <c r="C27" t="s">
        <v>35</v>
      </c>
      <c r="D27" t="s">
        <v>75</v>
      </c>
      <c r="E27" t="s">
        <v>62</v>
      </c>
      <c r="F27" s="1">
        <v>44358</v>
      </c>
      <c r="G27">
        <v>2019</v>
      </c>
      <c r="I27" t="s">
        <v>136</v>
      </c>
      <c r="J27" t="s">
        <v>133</v>
      </c>
      <c r="K27">
        <v>6.3</v>
      </c>
      <c r="L27">
        <v>23259423</v>
      </c>
      <c r="M27">
        <v>2554636</v>
      </c>
      <c r="N27">
        <v>48</v>
      </c>
      <c r="O27" t="s">
        <v>24</v>
      </c>
      <c r="P27" t="s">
        <v>32</v>
      </c>
    </row>
    <row r="28" spans="1:16" x14ac:dyDescent="0.35">
      <c r="A28" t="s">
        <v>141</v>
      </c>
      <c r="B28" t="s">
        <v>142</v>
      </c>
      <c r="E28" t="s">
        <v>62</v>
      </c>
      <c r="F28" s="1">
        <v>44344</v>
      </c>
      <c r="G28">
        <v>2014</v>
      </c>
      <c r="H28" t="s">
        <v>46</v>
      </c>
      <c r="I28" t="s">
        <v>64</v>
      </c>
      <c r="J28" t="s">
        <v>103</v>
      </c>
      <c r="K28">
        <v>9.6999999999999993</v>
      </c>
      <c r="L28">
        <v>597352</v>
      </c>
      <c r="M28">
        <v>2430247</v>
      </c>
      <c r="N28">
        <v>92</v>
      </c>
      <c r="O28" t="s">
        <v>65</v>
      </c>
      <c r="P28" t="s">
        <v>32</v>
      </c>
    </row>
    <row r="29" spans="1:16" x14ac:dyDescent="0.35">
      <c r="A29" t="s">
        <v>143</v>
      </c>
      <c r="B29" t="s">
        <v>144</v>
      </c>
      <c r="C29" t="s">
        <v>53</v>
      </c>
      <c r="D29" t="s">
        <v>94</v>
      </c>
      <c r="E29" t="s">
        <v>69</v>
      </c>
      <c r="F29" s="1">
        <v>44149</v>
      </c>
      <c r="G29">
        <v>2004</v>
      </c>
      <c r="H29" t="s">
        <v>70</v>
      </c>
      <c r="I29" t="s">
        <v>56</v>
      </c>
      <c r="J29" t="s">
        <v>103</v>
      </c>
      <c r="K29">
        <v>5.0999999999999996</v>
      </c>
      <c r="L29">
        <v>16716347</v>
      </c>
      <c r="M29">
        <v>4079043</v>
      </c>
      <c r="N29">
        <v>50</v>
      </c>
      <c r="O29" t="s">
        <v>24</v>
      </c>
      <c r="P29" t="s">
        <v>32</v>
      </c>
    </row>
    <row r="30" spans="1:16" x14ac:dyDescent="0.35">
      <c r="A30" t="s">
        <v>145</v>
      </c>
      <c r="B30" t="s">
        <v>146</v>
      </c>
      <c r="C30" t="s">
        <v>79</v>
      </c>
      <c r="D30" t="s">
        <v>19</v>
      </c>
      <c r="E30" t="s">
        <v>69</v>
      </c>
      <c r="F30" s="1">
        <v>42019</v>
      </c>
      <c r="G30">
        <v>2010</v>
      </c>
      <c r="H30" t="s">
        <v>21</v>
      </c>
      <c r="I30" t="s">
        <v>147</v>
      </c>
      <c r="J30" t="s">
        <v>23</v>
      </c>
      <c r="K30">
        <v>9.3000000000000007</v>
      </c>
      <c r="L30">
        <v>12499697</v>
      </c>
      <c r="M30">
        <v>546069</v>
      </c>
      <c r="N30">
        <v>95</v>
      </c>
      <c r="P30" t="s">
        <v>87</v>
      </c>
    </row>
    <row r="31" spans="1:16" x14ac:dyDescent="0.35">
      <c r="A31" t="s">
        <v>148</v>
      </c>
      <c r="B31" t="s">
        <v>149</v>
      </c>
      <c r="C31" t="s">
        <v>79</v>
      </c>
      <c r="D31" t="s">
        <v>61</v>
      </c>
      <c r="F31" s="1">
        <v>43224</v>
      </c>
      <c r="G31">
        <v>2008</v>
      </c>
      <c r="H31" t="s">
        <v>21</v>
      </c>
      <c r="I31" t="s">
        <v>150</v>
      </c>
      <c r="J31" t="s">
        <v>23</v>
      </c>
      <c r="K31">
        <v>8.6999999999999993</v>
      </c>
      <c r="L31">
        <v>983458</v>
      </c>
      <c r="M31">
        <v>3356792</v>
      </c>
      <c r="N31">
        <v>100</v>
      </c>
      <c r="O31" t="s">
        <v>65</v>
      </c>
    </row>
    <row r="32" spans="1:16" x14ac:dyDescent="0.35">
      <c r="A32" t="s">
        <v>151</v>
      </c>
      <c r="B32" t="s">
        <v>152</v>
      </c>
      <c r="C32" t="s">
        <v>35</v>
      </c>
      <c r="F32" s="1">
        <v>42406</v>
      </c>
      <c r="G32">
        <v>2017</v>
      </c>
      <c r="H32" t="s">
        <v>63</v>
      </c>
      <c r="I32" t="s">
        <v>95</v>
      </c>
      <c r="J32" t="s">
        <v>153</v>
      </c>
      <c r="K32">
        <v>6.1</v>
      </c>
      <c r="L32">
        <v>21914931</v>
      </c>
      <c r="M32">
        <v>2183456</v>
      </c>
      <c r="N32">
        <v>55</v>
      </c>
      <c r="O32" t="s">
        <v>123</v>
      </c>
      <c r="P32" t="s">
        <v>32</v>
      </c>
    </row>
    <row r="33" spans="1:16" x14ac:dyDescent="0.35">
      <c r="A33" t="s">
        <v>154</v>
      </c>
      <c r="B33" t="s">
        <v>155</v>
      </c>
      <c r="C33" t="s">
        <v>84</v>
      </c>
      <c r="D33" t="s">
        <v>156</v>
      </c>
      <c r="F33" s="1">
        <v>43807</v>
      </c>
      <c r="G33">
        <v>2010</v>
      </c>
      <c r="H33" t="s">
        <v>107</v>
      </c>
      <c r="I33" t="s">
        <v>157</v>
      </c>
      <c r="J33" t="s">
        <v>103</v>
      </c>
      <c r="K33">
        <v>5</v>
      </c>
      <c r="L33">
        <v>3066618</v>
      </c>
      <c r="M33">
        <v>2679379</v>
      </c>
      <c r="N33">
        <v>56</v>
      </c>
      <c r="P33" t="s">
        <v>42</v>
      </c>
    </row>
    <row r="34" spans="1:16" x14ac:dyDescent="0.35">
      <c r="A34" t="s">
        <v>158</v>
      </c>
      <c r="B34" t="s">
        <v>159</v>
      </c>
      <c r="C34" t="s">
        <v>53</v>
      </c>
      <c r="D34" t="s">
        <v>36</v>
      </c>
      <c r="E34" t="s">
        <v>45</v>
      </c>
      <c r="F34" s="1">
        <v>46085</v>
      </c>
      <c r="G34">
        <v>2011</v>
      </c>
      <c r="H34" t="s">
        <v>63</v>
      </c>
      <c r="I34" t="s">
        <v>136</v>
      </c>
      <c r="J34" t="s">
        <v>103</v>
      </c>
      <c r="K34">
        <v>9.1</v>
      </c>
      <c r="L34">
        <v>9103951</v>
      </c>
      <c r="M34">
        <v>2085180</v>
      </c>
      <c r="N34">
        <v>81</v>
      </c>
      <c r="O34" t="s">
        <v>49</v>
      </c>
      <c r="P34" t="s">
        <v>32</v>
      </c>
    </row>
    <row r="35" spans="1:16" x14ac:dyDescent="0.35">
      <c r="A35" t="s">
        <v>160</v>
      </c>
      <c r="B35" t="s">
        <v>161</v>
      </c>
      <c r="C35" t="s">
        <v>35</v>
      </c>
      <c r="D35" t="s">
        <v>61</v>
      </c>
      <c r="E35" t="s">
        <v>69</v>
      </c>
      <c r="F35" s="1">
        <v>45840</v>
      </c>
      <c r="G35">
        <v>2007</v>
      </c>
      <c r="H35" t="s">
        <v>46</v>
      </c>
      <c r="I35" t="s">
        <v>162</v>
      </c>
      <c r="J35" t="s">
        <v>96</v>
      </c>
      <c r="K35">
        <v>8.1</v>
      </c>
      <c r="L35">
        <v>24227417</v>
      </c>
      <c r="M35">
        <v>3837320</v>
      </c>
      <c r="N35">
        <v>89</v>
      </c>
      <c r="O35" t="s">
        <v>24</v>
      </c>
      <c r="P35" t="s">
        <v>87</v>
      </c>
    </row>
    <row r="36" spans="1:16" x14ac:dyDescent="0.35">
      <c r="A36" t="s">
        <v>163</v>
      </c>
      <c r="B36" t="s">
        <v>164</v>
      </c>
      <c r="D36" t="s">
        <v>27</v>
      </c>
      <c r="E36" t="s">
        <v>165</v>
      </c>
      <c r="F36" s="1">
        <v>45588</v>
      </c>
      <c r="G36">
        <v>2003</v>
      </c>
      <c r="H36" t="s">
        <v>46</v>
      </c>
      <c r="I36" t="s">
        <v>118</v>
      </c>
      <c r="J36" t="s">
        <v>103</v>
      </c>
      <c r="K36">
        <v>5.5</v>
      </c>
      <c r="L36">
        <v>20178257</v>
      </c>
      <c r="M36">
        <v>10663</v>
      </c>
      <c r="N36">
        <v>120</v>
      </c>
      <c r="O36" t="s">
        <v>123</v>
      </c>
      <c r="P36" t="s">
        <v>32</v>
      </c>
    </row>
    <row r="37" spans="1:16" x14ac:dyDescent="0.35">
      <c r="A37" t="s">
        <v>166</v>
      </c>
      <c r="B37" t="s">
        <v>167</v>
      </c>
      <c r="C37" t="s">
        <v>35</v>
      </c>
      <c r="D37" t="s">
        <v>156</v>
      </c>
      <c r="E37" t="s">
        <v>37</v>
      </c>
      <c r="G37">
        <v>2020</v>
      </c>
      <c r="H37" t="s">
        <v>121</v>
      </c>
      <c r="I37" t="s">
        <v>64</v>
      </c>
      <c r="J37" t="s">
        <v>23</v>
      </c>
      <c r="K37">
        <v>8.1</v>
      </c>
      <c r="L37">
        <v>8642083</v>
      </c>
      <c r="M37">
        <v>1912264</v>
      </c>
      <c r="N37">
        <v>99</v>
      </c>
      <c r="O37" t="s">
        <v>41</v>
      </c>
      <c r="P37" t="s">
        <v>42</v>
      </c>
    </row>
    <row r="38" spans="1:16" x14ac:dyDescent="0.35">
      <c r="A38" t="s">
        <v>168</v>
      </c>
      <c r="B38" t="s">
        <v>169</v>
      </c>
      <c r="C38" t="s">
        <v>79</v>
      </c>
      <c r="D38" t="s">
        <v>90</v>
      </c>
      <c r="E38" t="s">
        <v>37</v>
      </c>
      <c r="G38">
        <v>2016</v>
      </c>
      <c r="H38" t="s">
        <v>46</v>
      </c>
      <c r="I38" t="s">
        <v>170</v>
      </c>
      <c r="J38" t="s">
        <v>23</v>
      </c>
      <c r="K38">
        <v>8.8000000000000007</v>
      </c>
      <c r="L38">
        <v>7440387</v>
      </c>
      <c r="M38">
        <v>2224165</v>
      </c>
      <c r="N38">
        <v>58</v>
      </c>
      <c r="O38" t="s">
        <v>104</v>
      </c>
    </row>
    <row r="39" spans="1:16" x14ac:dyDescent="0.35">
      <c r="A39" t="s">
        <v>171</v>
      </c>
      <c r="B39" t="s">
        <v>172</v>
      </c>
      <c r="C39" t="s">
        <v>35</v>
      </c>
      <c r="D39" t="s">
        <v>94</v>
      </c>
      <c r="E39" t="s">
        <v>131</v>
      </c>
      <c r="F39" s="1">
        <v>42450</v>
      </c>
      <c r="G39">
        <v>2019</v>
      </c>
      <c r="H39" t="s">
        <v>63</v>
      </c>
      <c r="I39" t="s">
        <v>71</v>
      </c>
      <c r="J39" t="s">
        <v>76</v>
      </c>
      <c r="K39">
        <v>6.6</v>
      </c>
      <c r="L39">
        <v>10552801</v>
      </c>
      <c r="M39">
        <v>950637</v>
      </c>
      <c r="N39">
        <v>99</v>
      </c>
      <c r="O39" t="s">
        <v>91</v>
      </c>
      <c r="P39" t="s">
        <v>50</v>
      </c>
    </row>
    <row r="40" spans="1:16" x14ac:dyDescent="0.35">
      <c r="A40" t="s">
        <v>173</v>
      </c>
      <c r="B40" t="s">
        <v>174</v>
      </c>
      <c r="C40" t="s">
        <v>35</v>
      </c>
      <c r="D40" t="s">
        <v>36</v>
      </c>
      <c r="E40" t="s">
        <v>165</v>
      </c>
      <c r="F40" s="1">
        <v>45067</v>
      </c>
      <c r="G40">
        <v>2014</v>
      </c>
      <c r="H40" t="s">
        <v>63</v>
      </c>
      <c r="I40" t="s">
        <v>71</v>
      </c>
      <c r="J40" t="s">
        <v>133</v>
      </c>
      <c r="K40">
        <v>6.4</v>
      </c>
      <c r="L40">
        <v>4160961</v>
      </c>
      <c r="M40">
        <v>4708090</v>
      </c>
      <c r="N40">
        <v>53</v>
      </c>
      <c r="O40" t="s">
        <v>58</v>
      </c>
      <c r="P40" t="s">
        <v>50</v>
      </c>
    </row>
    <row r="41" spans="1:16" x14ac:dyDescent="0.35">
      <c r="A41" t="s">
        <v>175</v>
      </c>
      <c r="B41" t="s">
        <v>176</v>
      </c>
      <c r="C41" t="s">
        <v>53</v>
      </c>
      <c r="D41" t="s">
        <v>156</v>
      </c>
      <c r="E41" t="s">
        <v>62</v>
      </c>
      <c r="F41" s="1">
        <v>44988</v>
      </c>
      <c r="G41">
        <v>2015</v>
      </c>
      <c r="H41" t="s">
        <v>114</v>
      </c>
      <c r="I41" t="s">
        <v>39</v>
      </c>
      <c r="J41" t="s">
        <v>23</v>
      </c>
      <c r="K41">
        <v>8.6</v>
      </c>
      <c r="L41">
        <v>1179519</v>
      </c>
      <c r="M41">
        <v>3893738</v>
      </c>
      <c r="N41">
        <v>98</v>
      </c>
      <c r="O41" t="s">
        <v>24</v>
      </c>
      <c r="P41" t="s">
        <v>50</v>
      </c>
    </row>
    <row r="42" spans="1:16" x14ac:dyDescent="0.35">
      <c r="A42" t="s">
        <v>177</v>
      </c>
      <c r="B42" t="s">
        <v>178</v>
      </c>
      <c r="C42" t="s">
        <v>79</v>
      </c>
      <c r="D42" t="s">
        <v>94</v>
      </c>
      <c r="E42" t="s">
        <v>55</v>
      </c>
      <c r="F42" s="1">
        <v>44597</v>
      </c>
      <c r="G42">
        <v>2009</v>
      </c>
      <c r="H42" t="s">
        <v>114</v>
      </c>
      <c r="I42" t="s">
        <v>179</v>
      </c>
      <c r="J42" t="s">
        <v>30</v>
      </c>
      <c r="K42">
        <v>7.9</v>
      </c>
      <c r="L42">
        <v>823919</v>
      </c>
      <c r="M42">
        <v>1962812</v>
      </c>
      <c r="N42">
        <v>85</v>
      </c>
      <c r="O42" t="s">
        <v>49</v>
      </c>
      <c r="P42" t="s">
        <v>32</v>
      </c>
    </row>
    <row r="43" spans="1:16" x14ac:dyDescent="0.35">
      <c r="A43" t="s">
        <v>180</v>
      </c>
      <c r="B43" t="s">
        <v>181</v>
      </c>
      <c r="C43" t="s">
        <v>35</v>
      </c>
      <c r="D43" t="s">
        <v>61</v>
      </c>
      <c r="F43" s="1">
        <v>44489</v>
      </c>
      <c r="G43">
        <v>2024</v>
      </c>
      <c r="H43" t="s">
        <v>63</v>
      </c>
      <c r="I43" t="s">
        <v>95</v>
      </c>
      <c r="J43" t="s">
        <v>40</v>
      </c>
      <c r="K43">
        <v>6.9</v>
      </c>
      <c r="L43">
        <v>19998945</v>
      </c>
      <c r="M43">
        <v>663824</v>
      </c>
      <c r="N43">
        <v>65</v>
      </c>
      <c r="O43" t="s">
        <v>91</v>
      </c>
      <c r="P43" t="s">
        <v>42</v>
      </c>
    </row>
    <row r="44" spans="1:16" x14ac:dyDescent="0.35">
      <c r="A44" t="s">
        <v>182</v>
      </c>
      <c r="B44" t="s">
        <v>183</v>
      </c>
      <c r="C44" t="s">
        <v>18</v>
      </c>
      <c r="D44" t="s">
        <v>27</v>
      </c>
      <c r="E44" t="s">
        <v>113</v>
      </c>
      <c r="F44" s="1">
        <v>42596</v>
      </c>
      <c r="G44">
        <v>2002</v>
      </c>
      <c r="H44" t="s">
        <v>81</v>
      </c>
      <c r="I44" t="s">
        <v>184</v>
      </c>
      <c r="J44" t="s">
        <v>57</v>
      </c>
      <c r="K44">
        <v>9.6999999999999993</v>
      </c>
      <c r="L44">
        <v>4470429</v>
      </c>
      <c r="M44">
        <v>3497712</v>
      </c>
      <c r="N44">
        <v>97</v>
      </c>
      <c r="O44" t="s">
        <v>31</v>
      </c>
    </row>
    <row r="45" spans="1:16" x14ac:dyDescent="0.35">
      <c r="A45" t="s">
        <v>185</v>
      </c>
      <c r="B45" t="s">
        <v>186</v>
      </c>
      <c r="C45" t="s">
        <v>79</v>
      </c>
      <c r="E45" t="s">
        <v>28</v>
      </c>
      <c r="F45" s="1">
        <v>44031</v>
      </c>
      <c r="G45">
        <v>2007</v>
      </c>
      <c r="H45" t="s">
        <v>63</v>
      </c>
      <c r="I45" t="s">
        <v>187</v>
      </c>
      <c r="J45" t="s">
        <v>30</v>
      </c>
      <c r="K45">
        <v>4.8</v>
      </c>
      <c r="L45">
        <v>8262686</v>
      </c>
      <c r="M45">
        <v>4256746</v>
      </c>
      <c r="N45">
        <v>81</v>
      </c>
      <c r="O45" t="s">
        <v>104</v>
      </c>
      <c r="P45" t="s">
        <v>32</v>
      </c>
    </row>
    <row r="46" spans="1:16" x14ac:dyDescent="0.35">
      <c r="A46" t="s">
        <v>188</v>
      </c>
      <c r="B46" t="s">
        <v>189</v>
      </c>
      <c r="C46" t="s">
        <v>53</v>
      </c>
      <c r="D46" t="s">
        <v>19</v>
      </c>
      <c r="E46" t="s">
        <v>55</v>
      </c>
      <c r="F46" s="1">
        <v>43912</v>
      </c>
      <c r="G46">
        <v>2006</v>
      </c>
      <c r="H46" t="s">
        <v>70</v>
      </c>
      <c r="I46" t="s">
        <v>162</v>
      </c>
      <c r="J46" t="s">
        <v>30</v>
      </c>
      <c r="K46">
        <v>4.9000000000000004</v>
      </c>
      <c r="L46">
        <v>5974602</v>
      </c>
      <c r="M46">
        <v>3768440</v>
      </c>
      <c r="N46">
        <v>89</v>
      </c>
      <c r="O46" t="s">
        <v>24</v>
      </c>
      <c r="P46" t="s">
        <v>87</v>
      </c>
    </row>
    <row r="47" spans="1:16" x14ac:dyDescent="0.35">
      <c r="A47" t="s">
        <v>190</v>
      </c>
      <c r="B47" t="s">
        <v>191</v>
      </c>
      <c r="C47" t="s">
        <v>79</v>
      </c>
      <c r="D47" t="s">
        <v>61</v>
      </c>
      <c r="E47" t="s">
        <v>37</v>
      </c>
      <c r="F47" s="1">
        <v>42318</v>
      </c>
      <c r="G47">
        <v>2020</v>
      </c>
      <c r="H47" t="s">
        <v>81</v>
      </c>
      <c r="I47" t="s">
        <v>192</v>
      </c>
      <c r="J47" t="s">
        <v>40</v>
      </c>
      <c r="K47">
        <v>6.5</v>
      </c>
      <c r="L47">
        <v>2625056</v>
      </c>
      <c r="M47">
        <v>1707308</v>
      </c>
      <c r="N47">
        <v>71</v>
      </c>
      <c r="O47" t="s">
        <v>65</v>
      </c>
      <c r="P47" t="s">
        <v>32</v>
      </c>
    </row>
    <row r="48" spans="1:16" x14ac:dyDescent="0.35">
      <c r="A48" t="s">
        <v>193</v>
      </c>
      <c r="B48" t="s">
        <v>194</v>
      </c>
      <c r="C48" t="s">
        <v>18</v>
      </c>
      <c r="E48" t="s">
        <v>99</v>
      </c>
      <c r="F48" s="1">
        <v>43345</v>
      </c>
      <c r="G48">
        <v>2008</v>
      </c>
      <c r="H48" t="s">
        <v>21</v>
      </c>
      <c r="I48" t="s">
        <v>195</v>
      </c>
      <c r="J48" t="s">
        <v>100</v>
      </c>
      <c r="K48">
        <v>9.6</v>
      </c>
      <c r="L48">
        <v>19019258</v>
      </c>
      <c r="M48">
        <v>2997257</v>
      </c>
      <c r="N48">
        <v>41</v>
      </c>
      <c r="O48" t="s">
        <v>41</v>
      </c>
      <c r="P48" t="s">
        <v>42</v>
      </c>
    </row>
    <row r="49" spans="1:16" x14ac:dyDescent="0.35">
      <c r="A49" t="s">
        <v>196</v>
      </c>
      <c r="B49" t="s">
        <v>194</v>
      </c>
      <c r="C49" t="s">
        <v>53</v>
      </c>
      <c r="D49" t="s">
        <v>75</v>
      </c>
      <c r="F49" s="1">
        <v>44992</v>
      </c>
      <c r="G49">
        <v>2005</v>
      </c>
      <c r="H49" t="s">
        <v>63</v>
      </c>
      <c r="J49" t="s">
        <v>103</v>
      </c>
      <c r="K49">
        <v>8.8000000000000007</v>
      </c>
      <c r="L49">
        <v>19232143</v>
      </c>
      <c r="M49">
        <v>3111861</v>
      </c>
      <c r="N49">
        <v>50</v>
      </c>
      <c r="O49" t="s">
        <v>91</v>
      </c>
      <c r="P49" t="s">
        <v>50</v>
      </c>
    </row>
    <row r="50" spans="1:16" x14ac:dyDescent="0.35">
      <c r="A50" t="s">
        <v>197</v>
      </c>
      <c r="B50" t="s">
        <v>198</v>
      </c>
      <c r="C50" t="s">
        <v>84</v>
      </c>
      <c r="D50" t="s">
        <v>54</v>
      </c>
      <c r="F50" s="1">
        <v>43621</v>
      </c>
      <c r="G50">
        <v>2026</v>
      </c>
      <c r="H50" t="s">
        <v>114</v>
      </c>
      <c r="I50" t="s">
        <v>199</v>
      </c>
      <c r="J50" t="s">
        <v>57</v>
      </c>
      <c r="K50">
        <v>7.7</v>
      </c>
      <c r="L50">
        <v>2905560</v>
      </c>
      <c r="M50">
        <v>1345493</v>
      </c>
      <c r="N50">
        <v>94</v>
      </c>
      <c r="O50" t="s">
        <v>31</v>
      </c>
    </row>
    <row r="51" spans="1:16" x14ac:dyDescent="0.35">
      <c r="A51" t="s">
        <v>200</v>
      </c>
      <c r="B51" t="s">
        <v>201</v>
      </c>
      <c r="C51" t="s">
        <v>53</v>
      </c>
      <c r="D51" t="s">
        <v>61</v>
      </c>
      <c r="E51" t="s">
        <v>113</v>
      </c>
      <c r="F51" s="1">
        <v>43286</v>
      </c>
      <c r="G51">
        <v>2003</v>
      </c>
      <c r="H51" t="s">
        <v>63</v>
      </c>
      <c r="I51" t="s">
        <v>64</v>
      </c>
      <c r="J51" t="s">
        <v>76</v>
      </c>
      <c r="K51">
        <v>5.5</v>
      </c>
      <c r="L51">
        <v>22567082</v>
      </c>
      <c r="M51">
        <v>320846</v>
      </c>
      <c r="N51">
        <v>60</v>
      </c>
      <c r="O51" t="s">
        <v>104</v>
      </c>
      <c r="P51" t="s">
        <v>32</v>
      </c>
    </row>
    <row r="52" spans="1:16" x14ac:dyDescent="0.35">
      <c r="A52" t="s">
        <v>202</v>
      </c>
      <c r="B52" t="s">
        <v>203</v>
      </c>
      <c r="C52" t="s">
        <v>79</v>
      </c>
      <c r="D52" t="s">
        <v>90</v>
      </c>
      <c r="E52" t="s">
        <v>28</v>
      </c>
      <c r="F52" s="1">
        <v>45492</v>
      </c>
      <c r="G52">
        <v>2011</v>
      </c>
      <c r="H52" t="s">
        <v>107</v>
      </c>
      <c r="I52" t="s">
        <v>204</v>
      </c>
      <c r="J52" t="s">
        <v>96</v>
      </c>
      <c r="K52">
        <v>7.8</v>
      </c>
      <c r="L52">
        <v>7903711</v>
      </c>
      <c r="M52">
        <v>3749188</v>
      </c>
      <c r="N52">
        <v>89</v>
      </c>
      <c r="O52" t="s">
        <v>49</v>
      </c>
      <c r="P52" t="s">
        <v>42</v>
      </c>
    </row>
    <row r="53" spans="1:16" x14ac:dyDescent="0.35">
      <c r="A53" t="s">
        <v>205</v>
      </c>
      <c r="B53" t="s">
        <v>206</v>
      </c>
      <c r="C53" t="s">
        <v>35</v>
      </c>
      <c r="D53" t="s">
        <v>75</v>
      </c>
      <c r="F53" s="1">
        <v>46184</v>
      </c>
      <c r="G53">
        <v>2001</v>
      </c>
      <c r="I53" t="s">
        <v>39</v>
      </c>
      <c r="J53" t="s">
        <v>76</v>
      </c>
      <c r="K53">
        <v>8.3000000000000007</v>
      </c>
      <c r="L53">
        <v>16918885</v>
      </c>
      <c r="M53">
        <v>3170741</v>
      </c>
      <c r="N53">
        <v>90</v>
      </c>
      <c r="O53" t="s">
        <v>91</v>
      </c>
      <c r="P53" t="s">
        <v>87</v>
      </c>
    </row>
    <row r="54" spans="1:16" x14ac:dyDescent="0.35">
      <c r="A54" t="s">
        <v>207</v>
      </c>
      <c r="B54" t="s">
        <v>208</v>
      </c>
      <c r="C54" t="s">
        <v>53</v>
      </c>
      <c r="D54" t="s">
        <v>54</v>
      </c>
      <c r="E54" t="s">
        <v>28</v>
      </c>
      <c r="F54" s="1">
        <v>43357</v>
      </c>
      <c r="G54">
        <v>2023</v>
      </c>
      <c r="H54" t="s">
        <v>81</v>
      </c>
      <c r="I54" t="s">
        <v>95</v>
      </c>
      <c r="J54" t="s">
        <v>40</v>
      </c>
      <c r="K54">
        <v>5.8</v>
      </c>
      <c r="L54">
        <v>20596708</v>
      </c>
      <c r="M54">
        <v>2307805</v>
      </c>
      <c r="N54">
        <v>69</v>
      </c>
      <c r="O54" t="s">
        <v>91</v>
      </c>
      <c r="P54" t="s">
        <v>50</v>
      </c>
    </row>
    <row r="55" spans="1:16" x14ac:dyDescent="0.35">
      <c r="A55" t="s">
        <v>209</v>
      </c>
      <c r="B55" t="s">
        <v>210</v>
      </c>
      <c r="C55" t="s">
        <v>18</v>
      </c>
      <c r="D55" t="s">
        <v>19</v>
      </c>
      <c r="E55" t="s">
        <v>45</v>
      </c>
      <c r="G55">
        <v>2005</v>
      </c>
      <c r="I55" t="s">
        <v>211</v>
      </c>
      <c r="J55" t="s">
        <v>100</v>
      </c>
      <c r="K55">
        <v>6.5</v>
      </c>
      <c r="L55">
        <v>8879807</v>
      </c>
      <c r="M55">
        <v>966350</v>
      </c>
      <c r="N55">
        <v>43</v>
      </c>
      <c r="O55" t="s">
        <v>41</v>
      </c>
      <c r="P55" t="s">
        <v>32</v>
      </c>
    </row>
    <row r="56" spans="1:16" x14ac:dyDescent="0.35">
      <c r="A56" t="s">
        <v>212</v>
      </c>
      <c r="B56" t="s">
        <v>213</v>
      </c>
      <c r="C56" t="s">
        <v>84</v>
      </c>
      <c r="D56" t="s">
        <v>156</v>
      </c>
      <c r="E56" t="s">
        <v>165</v>
      </c>
      <c r="F56" s="1">
        <v>45048</v>
      </c>
      <c r="G56">
        <v>2011</v>
      </c>
      <c r="H56" t="s">
        <v>70</v>
      </c>
      <c r="I56" t="s">
        <v>187</v>
      </c>
      <c r="J56" t="s">
        <v>40</v>
      </c>
      <c r="K56">
        <v>6.8</v>
      </c>
      <c r="L56">
        <v>24960898</v>
      </c>
      <c r="M56">
        <v>406098</v>
      </c>
      <c r="N56">
        <v>73</v>
      </c>
      <c r="O56" t="s">
        <v>123</v>
      </c>
      <c r="P56" t="s">
        <v>50</v>
      </c>
    </row>
    <row r="57" spans="1:16" x14ac:dyDescent="0.35">
      <c r="A57" t="s">
        <v>214</v>
      </c>
      <c r="B57" t="s">
        <v>215</v>
      </c>
      <c r="C57" t="s">
        <v>53</v>
      </c>
      <c r="D57" t="s">
        <v>36</v>
      </c>
      <c r="E57" t="s">
        <v>20</v>
      </c>
      <c r="F57" s="1">
        <v>45426</v>
      </c>
      <c r="G57">
        <v>2001</v>
      </c>
      <c r="H57" t="s">
        <v>63</v>
      </c>
      <c r="I57" t="s">
        <v>95</v>
      </c>
      <c r="J57" t="s">
        <v>30</v>
      </c>
      <c r="K57">
        <v>4.5999999999999996</v>
      </c>
      <c r="L57">
        <v>-364</v>
      </c>
      <c r="M57">
        <v>2548945</v>
      </c>
      <c r="N57">
        <v>62</v>
      </c>
      <c r="O57" t="s">
        <v>65</v>
      </c>
      <c r="P57" t="s">
        <v>42</v>
      </c>
    </row>
    <row r="58" spans="1:16" x14ac:dyDescent="0.35">
      <c r="A58" t="s">
        <v>216</v>
      </c>
      <c r="B58" t="s">
        <v>217</v>
      </c>
      <c r="C58" t="s">
        <v>79</v>
      </c>
      <c r="D58" t="s">
        <v>54</v>
      </c>
      <c r="E58" t="s">
        <v>131</v>
      </c>
      <c r="F58" s="1">
        <v>44000</v>
      </c>
      <c r="G58">
        <v>2014</v>
      </c>
      <c r="H58" t="s">
        <v>46</v>
      </c>
      <c r="I58" t="s">
        <v>218</v>
      </c>
      <c r="J58" t="s">
        <v>96</v>
      </c>
      <c r="K58">
        <v>8.6</v>
      </c>
      <c r="L58">
        <v>8876417</v>
      </c>
      <c r="M58">
        <v>97435</v>
      </c>
      <c r="N58">
        <v>92</v>
      </c>
      <c r="O58" t="s">
        <v>65</v>
      </c>
      <c r="P58" t="s">
        <v>50</v>
      </c>
    </row>
    <row r="59" spans="1:16" x14ac:dyDescent="0.35">
      <c r="A59" t="s">
        <v>219</v>
      </c>
      <c r="B59" t="s">
        <v>220</v>
      </c>
      <c r="D59" t="s">
        <v>68</v>
      </c>
      <c r="E59" t="s">
        <v>131</v>
      </c>
      <c r="F59" s="1">
        <v>42365</v>
      </c>
      <c r="G59">
        <v>2000</v>
      </c>
      <c r="H59" t="s">
        <v>21</v>
      </c>
      <c r="I59" t="s">
        <v>162</v>
      </c>
      <c r="J59" t="s">
        <v>96</v>
      </c>
      <c r="K59">
        <v>8.6</v>
      </c>
      <c r="L59">
        <v>-565</v>
      </c>
      <c r="M59">
        <v>1655721</v>
      </c>
      <c r="N59">
        <v>52</v>
      </c>
      <c r="O59" t="s">
        <v>65</v>
      </c>
    </row>
    <row r="60" spans="1:16" x14ac:dyDescent="0.35">
      <c r="A60" t="s">
        <v>221</v>
      </c>
      <c r="B60" t="s">
        <v>222</v>
      </c>
      <c r="C60" t="s">
        <v>79</v>
      </c>
      <c r="D60" t="s">
        <v>36</v>
      </c>
      <c r="E60" t="s">
        <v>165</v>
      </c>
      <c r="F60" s="1">
        <v>45920</v>
      </c>
      <c r="G60">
        <v>2000</v>
      </c>
      <c r="H60" t="s">
        <v>21</v>
      </c>
      <c r="I60" t="s">
        <v>223</v>
      </c>
      <c r="J60" t="s">
        <v>76</v>
      </c>
      <c r="K60">
        <v>4.9000000000000004</v>
      </c>
      <c r="L60">
        <v>5895169</v>
      </c>
      <c r="M60">
        <v>1896392</v>
      </c>
      <c r="N60">
        <v>56</v>
      </c>
      <c r="O60" t="s">
        <v>31</v>
      </c>
      <c r="P60" t="s">
        <v>87</v>
      </c>
    </row>
    <row r="61" spans="1:16" x14ac:dyDescent="0.35">
      <c r="A61" t="s">
        <v>224</v>
      </c>
      <c r="B61" t="s">
        <v>225</v>
      </c>
      <c r="C61" t="s">
        <v>79</v>
      </c>
      <c r="D61" t="s">
        <v>61</v>
      </c>
      <c r="E61" t="s">
        <v>28</v>
      </c>
      <c r="F61" s="1">
        <v>45577</v>
      </c>
      <c r="G61">
        <v>2016</v>
      </c>
      <c r="H61" t="s">
        <v>121</v>
      </c>
      <c r="I61" t="s">
        <v>226</v>
      </c>
      <c r="J61" t="s">
        <v>23</v>
      </c>
      <c r="K61">
        <v>7.2</v>
      </c>
      <c r="L61">
        <v>7932513</v>
      </c>
      <c r="M61">
        <v>1702011</v>
      </c>
      <c r="N61">
        <v>87</v>
      </c>
      <c r="O61" t="s">
        <v>41</v>
      </c>
      <c r="P61" t="s">
        <v>42</v>
      </c>
    </row>
    <row r="62" spans="1:16" x14ac:dyDescent="0.35">
      <c r="A62" t="s">
        <v>227</v>
      </c>
      <c r="B62" t="s">
        <v>228</v>
      </c>
      <c r="D62" t="s">
        <v>54</v>
      </c>
      <c r="F62" s="1">
        <v>42057</v>
      </c>
      <c r="G62">
        <v>2013</v>
      </c>
      <c r="H62" t="s">
        <v>81</v>
      </c>
      <c r="I62" t="s">
        <v>162</v>
      </c>
      <c r="J62" t="s">
        <v>48</v>
      </c>
      <c r="K62">
        <v>6.6</v>
      </c>
      <c r="L62">
        <v>18975118</v>
      </c>
      <c r="M62">
        <v>1440032</v>
      </c>
      <c r="N62">
        <v>41</v>
      </c>
      <c r="O62" t="s">
        <v>104</v>
      </c>
      <c r="P62" t="s">
        <v>87</v>
      </c>
    </row>
    <row r="63" spans="1:16" x14ac:dyDescent="0.35">
      <c r="A63" t="s">
        <v>229</v>
      </c>
      <c r="B63" t="s">
        <v>230</v>
      </c>
      <c r="C63" t="s">
        <v>84</v>
      </c>
      <c r="D63" t="s">
        <v>61</v>
      </c>
      <c r="E63" t="s">
        <v>131</v>
      </c>
      <c r="F63" s="1">
        <v>42354</v>
      </c>
      <c r="G63">
        <v>2023</v>
      </c>
      <c r="H63" t="s">
        <v>114</v>
      </c>
      <c r="I63" t="s">
        <v>231</v>
      </c>
      <c r="J63" t="s">
        <v>30</v>
      </c>
      <c r="K63">
        <v>5.6</v>
      </c>
      <c r="L63">
        <v>17924514</v>
      </c>
      <c r="M63">
        <v>554215</v>
      </c>
      <c r="N63">
        <v>88</v>
      </c>
      <c r="O63" t="s">
        <v>58</v>
      </c>
      <c r="P63" t="s">
        <v>87</v>
      </c>
    </row>
    <row r="64" spans="1:16" x14ac:dyDescent="0.35">
      <c r="A64" t="s">
        <v>232</v>
      </c>
      <c r="B64" t="s">
        <v>233</v>
      </c>
      <c r="E64" t="s">
        <v>165</v>
      </c>
      <c r="F64" s="1">
        <v>42823</v>
      </c>
      <c r="G64">
        <v>2025</v>
      </c>
      <c r="I64" t="s">
        <v>56</v>
      </c>
      <c r="J64" t="s">
        <v>40</v>
      </c>
      <c r="K64">
        <v>5.9</v>
      </c>
      <c r="L64">
        <v>9492255</v>
      </c>
      <c r="M64">
        <v>407076</v>
      </c>
      <c r="N64">
        <v>63</v>
      </c>
      <c r="O64" t="s">
        <v>41</v>
      </c>
    </row>
    <row r="65" spans="1:16" x14ac:dyDescent="0.35">
      <c r="A65" t="s">
        <v>234</v>
      </c>
      <c r="B65" t="s">
        <v>235</v>
      </c>
      <c r="C65" t="s">
        <v>84</v>
      </c>
      <c r="D65" t="s">
        <v>90</v>
      </c>
      <c r="E65" t="s">
        <v>55</v>
      </c>
      <c r="F65" s="1">
        <v>42810</v>
      </c>
      <c r="G65">
        <v>2022</v>
      </c>
      <c r="H65" t="s">
        <v>114</v>
      </c>
      <c r="I65" t="s">
        <v>236</v>
      </c>
      <c r="J65" t="s">
        <v>23</v>
      </c>
      <c r="K65">
        <v>8.9</v>
      </c>
      <c r="L65">
        <v>9643802</v>
      </c>
      <c r="M65">
        <v>1430177</v>
      </c>
      <c r="N65">
        <v>73</v>
      </c>
      <c r="O65" t="s">
        <v>31</v>
      </c>
      <c r="P65" t="s">
        <v>50</v>
      </c>
    </row>
    <row r="66" spans="1:16" x14ac:dyDescent="0.35">
      <c r="A66" t="s">
        <v>237</v>
      </c>
      <c r="B66" t="s">
        <v>238</v>
      </c>
      <c r="D66" t="s">
        <v>54</v>
      </c>
      <c r="E66" t="s">
        <v>20</v>
      </c>
      <c r="F66" s="1">
        <v>44139</v>
      </c>
      <c r="G66">
        <v>2005</v>
      </c>
      <c r="H66" t="s">
        <v>121</v>
      </c>
      <c r="I66" t="s">
        <v>95</v>
      </c>
      <c r="J66" t="s">
        <v>76</v>
      </c>
      <c r="K66">
        <v>5.4</v>
      </c>
      <c r="L66">
        <v>2723969</v>
      </c>
      <c r="M66">
        <v>4113864</v>
      </c>
      <c r="N66">
        <v>84</v>
      </c>
      <c r="O66" t="s">
        <v>65</v>
      </c>
      <c r="P66" t="s">
        <v>87</v>
      </c>
    </row>
    <row r="67" spans="1:16" x14ac:dyDescent="0.35">
      <c r="A67" t="s">
        <v>239</v>
      </c>
      <c r="B67" t="s">
        <v>240</v>
      </c>
      <c r="D67" t="s">
        <v>90</v>
      </c>
      <c r="E67" t="s">
        <v>165</v>
      </c>
      <c r="G67">
        <v>2008</v>
      </c>
      <c r="H67" t="s">
        <v>21</v>
      </c>
      <c r="I67" t="s">
        <v>56</v>
      </c>
      <c r="J67" t="s">
        <v>103</v>
      </c>
      <c r="K67">
        <v>9.6999999999999993</v>
      </c>
      <c r="L67">
        <v>15475506</v>
      </c>
      <c r="M67">
        <v>1065350</v>
      </c>
      <c r="N67">
        <v>88</v>
      </c>
      <c r="P67" t="s">
        <v>87</v>
      </c>
    </row>
    <row r="68" spans="1:16" x14ac:dyDescent="0.35">
      <c r="A68" t="s">
        <v>241</v>
      </c>
      <c r="B68" t="s">
        <v>242</v>
      </c>
      <c r="C68" t="s">
        <v>35</v>
      </c>
      <c r="D68" t="s">
        <v>27</v>
      </c>
      <c r="E68" t="s">
        <v>62</v>
      </c>
      <c r="F68" s="1">
        <v>44112</v>
      </c>
      <c r="G68">
        <v>2004</v>
      </c>
      <c r="H68" t="s">
        <v>85</v>
      </c>
      <c r="I68" t="s">
        <v>39</v>
      </c>
      <c r="J68" t="s">
        <v>76</v>
      </c>
      <c r="K68">
        <v>5.5</v>
      </c>
      <c r="L68">
        <v>23604341</v>
      </c>
      <c r="M68">
        <v>1297831</v>
      </c>
      <c r="N68">
        <v>55</v>
      </c>
      <c r="O68" t="s">
        <v>41</v>
      </c>
    </row>
    <row r="69" spans="1:16" x14ac:dyDescent="0.35">
      <c r="A69" t="s">
        <v>243</v>
      </c>
      <c r="B69" t="s">
        <v>244</v>
      </c>
      <c r="C69" t="s">
        <v>53</v>
      </c>
      <c r="E69" t="s">
        <v>69</v>
      </c>
      <c r="F69" s="1">
        <v>42837</v>
      </c>
      <c r="G69">
        <v>2004</v>
      </c>
      <c r="H69" t="s">
        <v>63</v>
      </c>
      <c r="I69" t="s">
        <v>118</v>
      </c>
      <c r="J69" t="s">
        <v>76</v>
      </c>
      <c r="K69">
        <v>6</v>
      </c>
      <c r="L69">
        <v>3595952</v>
      </c>
      <c r="M69">
        <v>2356558</v>
      </c>
      <c r="N69">
        <v>64</v>
      </c>
      <c r="O69" t="s">
        <v>49</v>
      </c>
      <c r="P69" t="s">
        <v>87</v>
      </c>
    </row>
    <row r="70" spans="1:16" x14ac:dyDescent="0.35">
      <c r="A70" t="s">
        <v>245</v>
      </c>
      <c r="B70" t="s">
        <v>246</v>
      </c>
      <c r="C70" t="s">
        <v>53</v>
      </c>
      <c r="D70" t="s">
        <v>54</v>
      </c>
      <c r="E70" t="s">
        <v>55</v>
      </c>
      <c r="F70" s="1">
        <v>45320</v>
      </c>
      <c r="G70">
        <v>2032</v>
      </c>
      <c r="H70" t="s">
        <v>81</v>
      </c>
      <c r="I70" t="s">
        <v>118</v>
      </c>
      <c r="J70" t="s">
        <v>153</v>
      </c>
      <c r="K70">
        <v>7.6</v>
      </c>
      <c r="L70">
        <v>7679355</v>
      </c>
      <c r="M70">
        <v>4897945</v>
      </c>
      <c r="N70">
        <v>83</v>
      </c>
      <c r="O70" t="s">
        <v>91</v>
      </c>
      <c r="P70" t="s">
        <v>87</v>
      </c>
    </row>
    <row r="71" spans="1:16" x14ac:dyDescent="0.35">
      <c r="A71" t="s">
        <v>247</v>
      </c>
      <c r="B71" t="s">
        <v>248</v>
      </c>
      <c r="C71" t="s">
        <v>84</v>
      </c>
      <c r="D71" t="s">
        <v>68</v>
      </c>
      <c r="F71" s="1">
        <v>43286</v>
      </c>
      <c r="G71">
        <v>2013</v>
      </c>
      <c r="H71" t="s">
        <v>107</v>
      </c>
      <c r="I71" t="s">
        <v>249</v>
      </c>
      <c r="J71" t="s">
        <v>30</v>
      </c>
      <c r="K71">
        <v>7.2</v>
      </c>
      <c r="L71">
        <v>6152543</v>
      </c>
      <c r="M71">
        <v>2752912</v>
      </c>
      <c r="N71">
        <v>64</v>
      </c>
      <c r="O71" t="s">
        <v>49</v>
      </c>
      <c r="P71" t="s">
        <v>87</v>
      </c>
    </row>
    <row r="72" spans="1:16" x14ac:dyDescent="0.35">
      <c r="A72" t="s">
        <v>250</v>
      </c>
      <c r="B72" t="s">
        <v>251</v>
      </c>
      <c r="C72" t="s">
        <v>53</v>
      </c>
      <c r="D72" t="s">
        <v>75</v>
      </c>
      <c r="F72" s="1">
        <v>43684</v>
      </c>
      <c r="G72">
        <v>2016</v>
      </c>
      <c r="H72" t="s">
        <v>114</v>
      </c>
      <c r="I72" t="s">
        <v>39</v>
      </c>
      <c r="J72" t="s">
        <v>40</v>
      </c>
      <c r="K72">
        <v>6.7</v>
      </c>
      <c r="L72">
        <v>7059430</v>
      </c>
      <c r="M72">
        <v>1542848</v>
      </c>
      <c r="N72">
        <v>88</v>
      </c>
      <c r="O72" t="s">
        <v>104</v>
      </c>
    </row>
    <row r="73" spans="1:16" x14ac:dyDescent="0.35">
      <c r="A73" t="s">
        <v>252</v>
      </c>
      <c r="B73" t="s">
        <v>253</v>
      </c>
      <c r="C73" t="s">
        <v>84</v>
      </c>
      <c r="D73" t="s">
        <v>75</v>
      </c>
      <c r="E73" t="s">
        <v>113</v>
      </c>
      <c r="F73" s="1">
        <v>44889</v>
      </c>
      <c r="G73">
        <v>2003</v>
      </c>
      <c r="H73" t="s">
        <v>81</v>
      </c>
      <c r="I73" t="s">
        <v>254</v>
      </c>
      <c r="J73" t="s">
        <v>153</v>
      </c>
      <c r="K73">
        <v>7.3</v>
      </c>
      <c r="L73">
        <v>13162087</v>
      </c>
      <c r="M73">
        <v>3877514</v>
      </c>
      <c r="N73">
        <v>48</v>
      </c>
      <c r="O73" t="s">
        <v>104</v>
      </c>
      <c r="P73" t="s">
        <v>42</v>
      </c>
    </row>
    <row r="74" spans="1:16" x14ac:dyDescent="0.35">
      <c r="A74" t="s">
        <v>255</v>
      </c>
      <c r="B74" t="s">
        <v>256</v>
      </c>
      <c r="C74" t="s">
        <v>53</v>
      </c>
      <c r="E74" t="s">
        <v>165</v>
      </c>
      <c r="F74" s="1">
        <v>45390</v>
      </c>
      <c r="G74">
        <v>2009</v>
      </c>
      <c r="H74" t="s">
        <v>38</v>
      </c>
      <c r="I74" t="s">
        <v>39</v>
      </c>
      <c r="K74">
        <v>6.4</v>
      </c>
      <c r="L74">
        <v>8983276</v>
      </c>
      <c r="M74">
        <v>3156362</v>
      </c>
      <c r="N74">
        <v>67</v>
      </c>
      <c r="O74" t="s">
        <v>91</v>
      </c>
      <c r="P74" t="s">
        <v>32</v>
      </c>
    </row>
    <row r="75" spans="1:16" x14ac:dyDescent="0.35">
      <c r="A75" t="s">
        <v>257</v>
      </c>
      <c r="B75" t="s">
        <v>258</v>
      </c>
      <c r="C75" t="s">
        <v>79</v>
      </c>
      <c r="D75" t="s">
        <v>54</v>
      </c>
      <c r="E75" t="s">
        <v>113</v>
      </c>
      <c r="F75" s="1">
        <v>42704</v>
      </c>
      <c r="G75">
        <v>2011</v>
      </c>
      <c r="H75" t="s">
        <v>63</v>
      </c>
      <c r="I75" t="s">
        <v>259</v>
      </c>
      <c r="J75" t="s">
        <v>153</v>
      </c>
      <c r="K75">
        <v>8.9</v>
      </c>
      <c r="L75">
        <v>4721099</v>
      </c>
      <c r="M75">
        <v>4452396</v>
      </c>
      <c r="N75">
        <v>80</v>
      </c>
      <c r="P75" t="s">
        <v>87</v>
      </c>
    </row>
    <row r="76" spans="1:16" x14ac:dyDescent="0.35">
      <c r="A76" t="s">
        <v>260</v>
      </c>
      <c r="B76" t="s">
        <v>261</v>
      </c>
      <c r="C76" t="s">
        <v>79</v>
      </c>
      <c r="D76" t="s">
        <v>75</v>
      </c>
      <c r="E76" t="s">
        <v>20</v>
      </c>
      <c r="F76" s="1">
        <v>43918</v>
      </c>
      <c r="G76">
        <v>2014</v>
      </c>
      <c r="H76" t="s">
        <v>85</v>
      </c>
      <c r="I76" t="s">
        <v>262</v>
      </c>
      <c r="J76" t="s">
        <v>23</v>
      </c>
      <c r="K76">
        <v>8.6999999999999993</v>
      </c>
      <c r="L76">
        <v>23096324</v>
      </c>
      <c r="M76">
        <v>759378</v>
      </c>
      <c r="N76">
        <v>97</v>
      </c>
      <c r="O76" t="s">
        <v>65</v>
      </c>
      <c r="P76" t="s">
        <v>50</v>
      </c>
    </row>
    <row r="77" spans="1:16" x14ac:dyDescent="0.35">
      <c r="A77" t="s">
        <v>263</v>
      </c>
      <c r="B77" t="s">
        <v>264</v>
      </c>
      <c r="E77" t="s">
        <v>69</v>
      </c>
      <c r="F77" s="1">
        <v>44171</v>
      </c>
      <c r="G77">
        <v>2026</v>
      </c>
      <c r="H77" t="s">
        <v>63</v>
      </c>
      <c r="I77" t="s">
        <v>162</v>
      </c>
      <c r="J77" t="s">
        <v>103</v>
      </c>
      <c r="K77">
        <v>7</v>
      </c>
      <c r="L77">
        <v>16497716</v>
      </c>
      <c r="M77">
        <v>2069350</v>
      </c>
      <c r="N77">
        <v>74</v>
      </c>
      <c r="P77" t="s">
        <v>87</v>
      </c>
    </row>
    <row r="78" spans="1:16" x14ac:dyDescent="0.35">
      <c r="A78" t="s">
        <v>265</v>
      </c>
      <c r="B78" t="s">
        <v>266</v>
      </c>
      <c r="D78" t="s">
        <v>54</v>
      </c>
      <c r="E78" t="s">
        <v>45</v>
      </c>
      <c r="F78" s="1">
        <v>42622</v>
      </c>
      <c r="G78">
        <v>2011</v>
      </c>
      <c r="I78" t="s">
        <v>118</v>
      </c>
      <c r="J78" t="s">
        <v>72</v>
      </c>
      <c r="K78">
        <v>8.1</v>
      </c>
      <c r="L78">
        <v>11098256</v>
      </c>
      <c r="M78">
        <v>789325</v>
      </c>
      <c r="N78">
        <v>71</v>
      </c>
      <c r="O78" t="s">
        <v>91</v>
      </c>
      <c r="P78" t="s">
        <v>87</v>
      </c>
    </row>
    <row r="79" spans="1:16" x14ac:dyDescent="0.35">
      <c r="A79" t="s">
        <v>267</v>
      </c>
      <c r="B79" t="s">
        <v>268</v>
      </c>
      <c r="D79" t="s">
        <v>19</v>
      </c>
      <c r="E79" t="s">
        <v>62</v>
      </c>
      <c r="F79" s="1">
        <v>43731</v>
      </c>
      <c r="G79">
        <v>2010</v>
      </c>
      <c r="H79" t="s">
        <v>21</v>
      </c>
      <c r="I79" t="s">
        <v>39</v>
      </c>
      <c r="J79" t="s">
        <v>72</v>
      </c>
      <c r="K79">
        <v>6.1</v>
      </c>
      <c r="L79">
        <v>13556920</v>
      </c>
      <c r="M79">
        <v>2800461</v>
      </c>
      <c r="N79">
        <v>57</v>
      </c>
      <c r="O79" t="s">
        <v>65</v>
      </c>
      <c r="P79" t="s">
        <v>50</v>
      </c>
    </row>
    <row r="80" spans="1:16" x14ac:dyDescent="0.35">
      <c r="A80" t="s">
        <v>269</v>
      </c>
      <c r="B80" t="s">
        <v>270</v>
      </c>
      <c r="C80" t="s">
        <v>79</v>
      </c>
      <c r="D80" t="s">
        <v>36</v>
      </c>
      <c r="E80" t="s">
        <v>131</v>
      </c>
      <c r="F80" s="1">
        <v>42722</v>
      </c>
      <c r="G80">
        <v>2001</v>
      </c>
      <c r="H80" t="s">
        <v>21</v>
      </c>
      <c r="I80" t="s">
        <v>226</v>
      </c>
      <c r="J80" t="s">
        <v>153</v>
      </c>
      <c r="K80">
        <v>4.8</v>
      </c>
      <c r="L80">
        <v>218395</v>
      </c>
      <c r="M80">
        <v>390203</v>
      </c>
      <c r="N80">
        <v>98</v>
      </c>
      <c r="O80" t="s">
        <v>49</v>
      </c>
    </row>
    <row r="81" spans="1:16" x14ac:dyDescent="0.35">
      <c r="A81" t="s">
        <v>271</v>
      </c>
      <c r="B81" t="s">
        <v>272</v>
      </c>
      <c r="C81" t="s">
        <v>18</v>
      </c>
      <c r="E81" t="s">
        <v>165</v>
      </c>
      <c r="F81" s="1">
        <v>42684</v>
      </c>
      <c r="G81">
        <v>2021</v>
      </c>
      <c r="I81" t="s">
        <v>192</v>
      </c>
      <c r="K81">
        <v>8</v>
      </c>
      <c r="L81">
        <v>14155589</v>
      </c>
      <c r="M81">
        <v>844942</v>
      </c>
      <c r="N81">
        <v>81</v>
      </c>
      <c r="O81" t="s">
        <v>24</v>
      </c>
      <c r="P81" t="s">
        <v>50</v>
      </c>
    </row>
    <row r="82" spans="1:16" x14ac:dyDescent="0.35">
      <c r="A82" t="s">
        <v>273</v>
      </c>
      <c r="B82" t="s">
        <v>274</v>
      </c>
      <c r="C82" t="s">
        <v>79</v>
      </c>
      <c r="D82" t="s">
        <v>90</v>
      </c>
      <c r="E82" t="s">
        <v>55</v>
      </c>
      <c r="F82" s="1">
        <v>45533</v>
      </c>
      <c r="G82">
        <v>2018</v>
      </c>
      <c r="H82" t="s">
        <v>114</v>
      </c>
      <c r="I82" t="s">
        <v>275</v>
      </c>
      <c r="J82" t="s">
        <v>103</v>
      </c>
      <c r="K82">
        <v>5.0999999999999996</v>
      </c>
      <c r="L82">
        <v>19314580</v>
      </c>
      <c r="M82">
        <v>3395437</v>
      </c>
      <c r="N82">
        <v>40</v>
      </c>
      <c r="O82" t="s">
        <v>58</v>
      </c>
    </row>
    <row r="83" spans="1:16" x14ac:dyDescent="0.35">
      <c r="A83" t="s">
        <v>276</v>
      </c>
      <c r="B83" t="s">
        <v>277</v>
      </c>
      <c r="C83" t="s">
        <v>84</v>
      </c>
      <c r="E83" t="s">
        <v>62</v>
      </c>
      <c r="F83" s="1">
        <v>43248</v>
      </c>
      <c r="G83">
        <v>2013</v>
      </c>
      <c r="H83" t="s">
        <v>114</v>
      </c>
      <c r="J83" t="s">
        <v>100</v>
      </c>
      <c r="K83">
        <v>9.6</v>
      </c>
      <c r="L83">
        <v>4081745</v>
      </c>
      <c r="M83">
        <v>1082866</v>
      </c>
      <c r="N83">
        <v>57</v>
      </c>
      <c r="P83" t="s">
        <v>42</v>
      </c>
    </row>
    <row r="84" spans="1:16" x14ac:dyDescent="0.35">
      <c r="A84" t="s">
        <v>278</v>
      </c>
      <c r="B84" t="s">
        <v>279</v>
      </c>
      <c r="F84" s="1">
        <v>46085</v>
      </c>
      <c r="G84">
        <v>2008</v>
      </c>
      <c r="H84" t="s">
        <v>114</v>
      </c>
      <c r="I84" t="s">
        <v>95</v>
      </c>
      <c r="J84" t="s">
        <v>72</v>
      </c>
      <c r="K84">
        <v>9.1999999999999993</v>
      </c>
      <c r="L84">
        <v>20754146</v>
      </c>
      <c r="M84">
        <v>669409</v>
      </c>
      <c r="N84">
        <v>59</v>
      </c>
      <c r="P84" t="s">
        <v>42</v>
      </c>
    </row>
    <row r="85" spans="1:16" x14ac:dyDescent="0.35">
      <c r="A85" t="s">
        <v>280</v>
      </c>
      <c r="B85" t="s">
        <v>281</v>
      </c>
      <c r="C85" t="s">
        <v>18</v>
      </c>
      <c r="D85" t="s">
        <v>54</v>
      </c>
      <c r="E85" t="s">
        <v>62</v>
      </c>
      <c r="F85" s="1">
        <v>43192</v>
      </c>
      <c r="G85">
        <v>2003</v>
      </c>
      <c r="H85" t="s">
        <v>85</v>
      </c>
      <c r="I85" t="s">
        <v>282</v>
      </c>
      <c r="J85" t="s">
        <v>96</v>
      </c>
      <c r="K85">
        <v>6.7</v>
      </c>
      <c r="L85">
        <v>15201954</v>
      </c>
      <c r="M85">
        <v>2282539</v>
      </c>
      <c r="N85">
        <v>76</v>
      </c>
      <c r="O85" t="s">
        <v>41</v>
      </c>
      <c r="P85" t="s">
        <v>50</v>
      </c>
    </row>
    <row r="86" spans="1:16" x14ac:dyDescent="0.35">
      <c r="A86" t="s">
        <v>283</v>
      </c>
      <c r="B86" t="s">
        <v>284</v>
      </c>
      <c r="C86" t="s">
        <v>18</v>
      </c>
      <c r="D86" t="s">
        <v>94</v>
      </c>
      <c r="E86" t="s">
        <v>80</v>
      </c>
      <c r="F86" s="1">
        <v>43242</v>
      </c>
      <c r="G86">
        <v>2009</v>
      </c>
      <c r="H86" t="s">
        <v>70</v>
      </c>
      <c r="I86" t="s">
        <v>179</v>
      </c>
      <c r="J86" t="s">
        <v>23</v>
      </c>
      <c r="K86">
        <v>8.1</v>
      </c>
      <c r="L86">
        <v>7873591</v>
      </c>
      <c r="M86">
        <v>3786522</v>
      </c>
      <c r="N86">
        <v>40</v>
      </c>
      <c r="O86" t="s">
        <v>41</v>
      </c>
      <c r="P86" t="s">
        <v>50</v>
      </c>
    </row>
    <row r="87" spans="1:16" x14ac:dyDescent="0.35">
      <c r="A87" t="s">
        <v>285</v>
      </c>
      <c r="B87" t="s">
        <v>286</v>
      </c>
      <c r="C87" t="s">
        <v>84</v>
      </c>
      <c r="D87" t="s">
        <v>27</v>
      </c>
      <c r="F87" s="1">
        <v>43209</v>
      </c>
      <c r="G87">
        <v>2025</v>
      </c>
      <c r="H87" t="s">
        <v>38</v>
      </c>
      <c r="I87" t="s">
        <v>287</v>
      </c>
      <c r="J87" t="s">
        <v>57</v>
      </c>
      <c r="K87">
        <v>5</v>
      </c>
      <c r="L87">
        <v>12818994</v>
      </c>
      <c r="M87">
        <v>1682333</v>
      </c>
      <c r="N87">
        <v>86</v>
      </c>
      <c r="O87" t="s">
        <v>31</v>
      </c>
      <c r="P87" t="s">
        <v>50</v>
      </c>
    </row>
    <row r="88" spans="1:16" x14ac:dyDescent="0.35">
      <c r="A88" t="s">
        <v>288</v>
      </c>
      <c r="B88" t="s">
        <v>289</v>
      </c>
      <c r="C88" t="s">
        <v>53</v>
      </c>
      <c r="D88" t="s">
        <v>94</v>
      </c>
      <c r="G88">
        <v>2017</v>
      </c>
      <c r="H88" t="s">
        <v>46</v>
      </c>
      <c r="I88" t="s">
        <v>118</v>
      </c>
      <c r="J88" t="s">
        <v>40</v>
      </c>
      <c r="K88">
        <v>5.7</v>
      </c>
      <c r="L88">
        <v>8718768</v>
      </c>
      <c r="M88">
        <v>4378666</v>
      </c>
      <c r="N88">
        <v>72</v>
      </c>
      <c r="P88" t="s">
        <v>42</v>
      </c>
    </row>
    <row r="89" spans="1:16" x14ac:dyDescent="0.35">
      <c r="A89" t="s">
        <v>290</v>
      </c>
      <c r="B89" t="s">
        <v>291</v>
      </c>
      <c r="D89" t="s">
        <v>19</v>
      </c>
      <c r="E89" t="s">
        <v>20</v>
      </c>
      <c r="F89" s="1">
        <v>45302</v>
      </c>
      <c r="G89">
        <v>2004</v>
      </c>
      <c r="H89" t="s">
        <v>81</v>
      </c>
      <c r="I89" t="s">
        <v>118</v>
      </c>
      <c r="J89" t="s">
        <v>57</v>
      </c>
      <c r="K89">
        <v>5.0999999999999996</v>
      </c>
      <c r="L89">
        <v>2752720</v>
      </c>
      <c r="M89">
        <v>1310922</v>
      </c>
      <c r="N89">
        <v>41</v>
      </c>
      <c r="O89" t="s">
        <v>41</v>
      </c>
      <c r="P89" t="s">
        <v>50</v>
      </c>
    </row>
    <row r="90" spans="1:16" x14ac:dyDescent="0.35">
      <c r="A90" t="s">
        <v>292</v>
      </c>
      <c r="B90" t="s">
        <v>293</v>
      </c>
      <c r="C90" t="s">
        <v>18</v>
      </c>
      <c r="D90" t="s">
        <v>94</v>
      </c>
      <c r="E90" t="s">
        <v>20</v>
      </c>
      <c r="F90" s="1">
        <v>44297</v>
      </c>
      <c r="G90">
        <v>2014</v>
      </c>
      <c r="H90" t="s">
        <v>70</v>
      </c>
      <c r="I90" t="s">
        <v>294</v>
      </c>
      <c r="J90" t="s">
        <v>96</v>
      </c>
      <c r="K90">
        <v>4.7</v>
      </c>
      <c r="L90">
        <v>6074473</v>
      </c>
      <c r="M90">
        <v>3173588</v>
      </c>
      <c r="N90">
        <v>43</v>
      </c>
      <c r="O90" t="s">
        <v>24</v>
      </c>
    </row>
    <row r="91" spans="1:16" x14ac:dyDescent="0.35">
      <c r="A91" t="s">
        <v>295</v>
      </c>
      <c r="B91" t="s">
        <v>296</v>
      </c>
      <c r="C91" t="s">
        <v>84</v>
      </c>
      <c r="D91" t="s">
        <v>94</v>
      </c>
      <c r="E91" t="s">
        <v>165</v>
      </c>
      <c r="F91" s="1">
        <v>42987</v>
      </c>
      <c r="G91">
        <v>2002</v>
      </c>
      <c r="H91" t="s">
        <v>121</v>
      </c>
      <c r="I91" t="s">
        <v>122</v>
      </c>
      <c r="J91" t="s">
        <v>23</v>
      </c>
      <c r="K91">
        <v>9.6</v>
      </c>
      <c r="L91">
        <v>13200860</v>
      </c>
      <c r="M91">
        <v>1533349</v>
      </c>
      <c r="N91">
        <v>50</v>
      </c>
      <c r="O91" t="s">
        <v>41</v>
      </c>
      <c r="P91" t="s">
        <v>42</v>
      </c>
    </row>
    <row r="92" spans="1:16" x14ac:dyDescent="0.35">
      <c r="A92" t="s">
        <v>297</v>
      </c>
      <c r="B92" t="s">
        <v>298</v>
      </c>
      <c r="C92" t="s">
        <v>79</v>
      </c>
      <c r="D92" t="s">
        <v>156</v>
      </c>
      <c r="E92" t="s">
        <v>55</v>
      </c>
      <c r="F92" s="1">
        <v>42390</v>
      </c>
      <c r="G92">
        <v>2016</v>
      </c>
      <c r="I92" t="s">
        <v>299</v>
      </c>
      <c r="J92" t="s">
        <v>57</v>
      </c>
      <c r="K92">
        <v>5.3</v>
      </c>
      <c r="L92">
        <v>6685710</v>
      </c>
      <c r="M92">
        <v>2507455</v>
      </c>
      <c r="N92">
        <v>68</v>
      </c>
      <c r="O92" t="s">
        <v>104</v>
      </c>
      <c r="P92" t="s">
        <v>32</v>
      </c>
    </row>
    <row r="93" spans="1:16" x14ac:dyDescent="0.35">
      <c r="A93" t="s">
        <v>300</v>
      </c>
      <c r="B93" t="s">
        <v>301</v>
      </c>
      <c r="C93" t="s">
        <v>35</v>
      </c>
      <c r="D93" t="s">
        <v>27</v>
      </c>
      <c r="E93" t="s">
        <v>62</v>
      </c>
      <c r="F93" s="1">
        <v>43177</v>
      </c>
      <c r="G93">
        <v>2000</v>
      </c>
      <c r="H93" t="s">
        <v>107</v>
      </c>
      <c r="I93" t="s">
        <v>136</v>
      </c>
      <c r="J93" t="s">
        <v>23</v>
      </c>
      <c r="K93">
        <v>5.3</v>
      </c>
      <c r="L93">
        <v>2620081</v>
      </c>
      <c r="M93">
        <v>3130751</v>
      </c>
      <c r="N93">
        <v>48</v>
      </c>
      <c r="O93" t="s">
        <v>49</v>
      </c>
      <c r="P93" t="s">
        <v>87</v>
      </c>
    </row>
    <row r="94" spans="1:16" x14ac:dyDescent="0.35">
      <c r="A94" t="s">
        <v>302</v>
      </c>
      <c r="B94" t="s">
        <v>303</v>
      </c>
      <c r="C94" t="s">
        <v>79</v>
      </c>
      <c r="D94" t="s">
        <v>68</v>
      </c>
      <c r="E94" t="s">
        <v>62</v>
      </c>
      <c r="F94" s="1">
        <v>45003</v>
      </c>
      <c r="G94">
        <v>2007</v>
      </c>
      <c r="H94" t="s">
        <v>114</v>
      </c>
      <c r="I94" t="s">
        <v>184</v>
      </c>
      <c r="J94" t="s">
        <v>57</v>
      </c>
      <c r="K94">
        <v>5.3</v>
      </c>
      <c r="L94">
        <v>8948792</v>
      </c>
      <c r="M94">
        <v>3509644</v>
      </c>
      <c r="N94">
        <v>49</v>
      </c>
      <c r="O94" t="s">
        <v>24</v>
      </c>
      <c r="P94" t="s">
        <v>50</v>
      </c>
    </row>
    <row r="95" spans="1:16" x14ac:dyDescent="0.35">
      <c r="A95" t="s">
        <v>304</v>
      </c>
      <c r="B95" t="s">
        <v>305</v>
      </c>
      <c r="C95" t="s">
        <v>35</v>
      </c>
      <c r="D95" t="s">
        <v>19</v>
      </c>
      <c r="E95" t="s">
        <v>62</v>
      </c>
      <c r="F95" s="1">
        <v>42940</v>
      </c>
      <c r="G95">
        <v>2016</v>
      </c>
      <c r="H95" t="s">
        <v>114</v>
      </c>
      <c r="I95" t="s">
        <v>56</v>
      </c>
      <c r="K95">
        <v>5.6</v>
      </c>
      <c r="L95">
        <v>9614390</v>
      </c>
      <c r="M95">
        <v>1000830</v>
      </c>
      <c r="N95">
        <v>52</v>
      </c>
      <c r="O95" t="s">
        <v>41</v>
      </c>
      <c r="P95" t="s">
        <v>32</v>
      </c>
    </row>
    <row r="96" spans="1:16" x14ac:dyDescent="0.35">
      <c r="A96" t="s">
        <v>306</v>
      </c>
      <c r="B96" t="s">
        <v>307</v>
      </c>
      <c r="C96" t="s">
        <v>79</v>
      </c>
      <c r="D96" t="s">
        <v>27</v>
      </c>
      <c r="E96" t="s">
        <v>55</v>
      </c>
      <c r="F96" s="1">
        <v>44409</v>
      </c>
      <c r="G96">
        <v>2020</v>
      </c>
      <c r="H96" t="s">
        <v>114</v>
      </c>
      <c r="I96" t="s">
        <v>249</v>
      </c>
      <c r="J96" t="s">
        <v>103</v>
      </c>
      <c r="K96">
        <v>5.2</v>
      </c>
      <c r="L96">
        <v>-853</v>
      </c>
      <c r="M96">
        <v>4418329</v>
      </c>
      <c r="N96">
        <v>63</v>
      </c>
      <c r="O96" t="s">
        <v>58</v>
      </c>
      <c r="P96" t="s">
        <v>87</v>
      </c>
    </row>
    <row r="97" spans="1:16" x14ac:dyDescent="0.35">
      <c r="A97" t="s">
        <v>308</v>
      </c>
      <c r="B97" t="s">
        <v>309</v>
      </c>
      <c r="C97" t="s">
        <v>53</v>
      </c>
      <c r="E97" t="s">
        <v>131</v>
      </c>
      <c r="F97" s="1">
        <v>42654</v>
      </c>
      <c r="G97">
        <v>2019</v>
      </c>
      <c r="H97" t="s">
        <v>107</v>
      </c>
      <c r="I97" t="s">
        <v>64</v>
      </c>
      <c r="J97" t="s">
        <v>96</v>
      </c>
      <c r="K97">
        <v>7.7</v>
      </c>
      <c r="L97">
        <v>6458487</v>
      </c>
      <c r="M97">
        <v>4890997</v>
      </c>
      <c r="N97">
        <v>40</v>
      </c>
      <c r="O97" t="s">
        <v>104</v>
      </c>
    </row>
    <row r="98" spans="1:16" x14ac:dyDescent="0.35">
      <c r="A98" t="s">
        <v>310</v>
      </c>
      <c r="B98" t="s">
        <v>311</v>
      </c>
      <c r="C98" t="s">
        <v>79</v>
      </c>
      <c r="F98" s="1">
        <v>42744</v>
      </c>
      <c r="G98">
        <v>2032</v>
      </c>
      <c r="H98" t="s">
        <v>107</v>
      </c>
      <c r="I98" t="s">
        <v>312</v>
      </c>
      <c r="J98" t="s">
        <v>100</v>
      </c>
      <c r="K98">
        <v>5.5</v>
      </c>
      <c r="L98">
        <v>12327862</v>
      </c>
      <c r="M98">
        <v>308617</v>
      </c>
      <c r="N98">
        <v>63</v>
      </c>
    </row>
    <row r="99" spans="1:16" x14ac:dyDescent="0.35">
      <c r="A99" t="s">
        <v>313</v>
      </c>
      <c r="B99" t="s">
        <v>314</v>
      </c>
      <c r="C99" t="s">
        <v>18</v>
      </c>
      <c r="D99" t="s">
        <v>75</v>
      </c>
      <c r="E99" t="s">
        <v>45</v>
      </c>
      <c r="F99" s="1">
        <v>44634</v>
      </c>
      <c r="G99">
        <v>2012</v>
      </c>
      <c r="H99" t="s">
        <v>70</v>
      </c>
      <c r="I99" t="s">
        <v>315</v>
      </c>
      <c r="J99" t="s">
        <v>72</v>
      </c>
      <c r="K99">
        <v>5.0999999999999996</v>
      </c>
      <c r="L99">
        <v>14990002</v>
      </c>
      <c r="M99">
        <v>4306990</v>
      </c>
      <c r="N99">
        <v>120</v>
      </c>
      <c r="O99" t="s">
        <v>65</v>
      </c>
      <c r="P99" t="s">
        <v>42</v>
      </c>
    </row>
    <row r="100" spans="1:16" x14ac:dyDescent="0.35">
      <c r="A100" t="s">
        <v>316</v>
      </c>
      <c r="B100" t="s">
        <v>317</v>
      </c>
      <c r="C100" t="s">
        <v>53</v>
      </c>
      <c r="D100" t="s">
        <v>75</v>
      </c>
      <c r="E100" t="s">
        <v>28</v>
      </c>
      <c r="F100" s="1">
        <v>42251</v>
      </c>
      <c r="G100">
        <v>2032</v>
      </c>
      <c r="H100" t="s">
        <v>81</v>
      </c>
      <c r="I100" t="s">
        <v>95</v>
      </c>
      <c r="J100" t="s">
        <v>30</v>
      </c>
      <c r="K100">
        <v>7</v>
      </c>
      <c r="L100">
        <v>14915292</v>
      </c>
      <c r="M100">
        <v>863890</v>
      </c>
      <c r="N100">
        <v>46</v>
      </c>
      <c r="O100" t="s">
        <v>91</v>
      </c>
      <c r="P100" t="s">
        <v>87</v>
      </c>
    </row>
    <row r="101" spans="1:16" x14ac:dyDescent="0.35">
      <c r="A101" t="s">
        <v>318</v>
      </c>
      <c r="B101" t="s">
        <v>319</v>
      </c>
      <c r="C101" t="s">
        <v>79</v>
      </c>
      <c r="D101" t="s">
        <v>75</v>
      </c>
      <c r="E101" t="s">
        <v>69</v>
      </c>
      <c r="F101" s="1">
        <v>43126</v>
      </c>
      <c r="G101">
        <v>2007</v>
      </c>
      <c r="H101" t="s">
        <v>81</v>
      </c>
      <c r="I101" t="s">
        <v>320</v>
      </c>
      <c r="J101" t="s">
        <v>30</v>
      </c>
      <c r="K101">
        <v>6.6</v>
      </c>
      <c r="L101">
        <v>631052</v>
      </c>
      <c r="M101">
        <v>3262027</v>
      </c>
      <c r="N101">
        <v>78</v>
      </c>
    </row>
    <row r="102" spans="1:16" x14ac:dyDescent="0.35">
      <c r="A102" t="s">
        <v>321</v>
      </c>
      <c r="B102" t="s">
        <v>322</v>
      </c>
      <c r="C102" t="s">
        <v>79</v>
      </c>
      <c r="D102" t="s">
        <v>90</v>
      </c>
      <c r="E102" t="s">
        <v>37</v>
      </c>
      <c r="F102" s="1">
        <v>45573</v>
      </c>
      <c r="G102">
        <v>2018</v>
      </c>
      <c r="H102" t="s">
        <v>85</v>
      </c>
      <c r="I102" t="s">
        <v>323</v>
      </c>
      <c r="J102" t="s">
        <v>103</v>
      </c>
      <c r="K102">
        <v>7.2</v>
      </c>
      <c r="L102">
        <v>11868802</v>
      </c>
      <c r="M102">
        <v>2092149</v>
      </c>
      <c r="N102">
        <v>82</v>
      </c>
      <c r="O102" t="s">
        <v>24</v>
      </c>
      <c r="P102" t="s">
        <v>50</v>
      </c>
    </row>
    <row r="103" spans="1:16" x14ac:dyDescent="0.35">
      <c r="A103" t="s">
        <v>324</v>
      </c>
      <c r="B103" t="s">
        <v>325</v>
      </c>
      <c r="C103" t="s">
        <v>53</v>
      </c>
      <c r="D103" t="s">
        <v>68</v>
      </c>
      <c r="E103" t="s">
        <v>131</v>
      </c>
      <c r="F103" s="1">
        <v>45257</v>
      </c>
      <c r="G103">
        <v>2014</v>
      </c>
      <c r="I103" t="s">
        <v>71</v>
      </c>
      <c r="J103" t="s">
        <v>72</v>
      </c>
      <c r="K103">
        <v>7.9</v>
      </c>
      <c r="L103">
        <v>22774632</v>
      </c>
      <c r="M103">
        <v>2294723</v>
      </c>
      <c r="N103">
        <v>91</v>
      </c>
      <c r="O103" t="s">
        <v>24</v>
      </c>
    </row>
    <row r="104" spans="1:16" x14ac:dyDescent="0.35">
      <c r="A104" t="s">
        <v>326</v>
      </c>
      <c r="B104" t="s">
        <v>325</v>
      </c>
      <c r="C104" t="s">
        <v>53</v>
      </c>
      <c r="D104" t="s">
        <v>36</v>
      </c>
      <c r="E104" t="s">
        <v>69</v>
      </c>
      <c r="F104" s="1">
        <v>43372</v>
      </c>
      <c r="G104">
        <v>2019</v>
      </c>
      <c r="H104" t="s">
        <v>38</v>
      </c>
      <c r="I104" t="s">
        <v>71</v>
      </c>
      <c r="J104" t="s">
        <v>133</v>
      </c>
      <c r="K104">
        <v>7.3</v>
      </c>
      <c r="L104">
        <v>4168066</v>
      </c>
      <c r="M104">
        <v>4292884</v>
      </c>
      <c r="N104">
        <v>58</v>
      </c>
      <c r="O104" t="s">
        <v>58</v>
      </c>
    </row>
    <row r="105" spans="1:16" x14ac:dyDescent="0.35">
      <c r="A105" t="s">
        <v>327</v>
      </c>
      <c r="B105" t="s">
        <v>328</v>
      </c>
      <c r="C105" t="s">
        <v>18</v>
      </c>
      <c r="D105" t="s">
        <v>54</v>
      </c>
      <c r="E105" t="s">
        <v>20</v>
      </c>
      <c r="F105" s="1">
        <v>43820</v>
      </c>
      <c r="G105">
        <v>2006</v>
      </c>
      <c r="H105" t="s">
        <v>38</v>
      </c>
      <c r="I105" t="s">
        <v>287</v>
      </c>
      <c r="J105" t="s">
        <v>57</v>
      </c>
      <c r="K105">
        <v>6.1</v>
      </c>
      <c r="L105">
        <v>10428803</v>
      </c>
      <c r="M105">
        <v>260730</v>
      </c>
      <c r="N105">
        <v>54</v>
      </c>
      <c r="O105" t="s">
        <v>31</v>
      </c>
    </row>
    <row r="106" spans="1:16" x14ac:dyDescent="0.35">
      <c r="A106" t="s">
        <v>329</v>
      </c>
      <c r="B106" t="s">
        <v>330</v>
      </c>
      <c r="C106" t="s">
        <v>79</v>
      </c>
      <c r="D106" t="s">
        <v>68</v>
      </c>
      <c r="E106" t="s">
        <v>45</v>
      </c>
      <c r="F106" s="1">
        <v>46030</v>
      </c>
      <c r="G106">
        <v>2006</v>
      </c>
      <c r="H106" t="s">
        <v>121</v>
      </c>
      <c r="I106" t="s">
        <v>331</v>
      </c>
      <c r="J106" t="s">
        <v>72</v>
      </c>
      <c r="K106">
        <v>4.9000000000000004</v>
      </c>
      <c r="L106">
        <v>14773484</v>
      </c>
      <c r="M106">
        <v>521235</v>
      </c>
      <c r="N106">
        <v>93</v>
      </c>
      <c r="O106" t="s">
        <v>49</v>
      </c>
      <c r="P106" t="s">
        <v>50</v>
      </c>
    </row>
    <row r="107" spans="1:16" x14ac:dyDescent="0.35">
      <c r="A107" t="s">
        <v>332</v>
      </c>
      <c r="B107" t="s">
        <v>333</v>
      </c>
      <c r="D107" t="s">
        <v>90</v>
      </c>
      <c r="E107" t="s">
        <v>45</v>
      </c>
      <c r="F107" s="1">
        <v>43154</v>
      </c>
      <c r="G107">
        <v>2019</v>
      </c>
      <c r="H107" t="s">
        <v>70</v>
      </c>
      <c r="I107" t="s">
        <v>95</v>
      </c>
      <c r="J107" t="s">
        <v>103</v>
      </c>
      <c r="K107">
        <v>9</v>
      </c>
      <c r="L107">
        <v>15956355</v>
      </c>
      <c r="M107">
        <v>2254873</v>
      </c>
      <c r="N107">
        <v>85</v>
      </c>
      <c r="O107" t="s">
        <v>91</v>
      </c>
      <c r="P107" t="s">
        <v>32</v>
      </c>
    </row>
    <row r="108" spans="1:16" x14ac:dyDescent="0.35">
      <c r="A108" t="s">
        <v>334</v>
      </c>
      <c r="B108" t="s">
        <v>335</v>
      </c>
      <c r="C108" t="s">
        <v>84</v>
      </c>
      <c r="D108" t="s">
        <v>90</v>
      </c>
      <c r="E108" t="s">
        <v>20</v>
      </c>
      <c r="F108" s="1">
        <v>44293</v>
      </c>
      <c r="G108">
        <v>2019</v>
      </c>
      <c r="H108" t="s">
        <v>46</v>
      </c>
      <c r="I108" t="s">
        <v>336</v>
      </c>
      <c r="J108" t="s">
        <v>57</v>
      </c>
      <c r="K108">
        <v>6</v>
      </c>
      <c r="L108">
        <v>11853160</v>
      </c>
      <c r="M108">
        <v>3278298</v>
      </c>
      <c r="N108">
        <v>78</v>
      </c>
      <c r="O108" t="s">
        <v>58</v>
      </c>
      <c r="P108" t="s">
        <v>50</v>
      </c>
    </row>
    <row r="109" spans="1:16" x14ac:dyDescent="0.35">
      <c r="A109" t="s">
        <v>337</v>
      </c>
      <c r="B109" t="s">
        <v>338</v>
      </c>
      <c r="C109" t="s">
        <v>18</v>
      </c>
      <c r="D109" t="s">
        <v>27</v>
      </c>
      <c r="E109" t="s">
        <v>113</v>
      </c>
      <c r="F109" s="1">
        <v>43905</v>
      </c>
      <c r="G109">
        <v>2010</v>
      </c>
      <c r="H109" t="s">
        <v>85</v>
      </c>
      <c r="I109" t="s">
        <v>339</v>
      </c>
      <c r="J109" t="s">
        <v>30</v>
      </c>
      <c r="K109">
        <v>9.6</v>
      </c>
      <c r="L109">
        <v>14319195</v>
      </c>
      <c r="M109">
        <v>90693</v>
      </c>
      <c r="N109">
        <v>120</v>
      </c>
      <c r="O109" t="s">
        <v>123</v>
      </c>
    </row>
    <row r="110" spans="1:16" x14ac:dyDescent="0.35">
      <c r="A110" t="s">
        <v>340</v>
      </c>
      <c r="B110" t="s">
        <v>341</v>
      </c>
      <c r="C110" t="s">
        <v>18</v>
      </c>
      <c r="D110" t="s">
        <v>90</v>
      </c>
      <c r="E110" t="s">
        <v>99</v>
      </c>
      <c r="F110" s="1">
        <v>45528</v>
      </c>
      <c r="G110">
        <v>2011</v>
      </c>
      <c r="H110" t="s">
        <v>114</v>
      </c>
      <c r="I110" t="s">
        <v>218</v>
      </c>
      <c r="J110" t="s">
        <v>40</v>
      </c>
      <c r="K110">
        <v>4.5999999999999996</v>
      </c>
      <c r="L110">
        <v>7703083</v>
      </c>
      <c r="M110">
        <v>831189</v>
      </c>
      <c r="N110">
        <v>72</v>
      </c>
      <c r="O110" t="s">
        <v>58</v>
      </c>
    </row>
    <row r="111" spans="1:16" x14ac:dyDescent="0.35">
      <c r="A111" t="s">
        <v>342</v>
      </c>
      <c r="B111" t="s">
        <v>343</v>
      </c>
      <c r="C111" t="s">
        <v>35</v>
      </c>
      <c r="D111" t="s">
        <v>54</v>
      </c>
      <c r="F111" s="1">
        <v>44817</v>
      </c>
      <c r="G111">
        <v>2023</v>
      </c>
      <c r="H111" t="s">
        <v>46</v>
      </c>
      <c r="I111" t="s">
        <v>136</v>
      </c>
      <c r="J111" t="s">
        <v>40</v>
      </c>
      <c r="K111">
        <v>4.9000000000000004</v>
      </c>
      <c r="L111">
        <v>5901682</v>
      </c>
      <c r="M111">
        <v>928039</v>
      </c>
      <c r="N111">
        <v>58</v>
      </c>
      <c r="O111" t="s">
        <v>41</v>
      </c>
    </row>
    <row r="112" spans="1:16" x14ac:dyDescent="0.35">
      <c r="A112" t="s">
        <v>344</v>
      </c>
      <c r="B112" t="s">
        <v>345</v>
      </c>
      <c r="C112" t="s">
        <v>53</v>
      </c>
      <c r="D112" t="s">
        <v>90</v>
      </c>
      <c r="E112" t="s">
        <v>131</v>
      </c>
      <c r="F112" s="1">
        <v>42878</v>
      </c>
      <c r="G112">
        <v>2020</v>
      </c>
      <c r="I112" t="s">
        <v>64</v>
      </c>
      <c r="J112" t="s">
        <v>76</v>
      </c>
      <c r="K112">
        <v>8.6999999999999993</v>
      </c>
      <c r="L112">
        <v>23185974</v>
      </c>
      <c r="M112">
        <v>4639332</v>
      </c>
      <c r="N112">
        <v>120</v>
      </c>
      <c r="O112" t="s">
        <v>123</v>
      </c>
      <c r="P112" t="s">
        <v>32</v>
      </c>
    </row>
    <row r="113" spans="1:16" x14ac:dyDescent="0.35">
      <c r="A113" t="s">
        <v>346</v>
      </c>
      <c r="B113" t="s">
        <v>345</v>
      </c>
      <c r="C113" t="s">
        <v>53</v>
      </c>
      <c r="D113" t="s">
        <v>156</v>
      </c>
      <c r="E113" t="s">
        <v>20</v>
      </c>
      <c r="F113" s="1">
        <v>43182</v>
      </c>
      <c r="G113">
        <v>2013</v>
      </c>
      <c r="H113" t="s">
        <v>70</v>
      </c>
      <c r="I113" t="s">
        <v>162</v>
      </c>
      <c r="J113" t="s">
        <v>96</v>
      </c>
      <c r="K113">
        <v>7.2</v>
      </c>
      <c r="L113">
        <v>2564501</v>
      </c>
      <c r="M113">
        <v>1431557</v>
      </c>
      <c r="N113">
        <v>71</v>
      </c>
      <c r="O113" t="s">
        <v>49</v>
      </c>
    </row>
    <row r="114" spans="1:16" x14ac:dyDescent="0.35">
      <c r="A114" t="s">
        <v>347</v>
      </c>
      <c r="B114" t="s">
        <v>348</v>
      </c>
      <c r="C114" t="s">
        <v>18</v>
      </c>
      <c r="D114" t="s">
        <v>27</v>
      </c>
      <c r="E114" t="s">
        <v>80</v>
      </c>
      <c r="F114" s="1">
        <v>44261</v>
      </c>
      <c r="G114">
        <v>2008</v>
      </c>
      <c r="I114" t="s">
        <v>184</v>
      </c>
      <c r="J114" t="s">
        <v>30</v>
      </c>
      <c r="K114">
        <v>5.5</v>
      </c>
      <c r="L114">
        <v>665933</v>
      </c>
      <c r="M114">
        <v>459679</v>
      </c>
      <c r="N114">
        <v>65</v>
      </c>
      <c r="P114" t="s">
        <v>87</v>
      </c>
    </row>
    <row r="115" spans="1:16" x14ac:dyDescent="0.35">
      <c r="A115" t="s">
        <v>349</v>
      </c>
      <c r="B115" t="s">
        <v>350</v>
      </c>
      <c r="C115" t="s">
        <v>84</v>
      </c>
      <c r="D115" t="s">
        <v>94</v>
      </c>
      <c r="F115" s="1">
        <v>42055</v>
      </c>
      <c r="G115">
        <v>2026</v>
      </c>
      <c r="H115" t="s">
        <v>107</v>
      </c>
      <c r="I115" t="s">
        <v>331</v>
      </c>
      <c r="J115" t="s">
        <v>30</v>
      </c>
      <c r="K115">
        <v>9.1999999999999993</v>
      </c>
      <c r="L115">
        <v>2275794</v>
      </c>
      <c r="M115">
        <v>2038826</v>
      </c>
      <c r="N115">
        <v>83</v>
      </c>
      <c r="P115" t="s">
        <v>42</v>
      </c>
    </row>
    <row r="116" spans="1:16" x14ac:dyDescent="0.35">
      <c r="A116" t="s">
        <v>351</v>
      </c>
      <c r="B116" t="s">
        <v>352</v>
      </c>
      <c r="C116" t="s">
        <v>84</v>
      </c>
      <c r="D116" t="s">
        <v>68</v>
      </c>
      <c r="E116" t="s">
        <v>69</v>
      </c>
      <c r="F116" s="1">
        <v>44940</v>
      </c>
      <c r="G116">
        <v>2000</v>
      </c>
      <c r="H116" t="s">
        <v>121</v>
      </c>
      <c r="I116" t="s">
        <v>86</v>
      </c>
      <c r="J116" t="s">
        <v>40</v>
      </c>
      <c r="K116">
        <v>7.3</v>
      </c>
      <c r="L116">
        <v>13539015</v>
      </c>
      <c r="M116">
        <v>550008</v>
      </c>
      <c r="N116">
        <v>67</v>
      </c>
      <c r="O116" t="s">
        <v>41</v>
      </c>
    </row>
    <row r="117" spans="1:16" x14ac:dyDescent="0.35">
      <c r="A117" t="s">
        <v>353</v>
      </c>
      <c r="B117" t="s">
        <v>354</v>
      </c>
      <c r="C117" t="s">
        <v>53</v>
      </c>
      <c r="D117" t="s">
        <v>61</v>
      </c>
      <c r="E117" t="s">
        <v>28</v>
      </c>
      <c r="F117" s="1">
        <v>44801</v>
      </c>
      <c r="G117">
        <v>2007</v>
      </c>
      <c r="H117" t="s">
        <v>63</v>
      </c>
      <c r="I117" t="s">
        <v>136</v>
      </c>
      <c r="J117" t="s">
        <v>48</v>
      </c>
      <c r="K117">
        <v>8.6999999999999993</v>
      </c>
      <c r="L117">
        <v>15681692</v>
      </c>
      <c r="M117">
        <v>2015812</v>
      </c>
      <c r="N117">
        <v>62</v>
      </c>
      <c r="O117" t="s">
        <v>31</v>
      </c>
      <c r="P117" t="s">
        <v>32</v>
      </c>
    </row>
    <row r="118" spans="1:16" x14ac:dyDescent="0.35">
      <c r="A118" t="s">
        <v>355</v>
      </c>
      <c r="B118" t="s">
        <v>356</v>
      </c>
      <c r="C118" t="s">
        <v>18</v>
      </c>
      <c r="D118" t="s">
        <v>68</v>
      </c>
      <c r="F118" s="1">
        <v>43077</v>
      </c>
      <c r="G118">
        <v>2008</v>
      </c>
      <c r="H118" t="s">
        <v>70</v>
      </c>
      <c r="I118" t="s">
        <v>157</v>
      </c>
      <c r="J118" t="s">
        <v>30</v>
      </c>
      <c r="K118">
        <v>7.3</v>
      </c>
      <c r="L118">
        <v>17129266</v>
      </c>
      <c r="M118">
        <v>1783931</v>
      </c>
      <c r="N118">
        <v>88</v>
      </c>
      <c r="O118" t="s">
        <v>104</v>
      </c>
    </row>
    <row r="119" spans="1:16" x14ac:dyDescent="0.35">
      <c r="A119" t="s">
        <v>357</v>
      </c>
      <c r="B119" t="s">
        <v>358</v>
      </c>
      <c r="C119" t="s">
        <v>35</v>
      </c>
      <c r="E119" t="s">
        <v>80</v>
      </c>
      <c r="F119" s="1">
        <v>44550</v>
      </c>
      <c r="G119">
        <v>2032</v>
      </c>
      <c r="H119" t="s">
        <v>46</v>
      </c>
      <c r="I119" t="s">
        <v>71</v>
      </c>
      <c r="K119">
        <v>6.2</v>
      </c>
      <c r="L119">
        <v>3666135</v>
      </c>
      <c r="M119">
        <v>572103</v>
      </c>
      <c r="N119">
        <v>63</v>
      </c>
      <c r="O119" t="s">
        <v>65</v>
      </c>
      <c r="P119" t="s">
        <v>50</v>
      </c>
    </row>
    <row r="120" spans="1:16" x14ac:dyDescent="0.35">
      <c r="A120" t="s">
        <v>359</v>
      </c>
      <c r="B120" t="s">
        <v>360</v>
      </c>
      <c r="C120" t="s">
        <v>79</v>
      </c>
      <c r="E120" t="s">
        <v>113</v>
      </c>
      <c r="F120" s="1">
        <v>45309</v>
      </c>
      <c r="G120">
        <v>2014</v>
      </c>
      <c r="I120" t="s">
        <v>361</v>
      </c>
      <c r="J120" t="s">
        <v>96</v>
      </c>
      <c r="K120">
        <v>5.4</v>
      </c>
      <c r="L120">
        <v>22277074</v>
      </c>
      <c r="M120">
        <v>2949000</v>
      </c>
      <c r="N120">
        <v>41</v>
      </c>
      <c r="O120" t="s">
        <v>49</v>
      </c>
      <c r="P120" t="s">
        <v>42</v>
      </c>
    </row>
    <row r="121" spans="1:16" x14ac:dyDescent="0.35">
      <c r="A121" t="s">
        <v>362</v>
      </c>
      <c r="B121" t="s">
        <v>363</v>
      </c>
      <c r="C121" t="s">
        <v>79</v>
      </c>
      <c r="D121" t="s">
        <v>36</v>
      </c>
      <c r="E121" t="s">
        <v>20</v>
      </c>
      <c r="F121" s="1">
        <v>42336</v>
      </c>
      <c r="G121">
        <v>2019</v>
      </c>
      <c r="H121" t="s">
        <v>63</v>
      </c>
      <c r="I121" t="s">
        <v>320</v>
      </c>
      <c r="K121">
        <v>6.5</v>
      </c>
      <c r="L121">
        <v>10442641</v>
      </c>
      <c r="M121">
        <v>1508194</v>
      </c>
      <c r="N121">
        <v>54</v>
      </c>
      <c r="P121" t="s">
        <v>32</v>
      </c>
    </row>
    <row r="122" spans="1:16" x14ac:dyDescent="0.35">
      <c r="A122" t="s">
        <v>364</v>
      </c>
      <c r="B122" t="s">
        <v>365</v>
      </c>
      <c r="C122" t="s">
        <v>18</v>
      </c>
      <c r="D122" t="s">
        <v>61</v>
      </c>
      <c r="E122" t="s">
        <v>69</v>
      </c>
      <c r="F122" s="1">
        <v>44350</v>
      </c>
      <c r="G122">
        <v>2018</v>
      </c>
      <c r="H122" t="s">
        <v>70</v>
      </c>
      <c r="I122" t="s">
        <v>366</v>
      </c>
      <c r="J122" t="s">
        <v>23</v>
      </c>
      <c r="K122">
        <v>4.7</v>
      </c>
      <c r="L122">
        <v>11608533</v>
      </c>
      <c r="M122">
        <v>723568</v>
      </c>
      <c r="N122">
        <v>87</v>
      </c>
      <c r="O122" t="s">
        <v>58</v>
      </c>
    </row>
    <row r="123" spans="1:16" x14ac:dyDescent="0.35">
      <c r="A123" t="s">
        <v>367</v>
      </c>
      <c r="B123" t="s">
        <v>368</v>
      </c>
      <c r="C123" t="s">
        <v>35</v>
      </c>
      <c r="D123" t="s">
        <v>19</v>
      </c>
      <c r="E123" t="s">
        <v>80</v>
      </c>
      <c r="F123" s="1">
        <v>45714</v>
      </c>
      <c r="G123">
        <v>2021</v>
      </c>
      <c r="H123" t="s">
        <v>81</v>
      </c>
      <c r="I123" t="s">
        <v>162</v>
      </c>
      <c r="J123" t="s">
        <v>103</v>
      </c>
      <c r="K123">
        <v>8.6</v>
      </c>
      <c r="L123">
        <v>6361722</v>
      </c>
      <c r="M123">
        <v>367508</v>
      </c>
      <c r="N123">
        <v>92</v>
      </c>
      <c r="O123" t="s">
        <v>65</v>
      </c>
      <c r="P123" t="s">
        <v>50</v>
      </c>
    </row>
    <row r="124" spans="1:16" x14ac:dyDescent="0.35">
      <c r="A124" t="s">
        <v>369</v>
      </c>
      <c r="B124" t="s">
        <v>370</v>
      </c>
      <c r="C124" t="s">
        <v>53</v>
      </c>
      <c r="D124" t="s">
        <v>68</v>
      </c>
      <c r="E124" t="s">
        <v>55</v>
      </c>
      <c r="F124" s="1">
        <v>44849</v>
      </c>
      <c r="G124">
        <v>2006</v>
      </c>
      <c r="I124" t="s">
        <v>118</v>
      </c>
      <c r="J124" t="s">
        <v>96</v>
      </c>
      <c r="K124">
        <v>7.1</v>
      </c>
      <c r="L124">
        <v>23686715</v>
      </c>
      <c r="M124">
        <v>2028623</v>
      </c>
      <c r="N124">
        <v>120</v>
      </c>
      <c r="O124" t="s">
        <v>49</v>
      </c>
      <c r="P124" t="s">
        <v>42</v>
      </c>
    </row>
    <row r="125" spans="1:16" x14ac:dyDescent="0.35">
      <c r="A125" t="s">
        <v>371</v>
      </c>
      <c r="B125" t="s">
        <v>372</v>
      </c>
      <c r="C125" t="s">
        <v>18</v>
      </c>
      <c r="D125" t="s">
        <v>68</v>
      </c>
      <c r="E125" t="s">
        <v>45</v>
      </c>
      <c r="F125" s="1">
        <v>42971</v>
      </c>
      <c r="G125">
        <v>2024</v>
      </c>
      <c r="H125" t="s">
        <v>63</v>
      </c>
      <c r="I125" t="s">
        <v>373</v>
      </c>
      <c r="J125" t="s">
        <v>96</v>
      </c>
      <c r="K125">
        <v>6.9</v>
      </c>
      <c r="L125">
        <v>6933131</v>
      </c>
      <c r="M125">
        <v>961313</v>
      </c>
      <c r="N125">
        <v>40</v>
      </c>
      <c r="O125" t="s">
        <v>41</v>
      </c>
      <c r="P125" t="s">
        <v>32</v>
      </c>
    </row>
    <row r="126" spans="1:16" x14ac:dyDescent="0.35">
      <c r="A126" t="s">
        <v>374</v>
      </c>
      <c r="B126" t="s">
        <v>375</v>
      </c>
      <c r="C126" t="s">
        <v>53</v>
      </c>
      <c r="E126" t="s">
        <v>28</v>
      </c>
      <c r="F126" s="1">
        <v>42930</v>
      </c>
      <c r="G126">
        <v>2014</v>
      </c>
      <c r="H126" t="s">
        <v>107</v>
      </c>
      <c r="I126" t="s">
        <v>56</v>
      </c>
      <c r="J126" t="s">
        <v>48</v>
      </c>
      <c r="K126">
        <v>4.9000000000000004</v>
      </c>
      <c r="L126">
        <v>-769</v>
      </c>
      <c r="M126">
        <v>4073877</v>
      </c>
      <c r="N126">
        <v>85</v>
      </c>
      <c r="O126" t="s">
        <v>41</v>
      </c>
    </row>
    <row r="127" spans="1:16" x14ac:dyDescent="0.35">
      <c r="A127" t="s">
        <v>376</v>
      </c>
      <c r="B127" t="s">
        <v>377</v>
      </c>
      <c r="C127" t="s">
        <v>35</v>
      </c>
      <c r="D127" t="s">
        <v>156</v>
      </c>
      <c r="E127" t="s">
        <v>45</v>
      </c>
      <c r="G127">
        <v>2020</v>
      </c>
      <c r="H127" t="s">
        <v>121</v>
      </c>
      <c r="I127" t="s">
        <v>64</v>
      </c>
      <c r="J127" t="s">
        <v>76</v>
      </c>
      <c r="K127">
        <v>5.8</v>
      </c>
      <c r="L127">
        <v>4662404</v>
      </c>
      <c r="M127">
        <v>233100</v>
      </c>
      <c r="N127">
        <v>120</v>
      </c>
      <c r="O127" t="s">
        <v>58</v>
      </c>
      <c r="P127" t="s">
        <v>42</v>
      </c>
    </row>
    <row r="128" spans="1:16" x14ac:dyDescent="0.35">
      <c r="A128" t="s">
        <v>378</v>
      </c>
      <c r="B128" t="s">
        <v>379</v>
      </c>
      <c r="D128" t="s">
        <v>75</v>
      </c>
      <c r="F128" s="1">
        <v>44547</v>
      </c>
      <c r="G128">
        <v>2010</v>
      </c>
      <c r="H128" t="s">
        <v>21</v>
      </c>
      <c r="I128" t="s">
        <v>95</v>
      </c>
      <c r="J128" t="s">
        <v>40</v>
      </c>
      <c r="K128">
        <v>6.5</v>
      </c>
      <c r="L128">
        <v>12400847</v>
      </c>
      <c r="M128">
        <v>2127931</v>
      </c>
      <c r="N128">
        <v>42</v>
      </c>
      <c r="O128" t="s">
        <v>104</v>
      </c>
    </row>
    <row r="129" spans="1:16" x14ac:dyDescent="0.35">
      <c r="A129" t="s">
        <v>380</v>
      </c>
      <c r="B129" t="s">
        <v>381</v>
      </c>
      <c r="C129" t="s">
        <v>35</v>
      </c>
      <c r="D129" t="s">
        <v>36</v>
      </c>
      <c r="E129" t="s">
        <v>20</v>
      </c>
      <c r="F129" s="1">
        <v>42662</v>
      </c>
      <c r="G129">
        <v>2007</v>
      </c>
      <c r="H129" t="s">
        <v>63</v>
      </c>
      <c r="I129" t="s">
        <v>95</v>
      </c>
      <c r="J129" t="s">
        <v>100</v>
      </c>
      <c r="K129">
        <v>5</v>
      </c>
      <c r="L129">
        <v>14757261</v>
      </c>
      <c r="M129">
        <v>4022510</v>
      </c>
      <c r="N129">
        <v>86</v>
      </c>
      <c r="O129" t="s">
        <v>41</v>
      </c>
      <c r="P129" t="s">
        <v>87</v>
      </c>
    </row>
    <row r="130" spans="1:16" x14ac:dyDescent="0.35">
      <c r="A130" t="s">
        <v>382</v>
      </c>
      <c r="B130" t="s">
        <v>383</v>
      </c>
      <c r="C130" t="s">
        <v>35</v>
      </c>
      <c r="D130" t="s">
        <v>36</v>
      </c>
      <c r="E130" t="s">
        <v>69</v>
      </c>
      <c r="F130" s="1">
        <v>45455</v>
      </c>
      <c r="G130">
        <v>2002</v>
      </c>
      <c r="H130" t="s">
        <v>107</v>
      </c>
      <c r="J130" t="s">
        <v>96</v>
      </c>
      <c r="K130">
        <v>5.4</v>
      </c>
      <c r="L130">
        <v>14879834</v>
      </c>
      <c r="M130">
        <v>4726918</v>
      </c>
      <c r="N130">
        <v>76</v>
      </c>
      <c r="O130" t="s">
        <v>31</v>
      </c>
      <c r="P130" t="s">
        <v>32</v>
      </c>
    </row>
    <row r="131" spans="1:16" x14ac:dyDescent="0.35">
      <c r="A131" t="s">
        <v>384</v>
      </c>
      <c r="B131" t="s">
        <v>385</v>
      </c>
      <c r="C131" t="s">
        <v>18</v>
      </c>
      <c r="D131" t="s">
        <v>27</v>
      </c>
      <c r="E131" t="s">
        <v>113</v>
      </c>
      <c r="F131" s="1">
        <v>42672</v>
      </c>
      <c r="G131">
        <v>2001</v>
      </c>
      <c r="I131" t="s">
        <v>386</v>
      </c>
      <c r="J131" t="s">
        <v>100</v>
      </c>
      <c r="K131">
        <v>7.5</v>
      </c>
      <c r="L131">
        <v>16140697</v>
      </c>
      <c r="M131">
        <v>1148999</v>
      </c>
      <c r="N131">
        <v>61</v>
      </c>
      <c r="O131" t="s">
        <v>65</v>
      </c>
      <c r="P131" t="s">
        <v>87</v>
      </c>
    </row>
    <row r="132" spans="1:16" x14ac:dyDescent="0.35">
      <c r="A132" t="s">
        <v>387</v>
      </c>
      <c r="B132" t="s">
        <v>388</v>
      </c>
      <c r="C132" t="s">
        <v>84</v>
      </c>
      <c r="E132" t="s">
        <v>20</v>
      </c>
      <c r="F132" s="1">
        <v>45415</v>
      </c>
      <c r="G132">
        <v>2007</v>
      </c>
      <c r="H132" t="s">
        <v>70</v>
      </c>
      <c r="I132" t="s">
        <v>192</v>
      </c>
      <c r="J132" t="s">
        <v>48</v>
      </c>
      <c r="K132">
        <v>5.5</v>
      </c>
      <c r="L132">
        <v>18401649</v>
      </c>
      <c r="M132">
        <v>942804</v>
      </c>
      <c r="N132">
        <v>93</v>
      </c>
      <c r="O132" t="s">
        <v>123</v>
      </c>
      <c r="P132" t="s">
        <v>87</v>
      </c>
    </row>
    <row r="133" spans="1:16" x14ac:dyDescent="0.35">
      <c r="A133" t="s">
        <v>389</v>
      </c>
      <c r="B133" t="s">
        <v>390</v>
      </c>
      <c r="C133" t="s">
        <v>53</v>
      </c>
      <c r="D133" t="s">
        <v>68</v>
      </c>
      <c r="E133" t="s">
        <v>99</v>
      </c>
      <c r="F133" s="1">
        <v>42930</v>
      </c>
      <c r="G133">
        <v>2018</v>
      </c>
      <c r="H133" t="s">
        <v>70</v>
      </c>
      <c r="I133" t="s">
        <v>162</v>
      </c>
      <c r="J133" t="s">
        <v>153</v>
      </c>
      <c r="K133">
        <v>8.6999999999999993</v>
      </c>
      <c r="L133">
        <v>16892261</v>
      </c>
      <c r="M133">
        <v>4619455</v>
      </c>
      <c r="N133">
        <v>93</v>
      </c>
      <c r="O133" t="s">
        <v>104</v>
      </c>
    </row>
    <row r="134" spans="1:16" x14ac:dyDescent="0.35">
      <c r="A134" t="s">
        <v>391</v>
      </c>
      <c r="B134" t="s">
        <v>392</v>
      </c>
      <c r="C134" t="s">
        <v>53</v>
      </c>
      <c r="D134" t="s">
        <v>94</v>
      </c>
      <c r="E134" t="s">
        <v>62</v>
      </c>
      <c r="F134" s="1">
        <v>43125</v>
      </c>
      <c r="G134">
        <v>2019</v>
      </c>
      <c r="H134" t="s">
        <v>114</v>
      </c>
      <c r="I134" t="s">
        <v>64</v>
      </c>
      <c r="J134" t="s">
        <v>72</v>
      </c>
      <c r="K134">
        <v>4.5999999999999996</v>
      </c>
      <c r="L134">
        <v>7161580</v>
      </c>
      <c r="M134">
        <v>3857290</v>
      </c>
      <c r="N134">
        <v>85</v>
      </c>
      <c r="O134" t="s">
        <v>91</v>
      </c>
      <c r="P134" t="s">
        <v>32</v>
      </c>
    </row>
    <row r="135" spans="1:16" x14ac:dyDescent="0.35">
      <c r="A135" t="s">
        <v>393</v>
      </c>
      <c r="B135" t="s">
        <v>394</v>
      </c>
      <c r="C135" t="s">
        <v>84</v>
      </c>
      <c r="D135" t="s">
        <v>19</v>
      </c>
      <c r="E135" t="s">
        <v>131</v>
      </c>
      <c r="F135" s="1">
        <v>44801</v>
      </c>
      <c r="G135">
        <v>2023</v>
      </c>
      <c r="J135" t="s">
        <v>48</v>
      </c>
      <c r="K135">
        <v>6.5</v>
      </c>
      <c r="L135">
        <v>11987583</v>
      </c>
      <c r="M135">
        <v>4102928</v>
      </c>
      <c r="N135">
        <v>78</v>
      </c>
      <c r="O135" t="s">
        <v>41</v>
      </c>
      <c r="P135" t="s">
        <v>87</v>
      </c>
    </row>
    <row r="136" spans="1:16" x14ac:dyDescent="0.35">
      <c r="A136" t="s">
        <v>395</v>
      </c>
      <c r="B136" t="s">
        <v>396</v>
      </c>
      <c r="C136" t="s">
        <v>84</v>
      </c>
      <c r="D136" t="s">
        <v>68</v>
      </c>
      <c r="E136" t="s">
        <v>28</v>
      </c>
      <c r="F136" s="1">
        <v>45664</v>
      </c>
      <c r="G136">
        <v>2018</v>
      </c>
      <c r="H136" t="s">
        <v>107</v>
      </c>
      <c r="I136" t="s">
        <v>397</v>
      </c>
      <c r="J136" t="s">
        <v>72</v>
      </c>
      <c r="K136">
        <v>4.9000000000000004</v>
      </c>
      <c r="L136">
        <v>5051379</v>
      </c>
      <c r="M136">
        <v>4650354</v>
      </c>
      <c r="N136">
        <v>95</v>
      </c>
      <c r="O136" t="s">
        <v>58</v>
      </c>
      <c r="P136" t="s">
        <v>42</v>
      </c>
    </row>
    <row r="137" spans="1:16" x14ac:dyDescent="0.35">
      <c r="A137" t="s">
        <v>398</v>
      </c>
      <c r="B137" t="s">
        <v>399</v>
      </c>
      <c r="C137" t="s">
        <v>79</v>
      </c>
      <c r="D137" t="s">
        <v>61</v>
      </c>
      <c r="E137" t="s">
        <v>55</v>
      </c>
      <c r="F137" s="1">
        <v>43241</v>
      </c>
      <c r="G137">
        <v>2015</v>
      </c>
      <c r="H137" t="s">
        <v>114</v>
      </c>
      <c r="I137" t="s">
        <v>108</v>
      </c>
      <c r="J137" t="s">
        <v>72</v>
      </c>
      <c r="K137">
        <v>7.8</v>
      </c>
      <c r="L137">
        <v>20141516</v>
      </c>
      <c r="M137">
        <v>3294070</v>
      </c>
      <c r="N137">
        <v>50</v>
      </c>
      <c r="O137" t="s">
        <v>49</v>
      </c>
      <c r="P137" t="s">
        <v>32</v>
      </c>
    </row>
    <row r="138" spans="1:16" x14ac:dyDescent="0.35">
      <c r="A138" t="s">
        <v>400</v>
      </c>
      <c r="B138" t="s">
        <v>401</v>
      </c>
      <c r="C138" t="s">
        <v>18</v>
      </c>
      <c r="D138" t="s">
        <v>36</v>
      </c>
      <c r="E138" t="s">
        <v>131</v>
      </c>
      <c r="F138" s="1">
        <v>42362</v>
      </c>
      <c r="G138">
        <v>2026</v>
      </c>
      <c r="H138" t="s">
        <v>85</v>
      </c>
      <c r="I138" t="s">
        <v>402</v>
      </c>
      <c r="J138" t="s">
        <v>40</v>
      </c>
      <c r="K138">
        <v>6.6</v>
      </c>
      <c r="L138">
        <v>210926</v>
      </c>
      <c r="M138">
        <v>2815421</v>
      </c>
      <c r="N138">
        <v>61</v>
      </c>
      <c r="O138" t="s">
        <v>31</v>
      </c>
      <c r="P138" t="s">
        <v>87</v>
      </c>
    </row>
    <row r="139" spans="1:16" x14ac:dyDescent="0.35">
      <c r="A139" t="s">
        <v>403</v>
      </c>
      <c r="B139" t="s">
        <v>404</v>
      </c>
      <c r="E139" t="s">
        <v>165</v>
      </c>
      <c r="F139" s="1">
        <v>45154</v>
      </c>
      <c r="G139">
        <v>2016</v>
      </c>
      <c r="H139" t="s">
        <v>121</v>
      </c>
      <c r="I139" t="s">
        <v>95</v>
      </c>
      <c r="J139" t="s">
        <v>30</v>
      </c>
      <c r="K139">
        <v>9.6</v>
      </c>
      <c r="L139">
        <v>1154594</v>
      </c>
      <c r="M139">
        <v>4703892</v>
      </c>
      <c r="N139">
        <v>46</v>
      </c>
      <c r="O139" t="s">
        <v>31</v>
      </c>
      <c r="P139" t="s">
        <v>32</v>
      </c>
    </row>
    <row r="140" spans="1:16" x14ac:dyDescent="0.35">
      <c r="A140" t="s">
        <v>405</v>
      </c>
      <c r="B140" t="s">
        <v>406</v>
      </c>
      <c r="C140" t="s">
        <v>53</v>
      </c>
      <c r="E140" t="s">
        <v>69</v>
      </c>
      <c r="F140" s="1">
        <v>44802</v>
      </c>
      <c r="G140">
        <v>2016</v>
      </c>
      <c r="I140" t="s">
        <v>95</v>
      </c>
      <c r="J140" t="s">
        <v>103</v>
      </c>
      <c r="K140">
        <v>6.3</v>
      </c>
      <c r="L140">
        <v>22550293</v>
      </c>
      <c r="M140">
        <v>2712197</v>
      </c>
      <c r="N140">
        <v>90</v>
      </c>
      <c r="O140" t="s">
        <v>49</v>
      </c>
    </row>
    <row r="141" spans="1:16" x14ac:dyDescent="0.35">
      <c r="A141" t="s">
        <v>407</v>
      </c>
      <c r="B141" t="s">
        <v>408</v>
      </c>
      <c r="C141" t="s">
        <v>53</v>
      </c>
      <c r="D141" t="s">
        <v>68</v>
      </c>
      <c r="E141" t="s">
        <v>55</v>
      </c>
      <c r="F141" s="1">
        <v>45717</v>
      </c>
      <c r="G141">
        <v>2012</v>
      </c>
      <c r="H141" t="s">
        <v>70</v>
      </c>
      <c r="I141" t="s">
        <v>95</v>
      </c>
      <c r="J141" t="s">
        <v>96</v>
      </c>
      <c r="K141">
        <v>5.3</v>
      </c>
      <c r="L141">
        <v>8469664</v>
      </c>
      <c r="M141">
        <v>4798432</v>
      </c>
      <c r="N141">
        <v>99</v>
      </c>
      <c r="O141" t="s">
        <v>41</v>
      </c>
      <c r="P141" t="s">
        <v>87</v>
      </c>
    </row>
    <row r="142" spans="1:16" x14ac:dyDescent="0.35">
      <c r="A142" t="s">
        <v>409</v>
      </c>
      <c r="B142" t="s">
        <v>410</v>
      </c>
      <c r="C142" t="s">
        <v>79</v>
      </c>
      <c r="D142" t="s">
        <v>19</v>
      </c>
      <c r="E142" t="s">
        <v>62</v>
      </c>
      <c r="F142" s="1">
        <v>45513</v>
      </c>
      <c r="G142">
        <v>2002</v>
      </c>
      <c r="H142" t="s">
        <v>107</v>
      </c>
      <c r="I142" t="s">
        <v>411</v>
      </c>
      <c r="J142" t="s">
        <v>96</v>
      </c>
      <c r="K142">
        <v>5.9</v>
      </c>
      <c r="L142">
        <v>5531889</v>
      </c>
      <c r="M142">
        <v>2249575</v>
      </c>
      <c r="N142">
        <v>41</v>
      </c>
      <c r="O142" t="s">
        <v>31</v>
      </c>
      <c r="P142" t="s">
        <v>87</v>
      </c>
    </row>
    <row r="143" spans="1:16" x14ac:dyDescent="0.35">
      <c r="A143" t="s">
        <v>412</v>
      </c>
      <c r="B143" t="s">
        <v>413</v>
      </c>
      <c r="C143" t="s">
        <v>18</v>
      </c>
      <c r="D143" t="s">
        <v>75</v>
      </c>
      <c r="E143" t="s">
        <v>37</v>
      </c>
      <c r="F143" s="1">
        <v>42470</v>
      </c>
      <c r="G143">
        <v>2019</v>
      </c>
      <c r="H143" t="s">
        <v>114</v>
      </c>
      <c r="I143" t="s">
        <v>82</v>
      </c>
      <c r="K143">
        <v>7.6</v>
      </c>
      <c r="L143">
        <v>179452</v>
      </c>
      <c r="M143">
        <v>1579542</v>
      </c>
      <c r="N143">
        <v>81</v>
      </c>
      <c r="O143" t="s">
        <v>24</v>
      </c>
      <c r="P143" t="s">
        <v>50</v>
      </c>
    </row>
    <row r="144" spans="1:16" x14ac:dyDescent="0.35">
      <c r="A144" t="s">
        <v>414</v>
      </c>
      <c r="B144" t="s">
        <v>415</v>
      </c>
      <c r="C144" t="s">
        <v>84</v>
      </c>
      <c r="D144" t="s">
        <v>54</v>
      </c>
      <c r="E144" t="s">
        <v>113</v>
      </c>
      <c r="F144" s="1">
        <v>44772</v>
      </c>
      <c r="G144">
        <v>2013</v>
      </c>
      <c r="H144" t="s">
        <v>114</v>
      </c>
      <c r="I144" t="s">
        <v>204</v>
      </c>
      <c r="J144" t="s">
        <v>30</v>
      </c>
      <c r="K144">
        <v>7.1</v>
      </c>
      <c r="L144">
        <v>8634071</v>
      </c>
      <c r="M144">
        <v>3888097</v>
      </c>
      <c r="N144">
        <v>41</v>
      </c>
      <c r="O144" t="s">
        <v>41</v>
      </c>
    </row>
    <row r="145" spans="1:16" x14ac:dyDescent="0.35">
      <c r="A145" t="s">
        <v>416</v>
      </c>
      <c r="B145" t="s">
        <v>417</v>
      </c>
      <c r="C145" t="s">
        <v>79</v>
      </c>
      <c r="D145" t="s">
        <v>75</v>
      </c>
      <c r="E145" t="s">
        <v>55</v>
      </c>
      <c r="F145" s="1">
        <v>43173</v>
      </c>
      <c r="G145">
        <v>2026</v>
      </c>
      <c r="H145" t="s">
        <v>46</v>
      </c>
      <c r="I145" t="s">
        <v>331</v>
      </c>
      <c r="J145" t="s">
        <v>40</v>
      </c>
      <c r="K145">
        <v>7.4</v>
      </c>
      <c r="L145">
        <v>18632534</v>
      </c>
      <c r="M145">
        <v>1287895</v>
      </c>
      <c r="N145">
        <v>78</v>
      </c>
      <c r="P145" t="s">
        <v>50</v>
      </c>
    </row>
    <row r="146" spans="1:16" x14ac:dyDescent="0.35">
      <c r="A146" t="s">
        <v>418</v>
      </c>
      <c r="B146" t="s">
        <v>419</v>
      </c>
      <c r="C146" t="s">
        <v>84</v>
      </c>
      <c r="E146" t="s">
        <v>28</v>
      </c>
      <c r="F146" s="1">
        <v>45717</v>
      </c>
      <c r="G146">
        <v>2011</v>
      </c>
      <c r="H146" t="s">
        <v>38</v>
      </c>
      <c r="I146" t="s">
        <v>420</v>
      </c>
      <c r="J146" t="s">
        <v>48</v>
      </c>
      <c r="K146">
        <v>4.5</v>
      </c>
      <c r="L146">
        <v>22000268</v>
      </c>
      <c r="M146">
        <v>3041860</v>
      </c>
      <c r="N146">
        <v>80</v>
      </c>
      <c r="O146" t="s">
        <v>31</v>
      </c>
      <c r="P146" t="s">
        <v>32</v>
      </c>
    </row>
    <row r="147" spans="1:16" x14ac:dyDescent="0.35">
      <c r="A147" t="s">
        <v>421</v>
      </c>
      <c r="B147" t="s">
        <v>422</v>
      </c>
      <c r="C147" t="s">
        <v>18</v>
      </c>
      <c r="D147" t="s">
        <v>68</v>
      </c>
      <c r="E147" t="s">
        <v>99</v>
      </c>
      <c r="F147" s="1">
        <v>44127</v>
      </c>
      <c r="G147">
        <v>2011</v>
      </c>
      <c r="H147" t="s">
        <v>63</v>
      </c>
      <c r="I147" t="s">
        <v>423</v>
      </c>
      <c r="J147" t="s">
        <v>76</v>
      </c>
      <c r="K147">
        <v>8.6</v>
      </c>
      <c r="L147">
        <v>11781839</v>
      </c>
      <c r="M147">
        <v>2035954</v>
      </c>
      <c r="N147">
        <v>95</v>
      </c>
      <c r="O147" t="s">
        <v>49</v>
      </c>
      <c r="P147" t="s">
        <v>42</v>
      </c>
    </row>
    <row r="148" spans="1:16" x14ac:dyDescent="0.35">
      <c r="A148" t="s">
        <v>424</v>
      </c>
      <c r="B148" t="s">
        <v>425</v>
      </c>
      <c r="C148" t="s">
        <v>84</v>
      </c>
      <c r="E148" t="s">
        <v>80</v>
      </c>
      <c r="G148">
        <v>2012</v>
      </c>
      <c r="I148" t="s">
        <v>150</v>
      </c>
      <c r="J148" t="s">
        <v>72</v>
      </c>
      <c r="K148">
        <v>6.5</v>
      </c>
      <c r="L148">
        <v>12611929</v>
      </c>
      <c r="M148">
        <v>1880742</v>
      </c>
      <c r="N148">
        <v>41</v>
      </c>
      <c r="O148" t="s">
        <v>123</v>
      </c>
      <c r="P148" t="s">
        <v>32</v>
      </c>
    </row>
    <row r="149" spans="1:16" x14ac:dyDescent="0.35">
      <c r="A149" t="s">
        <v>426</v>
      </c>
      <c r="B149" t="s">
        <v>427</v>
      </c>
      <c r="C149" t="s">
        <v>35</v>
      </c>
      <c r="D149" t="s">
        <v>36</v>
      </c>
      <c r="E149" t="s">
        <v>62</v>
      </c>
      <c r="F149" s="1">
        <v>43288</v>
      </c>
      <c r="G149">
        <v>2024</v>
      </c>
      <c r="H149" t="s">
        <v>121</v>
      </c>
      <c r="I149" t="s">
        <v>118</v>
      </c>
      <c r="J149" t="s">
        <v>96</v>
      </c>
      <c r="K149">
        <v>6</v>
      </c>
      <c r="L149">
        <v>16302401</v>
      </c>
      <c r="M149">
        <v>2095911</v>
      </c>
      <c r="N149">
        <v>83</v>
      </c>
    </row>
    <row r="150" spans="1:16" x14ac:dyDescent="0.35">
      <c r="A150" t="s">
        <v>428</v>
      </c>
      <c r="B150" t="s">
        <v>429</v>
      </c>
      <c r="C150" t="s">
        <v>53</v>
      </c>
      <c r="D150" t="s">
        <v>61</v>
      </c>
      <c r="F150" s="1">
        <v>45601</v>
      </c>
      <c r="G150">
        <v>2004</v>
      </c>
      <c r="H150" t="s">
        <v>121</v>
      </c>
      <c r="I150" t="s">
        <v>39</v>
      </c>
      <c r="K150">
        <v>9.6999999999999993</v>
      </c>
      <c r="L150">
        <v>-934</v>
      </c>
      <c r="M150">
        <v>2540303</v>
      </c>
      <c r="N150">
        <v>87</v>
      </c>
      <c r="O150" t="s">
        <v>41</v>
      </c>
      <c r="P150" t="s">
        <v>87</v>
      </c>
    </row>
    <row r="151" spans="1:16" x14ac:dyDescent="0.35">
      <c r="A151" t="s">
        <v>430</v>
      </c>
      <c r="B151" t="s">
        <v>431</v>
      </c>
      <c r="C151" t="s">
        <v>79</v>
      </c>
      <c r="E151" t="s">
        <v>80</v>
      </c>
      <c r="F151" s="1">
        <v>44754</v>
      </c>
      <c r="G151">
        <v>2001</v>
      </c>
      <c r="H151" t="s">
        <v>70</v>
      </c>
      <c r="I151" t="s">
        <v>82</v>
      </c>
      <c r="K151">
        <v>4.5999999999999996</v>
      </c>
      <c r="L151">
        <v>19980919</v>
      </c>
      <c r="M151">
        <v>1944042</v>
      </c>
      <c r="N151">
        <v>84</v>
      </c>
      <c r="O151" t="s">
        <v>104</v>
      </c>
      <c r="P151" t="s">
        <v>87</v>
      </c>
    </row>
    <row r="152" spans="1:16" x14ac:dyDescent="0.35">
      <c r="A152" t="s">
        <v>432</v>
      </c>
      <c r="B152" t="s">
        <v>433</v>
      </c>
      <c r="C152" t="s">
        <v>35</v>
      </c>
      <c r="D152" t="s">
        <v>156</v>
      </c>
      <c r="E152" t="s">
        <v>113</v>
      </c>
      <c r="G152">
        <v>2017</v>
      </c>
      <c r="H152" t="s">
        <v>63</v>
      </c>
      <c r="I152" t="s">
        <v>95</v>
      </c>
      <c r="J152" t="s">
        <v>103</v>
      </c>
      <c r="K152">
        <v>5.0999999999999996</v>
      </c>
      <c r="L152">
        <v>16661941</v>
      </c>
      <c r="M152">
        <v>649670</v>
      </c>
      <c r="N152">
        <v>53</v>
      </c>
      <c r="O152" t="s">
        <v>31</v>
      </c>
      <c r="P152" t="s">
        <v>87</v>
      </c>
    </row>
    <row r="153" spans="1:16" x14ac:dyDescent="0.35">
      <c r="A153" t="s">
        <v>434</v>
      </c>
      <c r="B153" t="s">
        <v>435</v>
      </c>
      <c r="C153" t="s">
        <v>84</v>
      </c>
      <c r="D153" t="s">
        <v>156</v>
      </c>
      <c r="E153" t="s">
        <v>55</v>
      </c>
      <c r="F153" s="1">
        <v>44975</v>
      </c>
      <c r="G153">
        <v>2010</v>
      </c>
      <c r="H153" t="s">
        <v>114</v>
      </c>
      <c r="I153" t="s">
        <v>436</v>
      </c>
      <c r="J153" t="s">
        <v>103</v>
      </c>
      <c r="K153">
        <v>6.3</v>
      </c>
      <c r="L153">
        <v>24094021</v>
      </c>
      <c r="M153">
        <v>2254102</v>
      </c>
      <c r="N153">
        <v>60</v>
      </c>
      <c r="O153" t="s">
        <v>65</v>
      </c>
      <c r="P153" t="s">
        <v>32</v>
      </c>
    </row>
    <row r="154" spans="1:16" x14ac:dyDescent="0.35">
      <c r="A154" t="s">
        <v>437</v>
      </c>
      <c r="B154" t="s">
        <v>438</v>
      </c>
      <c r="C154" t="s">
        <v>35</v>
      </c>
      <c r="E154" t="s">
        <v>55</v>
      </c>
      <c r="F154" s="1">
        <v>46109</v>
      </c>
      <c r="G154">
        <v>2008</v>
      </c>
      <c r="H154" t="s">
        <v>70</v>
      </c>
      <c r="I154" t="s">
        <v>95</v>
      </c>
      <c r="J154" t="s">
        <v>23</v>
      </c>
      <c r="K154">
        <v>8</v>
      </c>
      <c r="L154">
        <v>20841685</v>
      </c>
      <c r="M154">
        <v>283299</v>
      </c>
      <c r="N154">
        <v>43</v>
      </c>
      <c r="O154" t="s">
        <v>58</v>
      </c>
    </row>
    <row r="155" spans="1:16" x14ac:dyDescent="0.35">
      <c r="A155" t="s">
        <v>439</v>
      </c>
      <c r="B155" t="s">
        <v>440</v>
      </c>
      <c r="C155" t="s">
        <v>18</v>
      </c>
      <c r="D155" t="s">
        <v>54</v>
      </c>
      <c r="E155" t="s">
        <v>80</v>
      </c>
      <c r="F155" s="1">
        <v>45860</v>
      </c>
      <c r="G155">
        <v>2018</v>
      </c>
      <c r="H155" t="s">
        <v>38</v>
      </c>
      <c r="I155" t="s">
        <v>441</v>
      </c>
      <c r="J155" t="s">
        <v>23</v>
      </c>
      <c r="K155">
        <v>8.6999999999999993</v>
      </c>
      <c r="L155">
        <v>11928637</v>
      </c>
      <c r="M155">
        <v>538860</v>
      </c>
      <c r="N155">
        <v>73</v>
      </c>
      <c r="O155" t="s">
        <v>123</v>
      </c>
    </row>
    <row r="156" spans="1:16" x14ac:dyDescent="0.35">
      <c r="A156" t="s">
        <v>442</v>
      </c>
      <c r="B156" t="s">
        <v>443</v>
      </c>
      <c r="C156" t="s">
        <v>53</v>
      </c>
      <c r="D156" t="s">
        <v>36</v>
      </c>
      <c r="F156" s="1">
        <v>44853</v>
      </c>
      <c r="G156">
        <v>2015</v>
      </c>
      <c r="H156" t="s">
        <v>70</v>
      </c>
      <c r="I156" t="s">
        <v>118</v>
      </c>
      <c r="J156" t="s">
        <v>96</v>
      </c>
      <c r="K156">
        <v>8.5</v>
      </c>
      <c r="L156">
        <v>6883338</v>
      </c>
      <c r="M156">
        <v>4425774</v>
      </c>
      <c r="N156">
        <v>63</v>
      </c>
      <c r="O156" t="s">
        <v>31</v>
      </c>
      <c r="P156" t="s">
        <v>42</v>
      </c>
    </row>
    <row r="157" spans="1:16" x14ac:dyDescent="0.35">
      <c r="A157" t="s">
        <v>444</v>
      </c>
      <c r="B157" t="s">
        <v>445</v>
      </c>
      <c r="D157" t="s">
        <v>19</v>
      </c>
      <c r="E157" t="s">
        <v>113</v>
      </c>
      <c r="F157" s="1">
        <v>45511</v>
      </c>
      <c r="G157">
        <v>2004</v>
      </c>
      <c r="H157" t="s">
        <v>121</v>
      </c>
      <c r="I157" t="s">
        <v>71</v>
      </c>
      <c r="J157" t="s">
        <v>40</v>
      </c>
      <c r="K157">
        <v>8.8000000000000007</v>
      </c>
      <c r="L157">
        <v>15203616</v>
      </c>
      <c r="M157">
        <v>739199</v>
      </c>
      <c r="N157">
        <v>58</v>
      </c>
      <c r="O157" t="s">
        <v>49</v>
      </c>
      <c r="P157" t="s">
        <v>87</v>
      </c>
    </row>
    <row r="158" spans="1:16" x14ac:dyDescent="0.35">
      <c r="A158" t="s">
        <v>446</v>
      </c>
      <c r="B158" t="s">
        <v>447</v>
      </c>
      <c r="C158" t="s">
        <v>18</v>
      </c>
      <c r="D158" t="s">
        <v>61</v>
      </c>
      <c r="E158" t="s">
        <v>165</v>
      </c>
      <c r="F158" s="1">
        <v>46009</v>
      </c>
      <c r="G158">
        <v>2007</v>
      </c>
      <c r="H158" t="s">
        <v>70</v>
      </c>
      <c r="I158" t="s">
        <v>195</v>
      </c>
      <c r="J158" t="s">
        <v>40</v>
      </c>
      <c r="K158">
        <v>5.8</v>
      </c>
      <c r="L158">
        <v>37108</v>
      </c>
      <c r="M158">
        <v>4787120</v>
      </c>
      <c r="N158">
        <v>77</v>
      </c>
      <c r="O158" t="s">
        <v>91</v>
      </c>
      <c r="P158" t="s">
        <v>50</v>
      </c>
    </row>
    <row r="159" spans="1:16" x14ac:dyDescent="0.35">
      <c r="A159" t="s">
        <v>448</v>
      </c>
      <c r="B159" t="s">
        <v>449</v>
      </c>
      <c r="C159" t="s">
        <v>79</v>
      </c>
      <c r="D159" t="s">
        <v>54</v>
      </c>
      <c r="E159" t="s">
        <v>69</v>
      </c>
      <c r="F159" s="1">
        <v>46046</v>
      </c>
      <c r="G159">
        <v>2006</v>
      </c>
      <c r="H159" t="s">
        <v>63</v>
      </c>
      <c r="I159" t="s">
        <v>450</v>
      </c>
      <c r="K159">
        <v>8.6</v>
      </c>
      <c r="L159">
        <v>24082088</v>
      </c>
      <c r="M159">
        <v>3713210</v>
      </c>
      <c r="N159">
        <v>42</v>
      </c>
      <c r="O159" t="s">
        <v>123</v>
      </c>
      <c r="P159" t="s">
        <v>32</v>
      </c>
    </row>
    <row r="160" spans="1:16" x14ac:dyDescent="0.35">
      <c r="A160" t="s">
        <v>451</v>
      </c>
      <c r="B160" t="s">
        <v>452</v>
      </c>
      <c r="C160" t="s">
        <v>35</v>
      </c>
      <c r="D160" t="s">
        <v>94</v>
      </c>
      <c r="E160" t="s">
        <v>37</v>
      </c>
      <c r="F160" s="1">
        <v>45055</v>
      </c>
      <c r="G160">
        <v>2006</v>
      </c>
      <c r="H160" t="s">
        <v>85</v>
      </c>
      <c r="I160" t="s">
        <v>95</v>
      </c>
      <c r="J160" t="s">
        <v>133</v>
      </c>
      <c r="K160">
        <v>6.5</v>
      </c>
      <c r="L160">
        <v>16673121</v>
      </c>
      <c r="M160">
        <v>215658</v>
      </c>
      <c r="N160">
        <v>76</v>
      </c>
      <c r="O160" t="s">
        <v>49</v>
      </c>
      <c r="P160" t="s">
        <v>32</v>
      </c>
    </row>
    <row r="161" spans="1:16" x14ac:dyDescent="0.35">
      <c r="A161" t="s">
        <v>453</v>
      </c>
      <c r="B161" t="s">
        <v>454</v>
      </c>
      <c r="C161" t="s">
        <v>84</v>
      </c>
      <c r="D161" t="s">
        <v>90</v>
      </c>
      <c r="E161" t="s">
        <v>62</v>
      </c>
      <c r="F161" s="1">
        <v>42082</v>
      </c>
      <c r="G161">
        <v>2023</v>
      </c>
      <c r="H161" t="s">
        <v>81</v>
      </c>
      <c r="I161" t="s">
        <v>108</v>
      </c>
      <c r="J161" t="s">
        <v>72</v>
      </c>
      <c r="K161">
        <v>6.1</v>
      </c>
      <c r="L161">
        <v>13012003</v>
      </c>
      <c r="M161">
        <v>3858874</v>
      </c>
      <c r="N161">
        <v>54</v>
      </c>
      <c r="O161" t="s">
        <v>104</v>
      </c>
    </row>
    <row r="162" spans="1:16" x14ac:dyDescent="0.35">
      <c r="A162" t="s">
        <v>455</v>
      </c>
      <c r="B162" t="s">
        <v>456</v>
      </c>
      <c r="C162" t="s">
        <v>53</v>
      </c>
      <c r="D162" t="s">
        <v>61</v>
      </c>
      <c r="F162" s="1">
        <v>44754</v>
      </c>
      <c r="G162">
        <v>2001</v>
      </c>
      <c r="H162" t="s">
        <v>38</v>
      </c>
      <c r="I162" t="s">
        <v>162</v>
      </c>
      <c r="J162" t="s">
        <v>153</v>
      </c>
      <c r="K162">
        <v>5.2</v>
      </c>
      <c r="L162">
        <v>1690922</v>
      </c>
      <c r="M162">
        <v>1221747</v>
      </c>
      <c r="N162">
        <v>52</v>
      </c>
      <c r="O162" t="s">
        <v>65</v>
      </c>
      <c r="P162" t="s">
        <v>87</v>
      </c>
    </row>
    <row r="163" spans="1:16" x14ac:dyDescent="0.35">
      <c r="A163" t="s">
        <v>457</v>
      </c>
      <c r="B163" t="s">
        <v>458</v>
      </c>
      <c r="C163" t="s">
        <v>79</v>
      </c>
      <c r="D163" t="s">
        <v>36</v>
      </c>
      <c r="E163" t="s">
        <v>165</v>
      </c>
      <c r="F163" s="1">
        <v>45239</v>
      </c>
      <c r="G163">
        <v>2013</v>
      </c>
      <c r="I163" t="s">
        <v>199</v>
      </c>
      <c r="J163" t="s">
        <v>48</v>
      </c>
      <c r="K163">
        <v>6.5</v>
      </c>
      <c r="L163">
        <v>18115894</v>
      </c>
      <c r="M163">
        <v>2157583</v>
      </c>
      <c r="N163">
        <v>48</v>
      </c>
      <c r="O163" t="s">
        <v>24</v>
      </c>
      <c r="P163" t="s">
        <v>42</v>
      </c>
    </row>
    <row r="164" spans="1:16" x14ac:dyDescent="0.35">
      <c r="A164" t="s">
        <v>459</v>
      </c>
      <c r="B164" t="s">
        <v>460</v>
      </c>
      <c r="D164" t="s">
        <v>19</v>
      </c>
      <c r="F164" s="1">
        <v>45744</v>
      </c>
      <c r="G164">
        <v>2017</v>
      </c>
      <c r="I164" t="s">
        <v>95</v>
      </c>
      <c r="J164" t="s">
        <v>40</v>
      </c>
      <c r="K164">
        <v>11.2</v>
      </c>
      <c r="L164">
        <v>18965932</v>
      </c>
      <c r="M164">
        <v>2715167</v>
      </c>
      <c r="N164">
        <v>54</v>
      </c>
      <c r="O164" t="s">
        <v>49</v>
      </c>
      <c r="P164" t="s">
        <v>50</v>
      </c>
    </row>
    <row r="165" spans="1:16" x14ac:dyDescent="0.35">
      <c r="A165" t="s">
        <v>461</v>
      </c>
      <c r="B165" t="s">
        <v>462</v>
      </c>
      <c r="C165" t="s">
        <v>35</v>
      </c>
      <c r="E165" t="s">
        <v>62</v>
      </c>
      <c r="F165" s="1">
        <v>43669</v>
      </c>
      <c r="G165">
        <v>2013</v>
      </c>
      <c r="I165" t="s">
        <v>136</v>
      </c>
      <c r="J165" t="s">
        <v>96</v>
      </c>
      <c r="K165">
        <v>4.9000000000000004</v>
      </c>
      <c r="L165">
        <v>6055355</v>
      </c>
      <c r="M165">
        <v>120042</v>
      </c>
      <c r="N165">
        <v>75</v>
      </c>
      <c r="O165" t="s">
        <v>91</v>
      </c>
      <c r="P165" t="s">
        <v>32</v>
      </c>
    </row>
    <row r="166" spans="1:16" x14ac:dyDescent="0.35">
      <c r="A166" t="s">
        <v>463</v>
      </c>
      <c r="B166" t="s">
        <v>464</v>
      </c>
      <c r="C166" t="s">
        <v>53</v>
      </c>
      <c r="E166" t="s">
        <v>37</v>
      </c>
      <c r="F166" s="1">
        <v>45819</v>
      </c>
      <c r="G166">
        <v>2025</v>
      </c>
      <c r="H166" t="s">
        <v>46</v>
      </c>
      <c r="I166" t="s">
        <v>95</v>
      </c>
      <c r="J166" t="s">
        <v>153</v>
      </c>
      <c r="K166">
        <v>8.9</v>
      </c>
      <c r="L166">
        <v>14854696</v>
      </c>
      <c r="M166">
        <v>3562608</v>
      </c>
      <c r="N166">
        <v>43</v>
      </c>
      <c r="O166" t="s">
        <v>91</v>
      </c>
      <c r="P166" t="s">
        <v>87</v>
      </c>
    </row>
    <row r="167" spans="1:16" x14ac:dyDescent="0.35">
      <c r="A167" t="s">
        <v>465</v>
      </c>
      <c r="B167" t="s">
        <v>466</v>
      </c>
      <c r="C167" t="s">
        <v>18</v>
      </c>
      <c r="D167" t="s">
        <v>19</v>
      </c>
      <c r="E167" t="s">
        <v>80</v>
      </c>
      <c r="F167" s="1">
        <v>43266</v>
      </c>
      <c r="G167">
        <v>2008</v>
      </c>
      <c r="H167" t="s">
        <v>85</v>
      </c>
      <c r="I167" t="s">
        <v>467</v>
      </c>
      <c r="J167" t="s">
        <v>23</v>
      </c>
      <c r="K167">
        <v>8.6999999999999993</v>
      </c>
      <c r="L167">
        <v>13146599</v>
      </c>
      <c r="M167">
        <v>277340</v>
      </c>
      <c r="N167">
        <v>49</v>
      </c>
      <c r="O167" t="s">
        <v>123</v>
      </c>
      <c r="P167" t="s">
        <v>42</v>
      </c>
    </row>
    <row r="168" spans="1:16" x14ac:dyDescent="0.35">
      <c r="A168" t="s">
        <v>468</v>
      </c>
      <c r="B168" t="s">
        <v>469</v>
      </c>
      <c r="C168" t="s">
        <v>53</v>
      </c>
      <c r="D168" t="s">
        <v>19</v>
      </c>
      <c r="E168" t="s">
        <v>165</v>
      </c>
      <c r="F168" s="1">
        <v>42322</v>
      </c>
      <c r="G168">
        <v>2003</v>
      </c>
      <c r="I168" t="s">
        <v>136</v>
      </c>
      <c r="J168" t="s">
        <v>100</v>
      </c>
      <c r="K168">
        <v>7.3</v>
      </c>
      <c r="L168">
        <v>11685216</v>
      </c>
      <c r="M168">
        <v>150082</v>
      </c>
      <c r="N168">
        <v>71</v>
      </c>
      <c r="O168" t="s">
        <v>104</v>
      </c>
      <c r="P168" t="s">
        <v>42</v>
      </c>
    </row>
    <row r="169" spans="1:16" x14ac:dyDescent="0.35">
      <c r="A169" t="s">
        <v>470</v>
      </c>
      <c r="B169" t="s">
        <v>471</v>
      </c>
      <c r="C169" t="s">
        <v>18</v>
      </c>
      <c r="D169" t="s">
        <v>75</v>
      </c>
      <c r="E169" t="s">
        <v>37</v>
      </c>
      <c r="F169" s="1">
        <v>44226</v>
      </c>
      <c r="G169">
        <v>2024</v>
      </c>
      <c r="H169" t="s">
        <v>81</v>
      </c>
      <c r="I169" t="s">
        <v>472</v>
      </c>
      <c r="J169" t="s">
        <v>48</v>
      </c>
      <c r="K169">
        <v>7.7</v>
      </c>
      <c r="L169">
        <v>11562742</v>
      </c>
      <c r="M169">
        <v>1631534</v>
      </c>
      <c r="N169">
        <v>82</v>
      </c>
      <c r="O169" t="s">
        <v>123</v>
      </c>
      <c r="P169" t="s">
        <v>87</v>
      </c>
    </row>
    <row r="170" spans="1:16" x14ac:dyDescent="0.35">
      <c r="A170" t="s">
        <v>473</v>
      </c>
      <c r="B170" t="s">
        <v>474</v>
      </c>
      <c r="C170" t="s">
        <v>79</v>
      </c>
      <c r="D170" t="s">
        <v>19</v>
      </c>
      <c r="E170" t="s">
        <v>131</v>
      </c>
      <c r="F170" s="1">
        <v>44448</v>
      </c>
      <c r="G170">
        <v>2023</v>
      </c>
      <c r="H170" t="s">
        <v>38</v>
      </c>
      <c r="I170" t="s">
        <v>475</v>
      </c>
      <c r="J170" t="s">
        <v>76</v>
      </c>
      <c r="K170">
        <v>8.6999999999999993</v>
      </c>
      <c r="L170">
        <v>15491909</v>
      </c>
      <c r="M170">
        <v>302139</v>
      </c>
      <c r="N170">
        <v>72</v>
      </c>
      <c r="P170" t="s">
        <v>87</v>
      </c>
    </row>
    <row r="171" spans="1:16" x14ac:dyDescent="0.35">
      <c r="A171" t="s">
        <v>476</v>
      </c>
      <c r="B171" t="s">
        <v>477</v>
      </c>
      <c r="C171" t="s">
        <v>84</v>
      </c>
      <c r="E171" t="s">
        <v>165</v>
      </c>
      <c r="F171" s="1">
        <v>44949</v>
      </c>
      <c r="G171">
        <v>2002</v>
      </c>
      <c r="H171" t="s">
        <v>85</v>
      </c>
      <c r="J171" t="s">
        <v>100</v>
      </c>
      <c r="K171">
        <v>7</v>
      </c>
      <c r="L171">
        <v>3164559</v>
      </c>
      <c r="M171">
        <v>894684</v>
      </c>
      <c r="N171">
        <v>47</v>
      </c>
      <c r="O171" t="s">
        <v>91</v>
      </c>
      <c r="P171" t="s">
        <v>32</v>
      </c>
    </row>
    <row r="172" spans="1:16" x14ac:dyDescent="0.35">
      <c r="A172" t="s">
        <v>478</v>
      </c>
      <c r="B172" t="s">
        <v>479</v>
      </c>
      <c r="C172" t="s">
        <v>53</v>
      </c>
      <c r="D172" t="s">
        <v>94</v>
      </c>
      <c r="E172" t="s">
        <v>99</v>
      </c>
      <c r="F172" s="1">
        <v>44104</v>
      </c>
      <c r="G172">
        <v>2006</v>
      </c>
      <c r="H172" t="s">
        <v>121</v>
      </c>
      <c r="I172" t="s">
        <v>95</v>
      </c>
      <c r="J172" t="s">
        <v>23</v>
      </c>
      <c r="K172">
        <v>9.3000000000000007</v>
      </c>
      <c r="L172">
        <v>17954727</v>
      </c>
      <c r="M172">
        <v>4210372</v>
      </c>
      <c r="N172">
        <v>46</v>
      </c>
      <c r="O172" t="s">
        <v>24</v>
      </c>
      <c r="P172" t="s">
        <v>87</v>
      </c>
    </row>
    <row r="173" spans="1:16" x14ac:dyDescent="0.35">
      <c r="A173" t="s">
        <v>480</v>
      </c>
      <c r="B173" t="s">
        <v>481</v>
      </c>
      <c r="C173" t="s">
        <v>53</v>
      </c>
      <c r="D173" t="s">
        <v>75</v>
      </c>
      <c r="F173" s="1">
        <v>44169</v>
      </c>
      <c r="G173">
        <v>2013</v>
      </c>
      <c r="H173" t="s">
        <v>21</v>
      </c>
      <c r="I173" t="s">
        <v>64</v>
      </c>
      <c r="J173" t="s">
        <v>133</v>
      </c>
      <c r="K173">
        <v>9.1999999999999993</v>
      </c>
      <c r="L173">
        <v>19421813</v>
      </c>
      <c r="M173">
        <v>1826560</v>
      </c>
      <c r="N173">
        <v>78</v>
      </c>
      <c r="O173" t="s">
        <v>65</v>
      </c>
      <c r="P173" t="s">
        <v>87</v>
      </c>
    </row>
    <row r="174" spans="1:16" x14ac:dyDescent="0.35">
      <c r="A174" t="s">
        <v>482</v>
      </c>
      <c r="B174" t="s">
        <v>483</v>
      </c>
      <c r="C174" t="s">
        <v>84</v>
      </c>
      <c r="D174" t="s">
        <v>94</v>
      </c>
      <c r="F174" s="1">
        <v>44492</v>
      </c>
      <c r="G174">
        <v>2025</v>
      </c>
      <c r="H174" t="s">
        <v>107</v>
      </c>
      <c r="I174" t="s">
        <v>402</v>
      </c>
      <c r="J174" t="s">
        <v>96</v>
      </c>
      <c r="K174">
        <v>11.2</v>
      </c>
      <c r="L174">
        <v>13833412</v>
      </c>
      <c r="M174">
        <v>3416043</v>
      </c>
      <c r="N174">
        <v>90</v>
      </c>
      <c r="O174" t="s">
        <v>31</v>
      </c>
      <c r="P174" t="s">
        <v>42</v>
      </c>
    </row>
    <row r="175" spans="1:16" x14ac:dyDescent="0.35">
      <c r="A175" t="s">
        <v>484</v>
      </c>
      <c r="B175" t="s">
        <v>485</v>
      </c>
      <c r="C175" t="s">
        <v>53</v>
      </c>
      <c r="D175" t="s">
        <v>68</v>
      </c>
      <c r="E175" t="s">
        <v>37</v>
      </c>
      <c r="F175" s="1">
        <v>42552</v>
      </c>
      <c r="G175">
        <v>2025</v>
      </c>
      <c r="H175" t="s">
        <v>107</v>
      </c>
      <c r="I175" t="s">
        <v>64</v>
      </c>
      <c r="J175" t="s">
        <v>103</v>
      </c>
      <c r="K175">
        <v>9.3000000000000007</v>
      </c>
      <c r="L175">
        <v>21363679</v>
      </c>
      <c r="M175">
        <v>526475</v>
      </c>
      <c r="N175">
        <v>80</v>
      </c>
      <c r="O175" t="s">
        <v>24</v>
      </c>
      <c r="P175" t="s">
        <v>50</v>
      </c>
    </row>
    <row r="176" spans="1:16" x14ac:dyDescent="0.35">
      <c r="A176" t="s">
        <v>486</v>
      </c>
      <c r="B176" t="s">
        <v>487</v>
      </c>
      <c r="C176" t="s">
        <v>18</v>
      </c>
      <c r="D176" t="s">
        <v>54</v>
      </c>
      <c r="E176" t="s">
        <v>165</v>
      </c>
      <c r="F176" s="1">
        <v>46070</v>
      </c>
      <c r="G176">
        <v>2026</v>
      </c>
      <c r="H176" t="s">
        <v>121</v>
      </c>
      <c r="I176" t="s">
        <v>331</v>
      </c>
      <c r="J176" t="s">
        <v>76</v>
      </c>
      <c r="K176">
        <v>8.6999999999999993</v>
      </c>
      <c r="L176">
        <v>5537235</v>
      </c>
      <c r="M176">
        <v>3652736</v>
      </c>
      <c r="N176">
        <v>80</v>
      </c>
      <c r="O176" t="s">
        <v>65</v>
      </c>
      <c r="P176" t="s">
        <v>50</v>
      </c>
    </row>
    <row r="177" spans="1:16" x14ac:dyDescent="0.35">
      <c r="A177" t="s">
        <v>488</v>
      </c>
      <c r="B177" t="s">
        <v>489</v>
      </c>
      <c r="C177" t="s">
        <v>84</v>
      </c>
      <c r="D177" t="s">
        <v>36</v>
      </c>
      <c r="F177" s="1">
        <v>43906</v>
      </c>
      <c r="G177">
        <v>2018</v>
      </c>
      <c r="H177" t="s">
        <v>107</v>
      </c>
      <c r="I177" t="s">
        <v>236</v>
      </c>
      <c r="J177" t="s">
        <v>57</v>
      </c>
      <c r="K177">
        <v>9.4</v>
      </c>
      <c r="L177">
        <v>1694524</v>
      </c>
      <c r="M177">
        <v>3289444</v>
      </c>
      <c r="N177">
        <v>65</v>
      </c>
      <c r="O177" t="s">
        <v>41</v>
      </c>
      <c r="P177" t="s">
        <v>32</v>
      </c>
    </row>
    <row r="178" spans="1:16" x14ac:dyDescent="0.35">
      <c r="A178" t="s">
        <v>490</v>
      </c>
      <c r="B178" t="s">
        <v>491</v>
      </c>
      <c r="C178" t="s">
        <v>79</v>
      </c>
      <c r="D178" t="s">
        <v>94</v>
      </c>
      <c r="F178" s="1">
        <v>44501</v>
      </c>
      <c r="G178">
        <v>2032</v>
      </c>
      <c r="H178" t="s">
        <v>107</v>
      </c>
      <c r="I178" t="s">
        <v>492</v>
      </c>
      <c r="J178" t="s">
        <v>133</v>
      </c>
      <c r="K178">
        <v>7</v>
      </c>
      <c r="L178">
        <v>10058147</v>
      </c>
      <c r="M178">
        <v>3838654</v>
      </c>
      <c r="N178">
        <v>74</v>
      </c>
      <c r="O178" t="s">
        <v>31</v>
      </c>
      <c r="P178" t="s">
        <v>87</v>
      </c>
    </row>
    <row r="179" spans="1:16" x14ac:dyDescent="0.35">
      <c r="A179" t="s">
        <v>493</v>
      </c>
      <c r="B179" t="s">
        <v>494</v>
      </c>
      <c r="C179" t="s">
        <v>79</v>
      </c>
      <c r="D179" t="s">
        <v>75</v>
      </c>
      <c r="E179" t="s">
        <v>28</v>
      </c>
      <c r="F179" s="1">
        <v>45626</v>
      </c>
      <c r="G179">
        <v>2017</v>
      </c>
      <c r="H179" t="s">
        <v>81</v>
      </c>
      <c r="I179" t="s">
        <v>179</v>
      </c>
      <c r="J179" t="s">
        <v>100</v>
      </c>
      <c r="K179">
        <v>6.5</v>
      </c>
      <c r="L179">
        <v>13085149</v>
      </c>
      <c r="M179">
        <v>2278344</v>
      </c>
      <c r="N179">
        <v>49</v>
      </c>
      <c r="O179" t="s">
        <v>41</v>
      </c>
      <c r="P179" t="s">
        <v>42</v>
      </c>
    </row>
    <row r="180" spans="1:16" x14ac:dyDescent="0.35">
      <c r="A180" t="s">
        <v>495</v>
      </c>
      <c r="B180" t="s">
        <v>496</v>
      </c>
      <c r="C180" t="s">
        <v>35</v>
      </c>
      <c r="D180" t="s">
        <v>54</v>
      </c>
      <c r="E180" t="s">
        <v>45</v>
      </c>
      <c r="F180" s="1">
        <v>46156</v>
      </c>
      <c r="G180">
        <v>2019</v>
      </c>
      <c r="H180" t="s">
        <v>81</v>
      </c>
      <c r="I180" t="s">
        <v>118</v>
      </c>
      <c r="J180" t="s">
        <v>96</v>
      </c>
      <c r="K180">
        <v>4.5</v>
      </c>
      <c r="L180">
        <v>3490989</v>
      </c>
      <c r="M180">
        <v>2063536</v>
      </c>
      <c r="N180">
        <v>91</v>
      </c>
      <c r="O180" t="s">
        <v>123</v>
      </c>
      <c r="P180" t="s">
        <v>50</v>
      </c>
    </row>
    <row r="181" spans="1:16" x14ac:dyDescent="0.35">
      <c r="A181" t="s">
        <v>497</v>
      </c>
      <c r="B181" t="s">
        <v>498</v>
      </c>
      <c r="D181" t="s">
        <v>27</v>
      </c>
      <c r="F181" s="1">
        <v>45413</v>
      </c>
      <c r="G181">
        <v>2019</v>
      </c>
      <c r="H181" t="s">
        <v>85</v>
      </c>
      <c r="I181" t="s">
        <v>136</v>
      </c>
      <c r="J181" t="s">
        <v>48</v>
      </c>
      <c r="K181">
        <v>8</v>
      </c>
      <c r="L181">
        <v>12621875</v>
      </c>
      <c r="M181">
        <v>4381374</v>
      </c>
      <c r="N181">
        <v>43</v>
      </c>
      <c r="O181" t="s">
        <v>49</v>
      </c>
      <c r="P181" t="s">
        <v>32</v>
      </c>
    </row>
    <row r="182" spans="1:16" x14ac:dyDescent="0.35">
      <c r="A182" t="s">
        <v>499</v>
      </c>
      <c r="B182" t="s">
        <v>500</v>
      </c>
      <c r="D182" t="s">
        <v>156</v>
      </c>
      <c r="E182" t="s">
        <v>113</v>
      </c>
      <c r="F182" s="1">
        <v>46203</v>
      </c>
      <c r="G182">
        <v>2023</v>
      </c>
      <c r="H182" t="s">
        <v>70</v>
      </c>
      <c r="I182" t="s">
        <v>56</v>
      </c>
      <c r="J182" t="s">
        <v>72</v>
      </c>
      <c r="K182">
        <v>7.1</v>
      </c>
      <c r="L182">
        <v>-960</v>
      </c>
      <c r="M182">
        <v>2278138</v>
      </c>
      <c r="N182">
        <v>77</v>
      </c>
    </row>
    <row r="183" spans="1:16" x14ac:dyDescent="0.35">
      <c r="A183" t="s">
        <v>501</v>
      </c>
      <c r="B183" t="s">
        <v>502</v>
      </c>
      <c r="C183" t="s">
        <v>79</v>
      </c>
      <c r="D183" t="s">
        <v>68</v>
      </c>
      <c r="E183" t="s">
        <v>28</v>
      </c>
      <c r="F183" s="1">
        <v>42216</v>
      </c>
      <c r="G183">
        <v>2013</v>
      </c>
      <c r="I183" t="s">
        <v>386</v>
      </c>
      <c r="J183" t="s">
        <v>100</v>
      </c>
      <c r="K183">
        <v>7.1</v>
      </c>
      <c r="L183">
        <v>12097677</v>
      </c>
      <c r="M183">
        <v>2328675</v>
      </c>
      <c r="N183">
        <v>93</v>
      </c>
      <c r="P183" t="s">
        <v>32</v>
      </c>
    </row>
    <row r="184" spans="1:16" x14ac:dyDescent="0.35">
      <c r="A184" t="s">
        <v>503</v>
      </c>
      <c r="B184" t="s">
        <v>504</v>
      </c>
      <c r="C184" t="s">
        <v>18</v>
      </c>
      <c r="D184" t="s">
        <v>61</v>
      </c>
      <c r="E184" t="s">
        <v>131</v>
      </c>
      <c r="F184" s="1">
        <v>43403</v>
      </c>
      <c r="G184">
        <v>2001</v>
      </c>
      <c r="H184" t="s">
        <v>70</v>
      </c>
      <c r="I184" t="s">
        <v>505</v>
      </c>
      <c r="J184" t="s">
        <v>153</v>
      </c>
      <c r="K184">
        <v>6.4</v>
      </c>
      <c r="L184">
        <v>9148532</v>
      </c>
      <c r="M184">
        <v>2596464</v>
      </c>
      <c r="N184">
        <v>70</v>
      </c>
      <c r="O184" t="s">
        <v>31</v>
      </c>
    </row>
    <row r="185" spans="1:16" x14ac:dyDescent="0.35">
      <c r="A185" t="s">
        <v>506</v>
      </c>
      <c r="B185" t="s">
        <v>507</v>
      </c>
      <c r="C185" t="s">
        <v>79</v>
      </c>
      <c r="D185" t="s">
        <v>19</v>
      </c>
      <c r="E185" t="s">
        <v>113</v>
      </c>
      <c r="F185" s="1">
        <v>45876</v>
      </c>
      <c r="G185">
        <v>2006</v>
      </c>
      <c r="H185" t="s">
        <v>70</v>
      </c>
      <c r="I185" t="s">
        <v>508</v>
      </c>
      <c r="J185" t="s">
        <v>153</v>
      </c>
      <c r="K185">
        <v>8.6</v>
      </c>
      <c r="L185">
        <v>5112631</v>
      </c>
      <c r="M185">
        <v>2340616</v>
      </c>
      <c r="N185">
        <v>70</v>
      </c>
      <c r="O185" t="s">
        <v>65</v>
      </c>
      <c r="P185" t="s">
        <v>32</v>
      </c>
    </row>
    <row r="186" spans="1:16" x14ac:dyDescent="0.35">
      <c r="A186" t="s">
        <v>509</v>
      </c>
      <c r="B186" t="s">
        <v>510</v>
      </c>
      <c r="C186" t="s">
        <v>35</v>
      </c>
      <c r="E186" t="s">
        <v>69</v>
      </c>
      <c r="F186" s="1">
        <v>42101</v>
      </c>
      <c r="G186">
        <v>2026</v>
      </c>
      <c r="H186" t="s">
        <v>70</v>
      </c>
      <c r="I186" t="s">
        <v>118</v>
      </c>
      <c r="J186" t="s">
        <v>30</v>
      </c>
      <c r="K186">
        <v>5.9</v>
      </c>
      <c r="L186">
        <v>2354362</v>
      </c>
      <c r="M186">
        <v>4602527</v>
      </c>
      <c r="N186">
        <v>78</v>
      </c>
      <c r="O186" t="s">
        <v>58</v>
      </c>
      <c r="P186" t="s">
        <v>87</v>
      </c>
    </row>
    <row r="187" spans="1:16" x14ac:dyDescent="0.35">
      <c r="A187" t="s">
        <v>511</v>
      </c>
      <c r="B187" t="s">
        <v>512</v>
      </c>
      <c r="D187" t="s">
        <v>90</v>
      </c>
      <c r="E187" t="s">
        <v>113</v>
      </c>
      <c r="F187" s="1">
        <v>44804</v>
      </c>
      <c r="G187">
        <v>2015</v>
      </c>
      <c r="H187" t="s">
        <v>85</v>
      </c>
      <c r="I187" t="s">
        <v>56</v>
      </c>
      <c r="J187" t="s">
        <v>96</v>
      </c>
      <c r="K187">
        <v>5.3</v>
      </c>
      <c r="L187">
        <v>13889449</v>
      </c>
      <c r="M187">
        <v>2423150</v>
      </c>
      <c r="N187">
        <v>61</v>
      </c>
      <c r="O187" t="s">
        <v>104</v>
      </c>
      <c r="P187" t="s">
        <v>32</v>
      </c>
    </row>
    <row r="188" spans="1:16" x14ac:dyDescent="0.35">
      <c r="A188" t="s">
        <v>513</v>
      </c>
      <c r="B188" t="s">
        <v>514</v>
      </c>
      <c r="C188" t="s">
        <v>53</v>
      </c>
      <c r="D188" t="s">
        <v>90</v>
      </c>
      <c r="E188" t="s">
        <v>37</v>
      </c>
      <c r="F188" s="1">
        <v>44248</v>
      </c>
      <c r="G188">
        <v>2021</v>
      </c>
      <c r="H188" t="s">
        <v>63</v>
      </c>
      <c r="I188" t="s">
        <v>136</v>
      </c>
      <c r="J188" t="s">
        <v>100</v>
      </c>
      <c r="K188">
        <v>5.8</v>
      </c>
      <c r="L188">
        <v>9492655</v>
      </c>
      <c r="M188">
        <v>281780</v>
      </c>
      <c r="N188">
        <v>92</v>
      </c>
      <c r="O188" t="s">
        <v>58</v>
      </c>
      <c r="P188" t="s">
        <v>50</v>
      </c>
    </row>
    <row r="189" spans="1:16" x14ac:dyDescent="0.35">
      <c r="A189" t="s">
        <v>515</v>
      </c>
      <c r="B189" t="s">
        <v>516</v>
      </c>
      <c r="C189" t="s">
        <v>84</v>
      </c>
      <c r="D189" t="s">
        <v>94</v>
      </c>
      <c r="E189" t="s">
        <v>20</v>
      </c>
      <c r="F189" s="1">
        <v>44241</v>
      </c>
      <c r="G189">
        <v>2007</v>
      </c>
      <c r="H189" t="s">
        <v>121</v>
      </c>
      <c r="I189" t="s">
        <v>517</v>
      </c>
      <c r="J189" t="s">
        <v>100</v>
      </c>
      <c r="K189">
        <v>9.1999999999999993</v>
      </c>
      <c r="L189">
        <v>792361</v>
      </c>
      <c r="M189">
        <v>4340171</v>
      </c>
      <c r="N189">
        <v>93</v>
      </c>
      <c r="O189" t="s">
        <v>41</v>
      </c>
      <c r="P189" t="s">
        <v>42</v>
      </c>
    </row>
    <row r="190" spans="1:16" x14ac:dyDescent="0.35">
      <c r="A190" t="s">
        <v>518</v>
      </c>
      <c r="B190" t="s">
        <v>519</v>
      </c>
      <c r="C190" t="s">
        <v>79</v>
      </c>
      <c r="D190" t="s">
        <v>61</v>
      </c>
      <c r="E190" t="s">
        <v>62</v>
      </c>
      <c r="F190" s="1">
        <v>42269</v>
      </c>
      <c r="G190">
        <v>2026</v>
      </c>
      <c r="H190" t="s">
        <v>107</v>
      </c>
      <c r="I190" t="s">
        <v>423</v>
      </c>
      <c r="J190" t="s">
        <v>23</v>
      </c>
      <c r="K190">
        <v>9.5</v>
      </c>
      <c r="L190">
        <v>17817091</v>
      </c>
      <c r="M190">
        <v>4769519</v>
      </c>
      <c r="N190">
        <v>75</v>
      </c>
      <c r="O190" t="s">
        <v>31</v>
      </c>
      <c r="P190" t="s">
        <v>50</v>
      </c>
    </row>
    <row r="191" spans="1:16" x14ac:dyDescent="0.35">
      <c r="A191" t="s">
        <v>520</v>
      </c>
      <c r="B191" t="s">
        <v>521</v>
      </c>
      <c r="C191" t="s">
        <v>53</v>
      </c>
      <c r="D191" t="s">
        <v>156</v>
      </c>
      <c r="E191" t="s">
        <v>28</v>
      </c>
      <c r="F191" s="1">
        <v>42521</v>
      </c>
      <c r="G191">
        <v>2008</v>
      </c>
      <c r="H191" t="s">
        <v>46</v>
      </c>
      <c r="I191" t="s">
        <v>71</v>
      </c>
      <c r="J191" t="s">
        <v>153</v>
      </c>
      <c r="K191">
        <v>9.6</v>
      </c>
      <c r="L191">
        <v>22381118</v>
      </c>
      <c r="M191">
        <v>460065</v>
      </c>
      <c r="N191">
        <v>74</v>
      </c>
      <c r="O191" t="s">
        <v>41</v>
      </c>
      <c r="P191" t="s">
        <v>50</v>
      </c>
    </row>
    <row r="192" spans="1:16" x14ac:dyDescent="0.35">
      <c r="A192" t="s">
        <v>522</v>
      </c>
      <c r="B192" t="s">
        <v>523</v>
      </c>
      <c r="D192" t="s">
        <v>68</v>
      </c>
      <c r="E192" t="s">
        <v>45</v>
      </c>
      <c r="F192" s="1">
        <v>42921</v>
      </c>
      <c r="G192">
        <v>2009</v>
      </c>
      <c r="H192" t="s">
        <v>81</v>
      </c>
      <c r="I192" t="s">
        <v>162</v>
      </c>
      <c r="J192" t="s">
        <v>103</v>
      </c>
      <c r="K192">
        <v>11.2</v>
      </c>
      <c r="L192">
        <v>23623494</v>
      </c>
      <c r="M192">
        <v>1651311</v>
      </c>
      <c r="N192">
        <v>52</v>
      </c>
      <c r="O192" t="s">
        <v>65</v>
      </c>
      <c r="P192" t="s">
        <v>50</v>
      </c>
    </row>
    <row r="193" spans="1:16" x14ac:dyDescent="0.35">
      <c r="A193" t="s">
        <v>524</v>
      </c>
      <c r="B193" t="s">
        <v>525</v>
      </c>
      <c r="C193" t="s">
        <v>53</v>
      </c>
      <c r="D193" t="s">
        <v>61</v>
      </c>
      <c r="F193" s="1">
        <v>44165</v>
      </c>
      <c r="G193">
        <v>2020</v>
      </c>
      <c r="H193" t="s">
        <v>63</v>
      </c>
      <c r="I193" t="s">
        <v>136</v>
      </c>
      <c r="J193" t="s">
        <v>40</v>
      </c>
      <c r="K193">
        <v>6.1</v>
      </c>
      <c r="L193">
        <v>5887819</v>
      </c>
      <c r="M193">
        <v>2981142</v>
      </c>
      <c r="N193">
        <v>41</v>
      </c>
      <c r="O193" t="s">
        <v>49</v>
      </c>
      <c r="P193" t="s">
        <v>87</v>
      </c>
    </row>
    <row r="194" spans="1:16" x14ac:dyDescent="0.35">
      <c r="A194" t="s">
        <v>526</v>
      </c>
      <c r="B194" t="s">
        <v>527</v>
      </c>
      <c r="C194" t="s">
        <v>35</v>
      </c>
      <c r="D194" t="s">
        <v>75</v>
      </c>
      <c r="E194" t="s">
        <v>45</v>
      </c>
      <c r="F194" s="1">
        <v>45906</v>
      </c>
      <c r="G194">
        <v>2004</v>
      </c>
      <c r="H194" t="s">
        <v>46</v>
      </c>
      <c r="I194" t="s">
        <v>162</v>
      </c>
      <c r="J194" t="s">
        <v>48</v>
      </c>
      <c r="K194">
        <v>5.6</v>
      </c>
      <c r="L194">
        <v>721973</v>
      </c>
      <c r="M194">
        <v>1620716</v>
      </c>
      <c r="N194">
        <v>100</v>
      </c>
      <c r="O194" t="s">
        <v>65</v>
      </c>
      <c r="P194" t="s">
        <v>32</v>
      </c>
    </row>
    <row r="195" spans="1:16" x14ac:dyDescent="0.35">
      <c r="A195" t="s">
        <v>528</v>
      </c>
      <c r="B195" t="s">
        <v>529</v>
      </c>
      <c r="C195" t="s">
        <v>53</v>
      </c>
      <c r="D195" t="s">
        <v>61</v>
      </c>
      <c r="E195" t="s">
        <v>69</v>
      </c>
      <c r="F195" s="1">
        <v>45109</v>
      </c>
      <c r="G195">
        <v>2026</v>
      </c>
      <c r="H195" t="s">
        <v>46</v>
      </c>
      <c r="I195" t="s">
        <v>95</v>
      </c>
      <c r="J195" t="s">
        <v>72</v>
      </c>
      <c r="K195">
        <v>7.5</v>
      </c>
      <c r="L195">
        <v>10860366</v>
      </c>
      <c r="M195">
        <v>2840124</v>
      </c>
      <c r="N195">
        <v>96</v>
      </c>
      <c r="O195" t="s">
        <v>49</v>
      </c>
      <c r="P195" t="s">
        <v>32</v>
      </c>
    </row>
    <row r="196" spans="1:16" x14ac:dyDescent="0.35">
      <c r="A196" t="s">
        <v>530</v>
      </c>
      <c r="B196" t="s">
        <v>531</v>
      </c>
      <c r="C196" t="s">
        <v>35</v>
      </c>
      <c r="D196" t="s">
        <v>75</v>
      </c>
      <c r="E196" t="s">
        <v>20</v>
      </c>
      <c r="F196" s="1">
        <v>43642</v>
      </c>
      <c r="G196">
        <v>2018</v>
      </c>
      <c r="H196" t="s">
        <v>70</v>
      </c>
      <c r="I196" t="s">
        <v>56</v>
      </c>
      <c r="J196" t="s">
        <v>100</v>
      </c>
      <c r="K196">
        <v>6.8</v>
      </c>
      <c r="L196">
        <v>24319431</v>
      </c>
      <c r="M196">
        <v>452030</v>
      </c>
      <c r="N196">
        <v>50</v>
      </c>
      <c r="O196" t="s">
        <v>58</v>
      </c>
      <c r="P196" t="s">
        <v>42</v>
      </c>
    </row>
    <row r="197" spans="1:16" x14ac:dyDescent="0.35">
      <c r="A197" t="s">
        <v>532</v>
      </c>
      <c r="B197" t="s">
        <v>533</v>
      </c>
      <c r="C197" t="s">
        <v>35</v>
      </c>
      <c r="D197" t="s">
        <v>75</v>
      </c>
      <c r="E197" t="s">
        <v>80</v>
      </c>
      <c r="F197" s="1">
        <v>43878</v>
      </c>
      <c r="G197">
        <v>2032</v>
      </c>
      <c r="H197" t="s">
        <v>70</v>
      </c>
      <c r="I197" t="s">
        <v>136</v>
      </c>
      <c r="J197" t="s">
        <v>23</v>
      </c>
      <c r="K197">
        <v>8.4</v>
      </c>
      <c r="L197">
        <v>3157313</v>
      </c>
      <c r="M197">
        <v>1679835</v>
      </c>
      <c r="N197">
        <v>42</v>
      </c>
      <c r="O197" t="s">
        <v>49</v>
      </c>
      <c r="P197" t="s">
        <v>87</v>
      </c>
    </row>
    <row r="198" spans="1:16" x14ac:dyDescent="0.35">
      <c r="A198" t="s">
        <v>534</v>
      </c>
      <c r="B198" t="s">
        <v>535</v>
      </c>
      <c r="D198" t="s">
        <v>156</v>
      </c>
      <c r="E198" t="s">
        <v>165</v>
      </c>
      <c r="F198" s="1">
        <v>45394</v>
      </c>
      <c r="G198">
        <v>2004</v>
      </c>
      <c r="H198" t="s">
        <v>107</v>
      </c>
      <c r="K198">
        <v>8.5</v>
      </c>
      <c r="L198">
        <v>3250527</v>
      </c>
      <c r="M198">
        <v>1569145</v>
      </c>
      <c r="N198">
        <v>73</v>
      </c>
      <c r="O198" t="s">
        <v>91</v>
      </c>
    </row>
    <row r="199" spans="1:16" x14ac:dyDescent="0.35">
      <c r="A199" t="s">
        <v>536</v>
      </c>
      <c r="B199" t="s">
        <v>537</v>
      </c>
      <c r="C199" t="s">
        <v>35</v>
      </c>
      <c r="D199" t="s">
        <v>75</v>
      </c>
      <c r="G199">
        <v>2002</v>
      </c>
      <c r="H199" t="s">
        <v>38</v>
      </c>
      <c r="I199" t="s">
        <v>71</v>
      </c>
      <c r="J199" t="s">
        <v>30</v>
      </c>
      <c r="K199">
        <v>8.6999999999999993</v>
      </c>
      <c r="L199">
        <v>1829910</v>
      </c>
      <c r="M199">
        <v>4576739</v>
      </c>
      <c r="N199">
        <v>69</v>
      </c>
      <c r="O199" t="s">
        <v>58</v>
      </c>
      <c r="P199" t="s">
        <v>87</v>
      </c>
    </row>
    <row r="200" spans="1:16" x14ac:dyDescent="0.35">
      <c r="A200" t="s">
        <v>538</v>
      </c>
      <c r="B200" t="s">
        <v>539</v>
      </c>
      <c r="C200" t="s">
        <v>35</v>
      </c>
      <c r="D200" t="s">
        <v>75</v>
      </c>
      <c r="E200" t="s">
        <v>80</v>
      </c>
      <c r="F200" s="1">
        <v>43701</v>
      </c>
      <c r="G200">
        <v>2003</v>
      </c>
      <c r="H200" t="s">
        <v>70</v>
      </c>
      <c r="I200" t="s">
        <v>64</v>
      </c>
      <c r="J200" t="s">
        <v>103</v>
      </c>
      <c r="K200">
        <v>8.1</v>
      </c>
      <c r="L200">
        <v>8027190</v>
      </c>
      <c r="M200">
        <v>851743</v>
      </c>
      <c r="N200">
        <v>57</v>
      </c>
      <c r="O200" t="s">
        <v>123</v>
      </c>
      <c r="P200" t="s">
        <v>50</v>
      </c>
    </row>
    <row r="201" spans="1:16" x14ac:dyDescent="0.35">
      <c r="A201" t="s">
        <v>540</v>
      </c>
      <c r="B201" t="s">
        <v>541</v>
      </c>
      <c r="C201" t="s">
        <v>79</v>
      </c>
      <c r="D201" t="s">
        <v>68</v>
      </c>
      <c r="E201" t="s">
        <v>55</v>
      </c>
      <c r="F201" s="1">
        <v>42361</v>
      </c>
      <c r="G201">
        <v>2022</v>
      </c>
      <c r="H201" t="s">
        <v>70</v>
      </c>
      <c r="I201" t="s">
        <v>517</v>
      </c>
      <c r="J201" t="s">
        <v>153</v>
      </c>
      <c r="K201">
        <v>6.7</v>
      </c>
      <c r="L201">
        <v>21772643</v>
      </c>
      <c r="M201">
        <v>1769533</v>
      </c>
      <c r="N201">
        <v>86</v>
      </c>
      <c r="O201" t="s">
        <v>104</v>
      </c>
      <c r="P201" t="s">
        <v>87</v>
      </c>
    </row>
    <row r="202" spans="1:16" x14ac:dyDescent="0.35">
      <c r="A202" t="s">
        <v>542</v>
      </c>
      <c r="B202" t="s">
        <v>543</v>
      </c>
      <c r="C202" t="s">
        <v>35</v>
      </c>
      <c r="D202" t="s">
        <v>27</v>
      </c>
      <c r="E202" t="s">
        <v>20</v>
      </c>
      <c r="F202" s="1">
        <v>45623</v>
      </c>
      <c r="G202">
        <v>2004</v>
      </c>
      <c r="H202" t="s">
        <v>121</v>
      </c>
      <c r="I202" t="s">
        <v>71</v>
      </c>
      <c r="J202" t="s">
        <v>40</v>
      </c>
      <c r="K202">
        <v>6.5</v>
      </c>
      <c r="L202">
        <v>5477188</v>
      </c>
      <c r="M202">
        <v>3971443</v>
      </c>
      <c r="N202">
        <v>93</v>
      </c>
      <c r="O202" t="s">
        <v>41</v>
      </c>
      <c r="P202" t="s">
        <v>50</v>
      </c>
    </row>
    <row r="203" spans="1:16" x14ac:dyDescent="0.35">
      <c r="A203" t="s">
        <v>544</v>
      </c>
      <c r="B203" t="s">
        <v>543</v>
      </c>
      <c r="C203" t="s">
        <v>53</v>
      </c>
      <c r="D203" t="s">
        <v>19</v>
      </c>
      <c r="E203" t="s">
        <v>55</v>
      </c>
      <c r="F203" s="1">
        <v>43961</v>
      </c>
      <c r="G203">
        <v>2025</v>
      </c>
      <c r="H203" t="s">
        <v>46</v>
      </c>
      <c r="I203" t="s">
        <v>39</v>
      </c>
      <c r="J203" t="s">
        <v>133</v>
      </c>
      <c r="K203">
        <v>9</v>
      </c>
      <c r="L203">
        <v>11316281</v>
      </c>
      <c r="M203">
        <v>3080672</v>
      </c>
      <c r="N203">
        <v>47</v>
      </c>
      <c r="O203" t="s">
        <v>49</v>
      </c>
      <c r="P203" t="s">
        <v>42</v>
      </c>
    </row>
    <row r="204" spans="1:16" x14ac:dyDescent="0.35">
      <c r="A204" t="s">
        <v>545</v>
      </c>
      <c r="B204" t="s">
        <v>546</v>
      </c>
      <c r="C204" t="s">
        <v>53</v>
      </c>
      <c r="D204" t="s">
        <v>156</v>
      </c>
      <c r="E204" t="s">
        <v>80</v>
      </c>
      <c r="F204" s="1">
        <v>42739</v>
      </c>
      <c r="G204">
        <v>2006</v>
      </c>
      <c r="H204" t="s">
        <v>121</v>
      </c>
      <c r="I204" t="s">
        <v>136</v>
      </c>
      <c r="J204" t="s">
        <v>72</v>
      </c>
      <c r="K204">
        <v>6.8</v>
      </c>
      <c r="L204">
        <v>5924926</v>
      </c>
      <c r="M204">
        <v>3675143</v>
      </c>
      <c r="N204">
        <v>50</v>
      </c>
      <c r="O204" t="s">
        <v>123</v>
      </c>
      <c r="P204" t="s">
        <v>32</v>
      </c>
    </row>
    <row r="205" spans="1:16" x14ac:dyDescent="0.35">
      <c r="A205" t="s">
        <v>547</v>
      </c>
      <c r="B205" t="s">
        <v>546</v>
      </c>
      <c r="E205" t="s">
        <v>28</v>
      </c>
      <c r="F205" s="1">
        <v>43168</v>
      </c>
      <c r="G205">
        <v>2019</v>
      </c>
      <c r="H205" t="s">
        <v>46</v>
      </c>
      <c r="I205" t="s">
        <v>64</v>
      </c>
      <c r="J205" t="s">
        <v>48</v>
      </c>
      <c r="K205">
        <v>8.4</v>
      </c>
      <c r="L205">
        <v>2474538</v>
      </c>
      <c r="M205">
        <v>3033489</v>
      </c>
      <c r="N205">
        <v>75</v>
      </c>
      <c r="O205" t="s">
        <v>104</v>
      </c>
      <c r="P205" t="s">
        <v>32</v>
      </c>
    </row>
    <row r="206" spans="1:16" x14ac:dyDescent="0.35">
      <c r="A206" t="s">
        <v>548</v>
      </c>
      <c r="B206" t="s">
        <v>549</v>
      </c>
      <c r="C206" t="s">
        <v>84</v>
      </c>
      <c r="D206" t="s">
        <v>36</v>
      </c>
      <c r="E206" t="s">
        <v>113</v>
      </c>
      <c r="F206" s="1">
        <v>43424</v>
      </c>
      <c r="G206">
        <v>2023</v>
      </c>
      <c r="H206" t="s">
        <v>46</v>
      </c>
      <c r="I206" t="s">
        <v>187</v>
      </c>
      <c r="J206" t="s">
        <v>57</v>
      </c>
      <c r="K206">
        <v>8.9</v>
      </c>
      <c r="L206">
        <v>7601886</v>
      </c>
      <c r="M206">
        <v>895018</v>
      </c>
      <c r="N206">
        <v>91</v>
      </c>
      <c r="O206" t="s">
        <v>41</v>
      </c>
      <c r="P206" t="s">
        <v>50</v>
      </c>
    </row>
    <row r="207" spans="1:16" x14ac:dyDescent="0.35">
      <c r="A207" t="s">
        <v>550</v>
      </c>
      <c r="B207" t="s">
        <v>551</v>
      </c>
      <c r="C207" t="s">
        <v>84</v>
      </c>
      <c r="E207" t="s">
        <v>165</v>
      </c>
      <c r="F207" s="1">
        <v>44159</v>
      </c>
      <c r="G207">
        <v>2004</v>
      </c>
      <c r="H207" t="s">
        <v>107</v>
      </c>
      <c r="I207" t="s">
        <v>331</v>
      </c>
      <c r="J207" t="s">
        <v>72</v>
      </c>
      <c r="K207">
        <v>8</v>
      </c>
      <c r="L207">
        <v>7501323</v>
      </c>
      <c r="M207">
        <v>521550</v>
      </c>
      <c r="N207">
        <v>40</v>
      </c>
      <c r="O207" t="s">
        <v>123</v>
      </c>
      <c r="P207" t="s">
        <v>42</v>
      </c>
    </row>
    <row r="208" spans="1:16" x14ac:dyDescent="0.35">
      <c r="A208" t="s">
        <v>552</v>
      </c>
      <c r="B208" t="s">
        <v>553</v>
      </c>
      <c r="C208" t="s">
        <v>79</v>
      </c>
      <c r="E208" t="s">
        <v>28</v>
      </c>
      <c r="F208" s="1">
        <v>43366</v>
      </c>
      <c r="G208">
        <v>2003</v>
      </c>
      <c r="H208" t="s">
        <v>81</v>
      </c>
      <c r="I208" t="s">
        <v>236</v>
      </c>
      <c r="J208" t="s">
        <v>96</v>
      </c>
      <c r="K208">
        <v>6.5</v>
      </c>
      <c r="L208">
        <v>7525571</v>
      </c>
      <c r="M208">
        <v>1627797</v>
      </c>
      <c r="N208">
        <v>88</v>
      </c>
      <c r="O208" t="s">
        <v>58</v>
      </c>
      <c r="P208" t="s">
        <v>50</v>
      </c>
    </row>
    <row r="209" spans="1:16" x14ac:dyDescent="0.35">
      <c r="A209" t="s">
        <v>554</v>
      </c>
      <c r="B209" t="s">
        <v>553</v>
      </c>
      <c r="C209" t="s">
        <v>84</v>
      </c>
      <c r="D209" t="s">
        <v>90</v>
      </c>
      <c r="F209" s="1">
        <v>44313</v>
      </c>
      <c r="G209">
        <v>2014</v>
      </c>
      <c r="H209" t="s">
        <v>107</v>
      </c>
      <c r="I209" t="s">
        <v>492</v>
      </c>
      <c r="J209" t="s">
        <v>57</v>
      </c>
      <c r="K209">
        <v>7.1</v>
      </c>
      <c r="L209">
        <v>16282635</v>
      </c>
      <c r="M209">
        <v>4023510</v>
      </c>
      <c r="N209">
        <v>98</v>
      </c>
      <c r="O209" t="s">
        <v>31</v>
      </c>
      <c r="P209" t="s">
        <v>32</v>
      </c>
    </row>
    <row r="210" spans="1:16" x14ac:dyDescent="0.35">
      <c r="A210" t="s">
        <v>555</v>
      </c>
      <c r="B210" t="s">
        <v>556</v>
      </c>
      <c r="C210" t="s">
        <v>79</v>
      </c>
      <c r="D210" t="s">
        <v>54</v>
      </c>
      <c r="E210" t="s">
        <v>37</v>
      </c>
      <c r="F210" s="1">
        <v>42474</v>
      </c>
      <c r="G210">
        <v>2007</v>
      </c>
      <c r="H210" t="s">
        <v>107</v>
      </c>
      <c r="I210" t="s">
        <v>108</v>
      </c>
      <c r="J210" t="s">
        <v>30</v>
      </c>
      <c r="K210">
        <v>9.8000000000000007</v>
      </c>
      <c r="L210">
        <v>12633846</v>
      </c>
      <c r="M210">
        <v>924145</v>
      </c>
      <c r="N210">
        <v>67</v>
      </c>
      <c r="O210" t="s">
        <v>65</v>
      </c>
      <c r="P210" t="s">
        <v>87</v>
      </c>
    </row>
    <row r="211" spans="1:16" x14ac:dyDescent="0.35">
      <c r="A211" t="s">
        <v>557</v>
      </c>
      <c r="B211" t="s">
        <v>558</v>
      </c>
      <c r="C211" t="s">
        <v>53</v>
      </c>
      <c r="D211" t="s">
        <v>75</v>
      </c>
      <c r="E211" t="s">
        <v>62</v>
      </c>
      <c r="F211" s="1">
        <v>45780</v>
      </c>
      <c r="G211">
        <v>2004</v>
      </c>
      <c r="H211" t="s">
        <v>46</v>
      </c>
      <c r="I211" t="s">
        <v>56</v>
      </c>
      <c r="J211" t="s">
        <v>100</v>
      </c>
      <c r="K211">
        <v>5.6</v>
      </c>
      <c r="L211">
        <v>12131050</v>
      </c>
      <c r="M211">
        <v>572648</v>
      </c>
      <c r="N211">
        <v>70</v>
      </c>
      <c r="O211" t="s">
        <v>49</v>
      </c>
      <c r="P211" t="s">
        <v>50</v>
      </c>
    </row>
    <row r="212" spans="1:16" x14ac:dyDescent="0.35">
      <c r="A212" t="s">
        <v>559</v>
      </c>
      <c r="B212" t="s">
        <v>560</v>
      </c>
      <c r="C212" t="s">
        <v>18</v>
      </c>
      <c r="E212" t="s">
        <v>62</v>
      </c>
      <c r="F212" s="1">
        <v>42268</v>
      </c>
      <c r="G212">
        <v>2007</v>
      </c>
      <c r="H212" t="s">
        <v>107</v>
      </c>
      <c r="I212" t="s">
        <v>231</v>
      </c>
      <c r="J212" t="s">
        <v>96</v>
      </c>
      <c r="K212">
        <v>5.3</v>
      </c>
      <c r="L212">
        <v>10814761</v>
      </c>
      <c r="M212">
        <v>351243</v>
      </c>
      <c r="N212">
        <v>63</v>
      </c>
      <c r="O212" t="s">
        <v>91</v>
      </c>
      <c r="P212" t="s">
        <v>42</v>
      </c>
    </row>
    <row r="213" spans="1:16" x14ac:dyDescent="0.35">
      <c r="A213" t="s">
        <v>561</v>
      </c>
      <c r="B213" t="s">
        <v>562</v>
      </c>
      <c r="C213" t="s">
        <v>35</v>
      </c>
      <c r="D213" t="s">
        <v>61</v>
      </c>
      <c r="E213" t="s">
        <v>28</v>
      </c>
      <c r="F213" s="1">
        <v>43155</v>
      </c>
      <c r="G213">
        <v>2009</v>
      </c>
      <c r="H213" t="s">
        <v>85</v>
      </c>
      <c r="I213" t="s">
        <v>64</v>
      </c>
      <c r="J213" t="s">
        <v>133</v>
      </c>
      <c r="K213">
        <v>8.1</v>
      </c>
      <c r="L213">
        <v>-972</v>
      </c>
      <c r="M213">
        <v>4062846</v>
      </c>
      <c r="N213">
        <v>70</v>
      </c>
      <c r="O213" t="s">
        <v>41</v>
      </c>
    </row>
    <row r="214" spans="1:16" x14ac:dyDescent="0.35">
      <c r="A214" t="s">
        <v>563</v>
      </c>
      <c r="B214" t="s">
        <v>564</v>
      </c>
      <c r="C214" t="s">
        <v>35</v>
      </c>
      <c r="D214" t="s">
        <v>36</v>
      </c>
      <c r="F214" s="1">
        <v>43858</v>
      </c>
      <c r="G214">
        <v>2024</v>
      </c>
      <c r="H214" t="s">
        <v>85</v>
      </c>
      <c r="I214" t="s">
        <v>64</v>
      </c>
      <c r="J214" t="s">
        <v>96</v>
      </c>
      <c r="K214">
        <v>8</v>
      </c>
      <c r="L214">
        <v>12557581</v>
      </c>
      <c r="M214">
        <v>1360600</v>
      </c>
      <c r="N214">
        <v>93</v>
      </c>
      <c r="O214" t="s">
        <v>24</v>
      </c>
      <c r="P214" t="s">
        <v>42</v>
      </c>
    </row>
    <row r="215" spans="1:16" x14ac:dyDescent="0.35">
      <c r="A215" t="s">
        <v>565</v>
      </c>
      <c r="B215" t="s">
        <v>566</v>
      </c>
      <c r="C215" t="s">
        <v>18</v>
      </c>
      <c r="D215" t="s">
        <v>90</v>
      </c>
      <c r="E215" t="s">
        <v>131</v>
      </c>
      <c r="F215" s="1">
        <v>42992</v>
      </c>
      <c r="G215">
        <v>2013</v>
      </c>
      <c r="H215" t="s">
        <v>63</v>
      </c>
      <c r="I215" t="s">
        <v>226</v>
      </c>
      <c r="J215" t="s">
        <v>103</v>
      </c>
      <c r="K215">
        <v>6.2</v>
      </c>
      <c r="L215">
        <v>5638682</v>
      </c>
      <c r="M215">
        <v>1966536</v>
      </c>
      <c r="N215">
        <v>45</v>
      </c>
      <c r="P215" t="s">
        <v>32</v>
      </c>
    </row>
    <row r="216" spans="1:16" x14ac:dyDescent="0.35">
      <c r="A216" t="s">
        <v>567</v>
      </c>
      <c r="B216" t="s">
        <v>568</v>
      </c>
      <c r="C216" t="s">
        <v>53</v>
      </c>
      <c r="E216" t="s">
        <v>113</v>
      </c>
      <c r="F216" s="1">
        <v>45573</v>
      </c>
      <c r="G216">
        <v>2003</v>
      </c>
      <c r="H216" t="s">
        <v>114</v>
      </c>
      <c r="I216" t="s">
        <v>118</v>
      </c>
      <c r="J216" t="s">
        <v>133</v>
      </c>
      <c r="K216">
        <v>9.6</v>
      </c>
      <c r="L216">
        <v>14105772</v>
      </c>
      <c r="M216">
        <v>616239</v>
      </c>
      <c r="N216">
        <v>94</v>
      </c>
      <c r="O216" t="s">
        <v>123</v>
      </c>
    </row>
    <row r="217" spans="1:16" x14ac:dyDescent="0.35">
      <c r="A217" t="s">
        <v>569</v>
      </c>
      <c r="B217" t="s">
        <v>570</v>
      </c>
      <c r="C217" t="s">
        <v>18</v>
      </c>
      <c r="F217" s="1">
        <v>43583</v>
      </c>
      <c r="G217">
        <v>2018</v>
      </c>
      <c r="H217" t="s">
        <v>121</v>
      </c>
      <c r="I217" t="s">
        <v>571</v>
      </c>
      <c r="J217" t="s">
        <v>96</v>
      </c>
      <c r="K217">
        <v>9.6</v>
      </c>
      <c r="L217">
        <v>13835809</v>
      </c>
      <c r="M217">
        <v>3073479</v>
      </c>
      <c r="N217">
        <v>56</v>
      </c>
      <c r="O217" t="s">
        <v>104</v>
      </c>
      <c r="P217" t="s">
        <v>87</v>
      </c>
    </row>
    <row r="218" spans="1:16" x14ac:dyDescent="0.35">
      <c r="A218" t="s">
        <v>572</v>
      </c>
      <c r="B218" t="s">
        <v>573</v>
      </c>
      <c r="C218" t="s">
        <v>84</v>
      </c>
      <c r="D218" t="s">
        <v>54</v>
      </c>
      <c r="E218" t="s">
        <v>45</v>
      </c>
      <c r="F218" s="1">
        <v>43481</v>
      </c>
      <c r="G218">
        <v>2010</v>
      </c>
      <c r="H218" t="s">
        <v>81</v>
      </c>
      <c r="I218" t="s">
        <v>108</v>
      </c>
      <c r="J218" t="s">
        <v>133</v>
      </c>
      <c r="K218">
        <v>5.6</v>
      </c>
      <c r="L218">
        <v>4503910</v>
      </c>
      <c r="M218">
        <v>1951321</v>
      </c>
      <c r="N218">
        <v>85</v>
      </c>
      <c r="O218" t="s">
        <v>41</v>
      </c>
      <c r="P218" t="s">
        <v>32</v>
      </c>
    </row>
    <row r="219" spans="1:16" x14ac:dyDescent="0.35">
      <c r="A219" t="s">
        <v>574</v>
      </c>
      <c r="B219" t="s">
        <v>575</v>
      </c>
      <c r="C219" t="s">
        <v>53</v>
      </c>
      <c r="D219" t="s">
        <v>75</v>
      </c>
      <c r="E219" t="s">
        <v>55</v>
      </c>
      <c r="F219" s="1">
        <v>45332</v>
      </c>
      <c r="G219">
        <v>2020</v>
      </c>
      <c r="H219" t="s">
        <v>46</v>
      </c>
      <c r="I219" t="s">
        <v>118</v>
      </c>
      <c r="J219" t="s">
        <v>57</v>
      </c>
      <c r="K219">
        <v>7.6</v>
      </c>
      <c r="L219">
        <v>23646934</v>
      </c>
      <c r="M219">
        <v>3668659</v>
      </c>
      <c r="N219">
        <v>91</v>
      </c>
      <c r="O219" t="s">
        <v>49</v>
      </c>
      <c r="P219" t="s">
        <v>87</v>
      </c>
    </row>
    <row r="220" spans="1:16" x14ac:dyDescent="0.35">
      <c r="A220" t="s">
        <v>576</v>
      </c>
      <c r="B220" t="s">
        <v>577</v>
      </c>
      <c r="C220" t="s">
        <v>79</v>
      </c>
      <c r="D220" t="s">
        <v>156</v>
      </c>
      <c r="E220" t="s">
        <v>165</v>
      </c>
      <c r="F220" s="1">
        <v>44041</v>
      </c>
      <c r="G220">
        <v>2024</v>
      </c>
      <c r="H220" t="s">
        <v>81</v>
      </c>
      <c r="I220" t="s">
        <v>450</v>
      </c>
      <c r="J220" t="s">
        <v>48</v>
      </c>
      <c r="K220">
        <v>5.4</v>
      </c>
      <c r="L220">
        <v>15274677</v>
      </c>
      <c r="M220">
        <v>4940262</v>
      </c>
      <c r="N220">
        <v>97</v>
      </c>
      <c r="O220" t="s">
        <v>24</v>
      </c>
    </row>
    <row r="221" spans="1:16" x14ac:dyDescent="0.35">
      <c r="A221" t="s">
        <v>578</v>
      </c>
      <c r="B221" t="s">
        <v>579</v>
      </c>
      <c r="C221" t="s">
        <v>84</v>
      </c>
      <c r="D221" t="s">
        <v>61</v>
      </c>
      <c r="F221" s="1">
        <v>44044</v>
      </c>
      <c r="G221">
        <v>2032</v>
      </c>
      <c r="H221" t="s">
        <v>81</v>
      </c>
      <c r="I221" t="s">
        <v>467</v>
      </c>
      <c r="J221" t="s">
        <v>76</v>
      </c>
      <c r="K221">
        <v>5.8</v>
      </c>
      <c r="L221">
        <v>2777333</v>
      </c>
      <c r="M221">
        <v>743313</v>
      </c>
      <c r="N221">
        <v>49</v>
      </c>
      <c r="O221" t="s">
        <v>49</v>
      </c>
      <c r="P221" t="s">
        <v>50</v>
      </c>
    </row>
    <row r="222" spans="1:16" x14ac:dyDescent="0.35">
      <c r="A222" t="s">
        <v>580</v>
      </c>
      <c r="B222" t="s">
        <v>581</v>
      </c>
      <c r="D222" t="s">
        <v>36</v>
      </c>
      <c r="E222" t="s">
        <v>45</v>
      </c>
      <c r="F222" s="1">
        <v>42692</v>
      </c>
      <c r="G222">
        <v>2008</v>
      </c>
      <c r="H222" t="s">
        <v>46</v>
      </c>
      <c r="I222" t="s">
        <v>162</v>
      </c>
      <c r="J222" t="s">
        <v>72</v>
      </c>
      <c r="K222">
        <v>5.9</v>
      </c>
      <c r="L222">
        <v>24463512</v>
      </c>
      <c r="M222">
        <v>2757943</v>
      </c>
      <c r="N222">
        <v>71</v>
      </c>
      <c r="O222" t="s">
        <v>91</v>
      </c>
      <c r="P222" t="s">
        <v>42</v>
      </c>
    </row>
    <row r="223" spans="1:16" x14ac:dyDescent="0.35">
      <c r="A223" t="s">
        <v>582</v>
      </c>
      <c r="B223" t="s">
        <v>583</v>
      </c>
      <c r="D223" t="s">
        <v>90</v>
      </c>
      <c r="E223" t="s">
        <v>28</v>
      </c>
      <c r="F223" s="1">
        <v>43884</v>
      </c>
      <c r="G223">
        <v>2002</v>
      </c>
      <c r="H223" t="s">
        <v>107</v>
      </c>
      <c r="I223" t="s">
        <v>136</v>
      </c>
      <c r="J223" t="s">
        <v>30</v>
      </c>
      <c r="K223">
        <v>8.6999999999999993</v>
      </c>
      <c r="L223">
        <v>15728103</v>
      </c>
      <c r="M223">
        <v>1940809</v>
      </c>
      <c r="N223">
        <v>92</v>
      </c>
      <c r="O223" t="s">
        <v>49</v>
      </c>
    </row>
    <row r="224" spans="1:16" x14ac:dyDescent="0.35">
      <c r="A224" t="s">
        <v>584</v>
      </c>
      <c r="B224" t="s">
        <v>585</v>
      </c>
      <c r="C224" t="s">
        <v>53</v>
      </c>
      <c r="E224" t="s">
        <v>62</v>
      </c>
      <c r="F224" s="1">
        <v>44122</v>
      </c>
      <c r="G224">
        <v>2016</v>
      </c>
      <c r="H224" t="s">
        <v>38</v>
      </c>
      <c r="I224" t="s">
        <v>56</v>
      </c>
      <c r="J224" t="s">
        <v>72</v>
      </c>
      <c r="K224">
        <v>8.3000000000000007</v>
      </c>
      <c r="L224">
        <v>9767824</v>
      </c>
      <c r="M224">
        <v>1774889</v>
      </c>
      <c r="N224">
        <v>84</v>
      </c>
      <c r="O224" t="s">
        <v>49</v>
      </c>
    </row>
    <row r="225" spans="1:16" x14ac:dyDescent="0.35">
      <c r="A225" t="s">
        <v>586</v>
      </c>
      <c r="B225" t="s">
        <v>587</v>
      </c>
      <c r="D225" t="s">
        <v>27</v>
      </c>
      <c r="E225" t="s">
        <v>131</v>
      </c>
      <c r="F225" s="1">
        <v>45797</v>
      </c>
      <c r="G225">
        <v>2026</v>
      </c>
      <c r="I225" t="s">
        <v>118</v>
      </c>
      <c r="K225">
        <v>6.6</v>
      </c>
      <c r="L225">
        <v>10290482</v>
      </c>
      <c r="M225">
        <v>467880</v>
      </c>
      <c r="N225">
        <v>60</v>
      </c>
      <c r="O225" t="s">
        <v>104</v>
      </c>
      <c r="P225" t="s">
        <v>50</v>
      </c>
    </row>
    <row r="226" spans="1:16" x14ac:dyDescent="0.35">
      <c r="A226" t="s">
        <v>588</v>
      </c>
      <c r="B226" t="s">
        <v>589</v>
      </c>
      <c r="D226" t="s">
        <v>54</v>
      </c>
      <c r="E226" t="s">
        <v>55</v>
      </c>
      <c r="F226" s="1">
        <v>42984</v>
      </c>
      <c r="G226">
        <v>2022</v>
      </c>
      <c r="H226" t="s">
        <v>38</v>
      </c>
      <c r="I226" t="s">
        <v>64</v>
      </c>
      <c r="J226" t="s">
        <v>100</v>
      </c>
      <c r="K226">
        <v>7.3</v>
      </c>
      <c r="L226">
        <v>3574009</v>
      </c>
      <c r="M226">
        <v>588653</v>
      </c>
      <c r="N226">
        <v>67</v>
      </c>
      <c r="O226" t="s">
        <v>49</v>
      </c>
      <c r="P226" t="s">
        <v>87</v>
      </c>
    </row>
    <row r="227" spans="1:16" x14ac:dyDescent="0.35">
      <c r="A227" t="s">
        <v>590</v>
      </c>
      <c r="B227" t="s">
        <v>591</v>
      </c>
      <c r="C227" t="s">
        <v>35</v>
      </c>
      <c r="E227" t="s">
        <v>45</v>
      </c>
      <c r="F227" s="1">
        <v>44582</v>
      </c>
      <c r="G227">
        <v>2003</v>
      </c>
      <c r="H227" t="s">
        <v>107</v>
      </c>
      <c r="I227" t="s">
        <v>136</v>
      </c>
      <c r="J227" t="s">
        <v>48</v>
      </c>
      <c r="K227">
        <v>9</v>
      </c>
      <c r="L227">
        <v>18718193</v>
      </c>
      <c r="M227">
        <v>1082728</v>
      </c>
      <c r="N227">
        <v>83</v>
      </c>
      <c r="P227" t="s">
        <v>87</v>
      </c>
    </row>
    <row r="228" spans="1:16" x14ac:dyDescent="0.35">
      <c r="A228" t="s">
        <v>592</v>
      </c>
      <c r="B228" t="s">
        <v>593</v>
      </c>
      <c r="C228" t="s">
        <v>79</v>
      </c>
      <c r="D228" t="s">
        <v>156</v>
      </c>
      <c r="E228" t="s">
        <v>69</v>
      </c>
      <c r="F228" s="1">
        <v>42775</v>
      </c>
      <c r="G228">
        <v>2023</v>
      </c>
      <c r="H228" t="s">
        <v>114</v>
      </c>
      <c r="I228" t="s">
        <v>594</v>
      </c>
      <c r="K228">
        <v>7.3</v>
      </c>
      <c r="L228">
        <v>10613443</v>
      </c>
      <c r="M228">
        <v>1376585</v>
      </c>
      <c r="N228">
        <v>78</v>
      </c>
      <c r="O228" t="s">
        <v>58</v>
      </c>
      <c r="P228" t="s">
        <v>42</v>
      </c>
    </row>
    <row r="229" spans="1:16" x14ac:dyDescent="0.35">
      <c r="A229" t="s">
        <v>595</v>
      </c>
      <c r="B229" t="s">
        <v>596</v>
      </c>
      <c r="D229" t="s">
        <v>19</v>
      </c>
      <c r="E229" t="s">
        <v>69</v>
      </c>
      <c r="F229" s="1">
        <v>45757</v>
      </c>
      <c r="G229">
        <v>2003</v>
      </c>
      <c r="H229" t="s">
        <v>46</v>
      </c>
      <c r="I229" t="s">
        <v>39</v>
      </c>
      <c r="J229" t="s">
        <v>76</v>
      </c>
      <c r="K229">
        <v>8.3000000000000007</v>
      </c>
      <c r="L229">
        <v>7609159</v>
      </c>
      <c r="M229">
        <v>1552526</v>
      </c>
      <c r="N229">
        <v>58</v>
      </c>
      <c r="O229" t="s">
        <v>49</v>
      </c>
      <c r="P229" t="s">
        <v>32</v>
      </c>
    </row>
    <row r="230" spans="1:16" x14ac:dyDescent="0.35">
      <c r="A230" t="s">
        <v>597</v>
      </c>
      <c r="B230" t="s">
        <v>598</v>
      </c>
      <c r="C230" t="s">
        <v>35</v>
      </c>
      <c r="D230" t="s">
        <v>156</v>
      </c>
      <c r="E230" t="s">
        <v>45</v>
      </c>
      <c r="F230" s="1">
        <v>42231</v>
      </c>
      <c r="G230">
        <v>2015</v>
      </c>
      <c r="H230" t="s">
        <v>63</v>
      </c>
      <c r="I230" t="s">
        <v>56</v>
      </c>
      <c r="J230" t="s">
        <v>30</v>
      </c>
      <c r="K230">
        <v>5.4</v>
      </c>
      <c r="L230">
        <v>11472183</v>
      </c>
      <c r="M230">
        <v>1574059</v>
      </c>
      <c r="N230">
        <v>43</v>
      </c>
      <c r="O230" t="s">
        <v>24</v>
      </c>
      <c r="P230" t="s">
        <v>42</v>
      </c>
    </row>
    <row r="231" spans="1:16" x14ac:dyDescent="0.35">
      <c r="A231" t="s">
        <v>599</v>
      </c>
      <c r="B231" t="s">
        <v>600</v>
      </c>
      <c r="C231" t="s">
        <v>18</v>
      </c>
      <c r="D231" t="s">
        <v>61</v>
      </c>
      <c r="E231" t="s">
        <v>45</v>
      </c>
      <c r="F231" s="1">
        <v>44608</v>
      </c>
      <c r="G231">
        <v>2008</v>
      </c>
      <c r="H231" t="s">
        <v>85</v>
      </c>
      <c r="I231" t="s">
        <v>601</v>
      </c>
      <c r="J231" t="s">
        <v>30</v>
      </c>
      <c r="K231">
        <v>6.5</v>
      </c>
      <c r="L231">
        <v>7631651</v>
      </c>
      <c r="M231">
        <v>106621</v>
      </c>
      <c r="N231">
        <v>66</v>
      </c>
      <c r="P231" t="s">
        <v>42</v>
      </c>
    </row>
    <row r="232" spans="1:16" x14ac:dyDescent="0.35">
      <c r="A232" t="s">
        <v>602</v>
      </c>
      <c r="B232" t="s">
        <v>603</v>
      </c>
      <c r="C232" t="s">
        <v>79</v>
      </c>
      <c r="E232" t="s">
        <v>45</v>
      </c>
      <c r="F232" s="1">
        <v>44520</v>
      </c>
      <c r="G232">
        <v>2017</v>
      </c>
      <c r="H232" t="s">
        <v>85</v>
      </c>
      <c r="I232" t="s">
        <v>423</v>
      </c>
      <c r="J232" t="s">
        <v>72</v>
      </c>
      <c r="K232">
        <v>9</v>
      </c>
      <c r="L232">
        <v>4677019</v>
      </c>
      <c r="M232">
        <v>4552635</v>
      </c>
      <c r="N232">
        <v>43</v>
      </c>
      <c r="O232" t="s">
        <v>65</v>
      </c>
      <c r="P232" t="s">
        <v>32</v>
      </c>
    </row>
    <row r="233" spans="1:16" x14ac:dyDescent="0.35">
      <c r="A233" t="s">
        <v>604</v>
      </c>
      <c r="B233" t="s">
        <v>605</v>
      </c>
      <c r="C233" t="s">
        <v>53</v>
      </c>
      <c r="D233" t="s">
        <v>19</v>
      </c>
      <c r="E233" t="s">
        <v>37</v>
      </c>
      <c r="F233" s="1">
        <v>42974</v>
      </c>
      <c r="G233">
        <v>2000</v>
      </c>
      <c r="H233" t="s">
        <v>114</v>
      </c>
      <c r="I233" t="s">
        <v>39</v>
      </c>
      <c r="J233" t="s">
        <v>133</v>
      </c>
      <c r="K233">
        <v>7.1</v>
      </c>
      <c r="L233">
        <v>15514434</v>
      </c>
      <c r="M233">
        <v>3371915</v>
      </c>
      <c r="N233">
        <v>70</v>
      </c>
      <c r="O233" t="s">
        <v>58</v>
      </c>
      <c r="P233" t="s">
        <v>50</v>
      </c>
    </row>
    <row r="234" spans="1:16" x14ac:dyDescent="0.35">
      <c r="A234" t="s">
        <v>606</v>
      </c>
      <c r="B234" t="s">
        <v>607</v>
      </c>
      <c r="C234" t="s">
        <v>79</v>
      </c>
      <c r="D234" t="s">
        <v>19</v>
      </c>
      <c r="E234" t="s">
        <v>20</v>
      </c>
      <c r="F234" s="1">
        <v>42565</v>
      </c>
      <c r="G234">
        <v>2013</v>
      </c>
      <c r="H234" t="s">
        <v>114</v>
      </c>
      <c r="I234" t="s">
        <v>608</v>
      </c>
      <c r="J234" t="s">
        <v>100</v>
      </c>
      <c r="K234">
        <v>5.6</v>
      </c>
      <c r="L234">
        <v>22115393</v>
      </c>
      <c r="M234">
        <v>1048380</v>
      </c>
      <c r="N234">
        <v>76</v>
      </c>
      <c r="O234" t="s">
        <v>24</v>
      </c>
      <c r="P234" t="s">
        <v>32</v>
      </c>
    </row>
    <row r="235" spans="1:16" x14ac:dyDescent="0.35">
      <c r="A235" t="s">
        <v>609</v>
      </c>
      <c r="B235" t="s">
        <v>610</v>
      </c>
      <c r="C235" t="s">
        <v>35</v>
      </c>
      <c r="D235" t="s">
        <v>27</v>
      </c>
      <c r="E235" t="s">
        <v>99</v>
      </c>
      <c r="F235" s="1">
        <v>44926</v>
      </c>
      <c r="G235">
        <v>2025</v>
      </c>
      <c r="H235" t="s">
        <v>70</v>
      </c>
      <c r="I235" t="s">
        <v>56</v>
      </c>
      <c r="J235" t="s">
        <v>23</v>
      </c>
      <c r="K235">
        <v>9.5</v>
      </c>
      <c r="L235">
        <v>5302909</v>
      </c>
      <c r="M235">
        <v>3193634</v>
      </c>
      <c r="N235">
        <v>44</v>
      </c>
      <c r="O235" t="s">
        <v>58</v>
      </c>
      <c r="P235" t="s">
        <v>42</v>
      </c>
    </row>
    <row r="236" spans="1:16" x14ac:dyDescent="0.35">
      <c r="A236" t="s">
        <v>611</v>
      </c>
      <c r="B236" t="s">
        <v>612</v>
      </c>
      <c r="C236" t="s">
        <v>53</v>
      </c>
      <c r="D236" t="s">
        <v>156</v>
      </c>
      <c r="F236" s="1">
        <v>43178</v>
      </c>
      <c r="G236">
        <v>2012</v>
      </c>
      <c r="H236" t="s">
        <v>38</v>
      </c>
      <c r="I236" t="s">
        <v>162</v>
      </c>
      <c r="J236" t="s">
        <v>96</v>
      </c>
      <c r="K236">
        <v>9.3000000000000007</v>
      </c>
      <c r="L236">
        <v>3795012</v>
      </c>
      <c r="M236">
        <v>4774962</v>
      </c>
      <c r="N236">
        <v>99</v>
      </c>
      <c r="O236" t="s">
        <v>24</v>
      </c>
      <c r="P236" t="s">
        <v>42</v>
      </c>
    </row>
    <row r="237" spans="1:16" x14ac:dyDescent="0.35">
      <c r="A237" t="s">
        <v>613</v>
      </c>
      <c r="B237" t="s">
        <v>614</v>
      </c>
      <c r="D237" t="s">
        <v>156</v>
      </c>
      <c r="E237" t="s">
        <v>62</v>
      </c>
      <c r="F237" s="1">
        <v>43753</v>
      </c>
      <c r="G237">
        <v>2020</v>
      </c>
      <c r="H237" t="s">
        <v>107</v>
      </c>
      <c r="I237" t="s">
        <v>64</v>
      </c>
      <c r="J237" t="s">
        <v>153</v>
      </c>
      <c r="K237">
        <v>8.1</v>
      </c>
      <c r="L237">
        <v>7854376</v>
      </c>
      <c r="M237">
        <v>3526487</v>
      </c>
      <c r="N237">
        <v>80</v>
      </c>
      <c r="O237" t="s">
        <v>49</v>
      </c>
      <c r="P237" t="s">
        <v>87</v>
      </c>
    </row>
    <row r="238" spans="1:16" x14ac:dyDescent="0.35">
      <c r="A238" t="s">
        <v>615</v>
      </c>
      <c r="B238" t="s">
        <v>616</v>
      </c>
      <c r="C238" t="s">
        <v>53</v>
      </c>
      <c r="D238" t="s">
        <v>156</v>
      </c>
      <c r="E238" t="s">
        <v>28</v>
      </c>
      <c r="F238" s="1">
        <v>43442</v>
      </c>
      <c r="G238">
        <v>2005</v>
      </c>
      <c r="H238" t="s">
        <v>81</v>
      </c>
      <c r="I238" t="s">
        <v>64</v>
      </c>
      <c r="J238" t="s">
        <v>76</v>
      </c>
      <c r="K238">
        <v>8.5</v>
      </c>
      <c r="L238">
        <v>23852947</v>
      </c>
      <c r="M238">
        <v>1811576</v>
      </c>
      <c r="N238">
        <v>93</v>
      </c>
      <c r="O238" t="s">
        <v>58</v>
      </c>
    </row>
    <row r="239" spans="1:16" x14ac:dyDescent="0.35">
      <c r="A239" t="s">
        <v>617</v>
      </c>
      <c r="B239" t="s">
        <v>618</v>
      </c>
      <c r="C239" t="s">
        <v>84</v>
      </c>
      <c r="D239" t="s">
        <v>156</v>
      </c>
      <c r="E239" t="s">
        <v>165</v>
      </c>
      <c r="F239" s="1">
        <v>44625</v>
      </c>
      <c r="G239">
        <v>2020</v>
      </c>
      <c r="H239" t="s">
        <v>81</v>
      </c>
      <c r="I239" t="s">
        <v>223</v>
      </c>
      <c r="J239" t="s">
        <v>40</v>
      </c>
      <c r="K239">
        <v>8.3000000000000007</v>
      </c>
      <c r="L239">
        <v>7649576</v>
      </c>
      <c r="M239">
        <v>1353469</v>
      </c>
      <c r="N239">
        <v>62</v>
      </c>
      <c r="P239" t="s">
        <v>32</v>
      </c>
    </row>
    <row r="240" spans="1:16" x14ac:dyDescent="0.35">
      <c r="A240" t="s">
        <v>619</v>
      </c>
      <c r="B240" t="s">
        <v>620</v>
      </c>
      <c r="C240" t="s">
        <v>84</v>
      </c>
      <c r="D240" t="s">
        <v>68</v>
      </c>
      <c r="E240" t="s">
        <v>20</v>
      </c>
      <c r="F240" s="1">
        <v>46138</v>
      </c>
      <c r="G240">
        <v>2013</v>
      </c>
      <c r="H240" t="s">
        <v>107</v>
      </c>
      <c r="I240" t="s">
        <v>192</v>
      </c>
      <c r="K240">
        <v>7.1</v>
      </c>
      <c r="L240">
        <v>15828477</v>
      </c>
      <c r="M240">
        <v>4350581</v>
      </c>
      <c r="N240">
        <v>77</v>
      </c>
      <c r="O240" t="s">
        <v>65</v>
      </c>
      <c r="P240" t="s">
        <v>42</v>
      </c>
    </row>
    <row r="241" spans="1:16" x14ac:dyDescent="0.35">
      <c r="A241" t="s">
        <v>621</v>
      </c>
      <c r="B241" t="s">
        <v>622</v>
      </c>
      <c r="C241" t="s">
        <v>35</v>
      </c>
      <c r="D241" t="s">
        <v>90</v>
      </c>
      <c r="E241" t="s">
        <v>69</v>
      </c>
      <c r="F241" s="1">
        <v>45487</v>
      </c>
      <c r="G241">
        <v>2022</v>
      </c>
      <c r="H241" t="s">
        <v>21</v>
      </c>
      <c r="I241" t="s">
        <v>56</v>
      </c>
      <c r="J241" t="s">
        <v>57</v>
      </c>
      <c r="K241">
        <v>7.5</v>
      </c>
      <c r="L241">
        <v>-870</v>
      </c>
      <c r="M241">
        <v>4000701</v>
      </c>
      <c r="N241">
        <v>80</v>
      </c>
      <c r="O241" t="s">
        <v>58</v>
      </c>
      <c r="P241" t="s">
        <v>32</v>
      </c>
    </row>
    <row r="242" spans="1:16" x14ac:dyDescent="0.35">
      <c r="A242" t="s">
        <v>623</v>
      </c>
      <c r="B242" t="s">
        <v>624</v>
      </c>
      <c r="E242" t="s">
        <v>131</v>
      </c>
      <c r="F242" s="1">
        <v>45271</v>
      </c>
      <c r="G242">
        <v>2018</v>
      </c>
      <c r="H242" t="s">
        <v>70</v>
      </c>
      <c r="I242" t="s">
        <v>71</v>
      </c>
      <c r="J242" t="s">
        <v>40</v>
      </c>
      <c r="K242">
        <v>5.3</v>
      </c>
      <c r="L242">
        <v>21850399</v>
      </c>
      <c r="M242">
        <v>1531187</v>
      </c>
      <c r="N242">
        <v>48</v>
      </c>
      <c r="O242" t="s">
        <v>24</v>
      </c>
    </row>
    <row r="243" spans="1:16" x14ac:dyDescent="0.35">
      <c r="A243" t="s">
        <v>625</v>
      </c>
      <c r="B243" t="s">
        <v>626</v>
      </c>
      <c r="C243" t="s">
        <v>18</v>
      </c>
      <c r="D243" t="s">
        <v>19</v>
      </c>
      <c r="E243" t="s">
        <v>99</v>
      </c>
      <c r="F243" s="1">
        <v>44668</v>
      </c>
      <c r="G243">
        <v>2015</v>
      </c>
      <c r="H243" t="s">
        <v>46</v>
      </c>
      <c r="I243" t="s">
        <v>627</v>
      </c>
      <c r="J243" t="s">
        <v>153</v>
      </c>
      <c r="K243">
        <v>7.5</v>
      </c>
      <c r="L243">
        <v>572291</v>
      </c>
      <c r="M243">
        <v>3108852</v>
      </c>
      <c r="N243">
        <v>44</v>
      </c>
      <c r="O243" t="s">
        <v>41</v>
      </c>
    </row>
    <row r="244" spans="1:16" x14ac:dyDescent="0.35">
      <c r="A244" t="s">
        <v>628</v>
      </c>
      <c r="B244" t="s">
        <v>629</v>
      </c>
      <c r="C244" t="s">
        <v>35</v>
      </c>
      <c r="E244" t="s">
        <v>113</v>
      </c>
      <c r="G244">
        <v>2001</v>
      </c>
      <c r="H244" t="s">
        <v>63</v>
      </c>
      <c r="I244" t="s">
        <v>95</v>
      </c>
      <c r="J244" t="s">
        <v>23</v>
      </c>
      <c r="K244">
        <v>6.8</v>
      </c>
      <c r="L244">
        <v>24173797</v>
      </c>
      <c r="M244">
        <v>899512</v>
      </c>
      <c r="N244">
        <v>75</v>
      </c>
      <c r="O244" t="s">
        <v>65</v>
      </c>
      <c r="P244" t="s">
        <v>87</v>
      </c>
    </row>
    <row r="245" spans="1:16" x14ac:dyDescent="0.35">
      <c r="A245" t="s">
        <v>630</v>
      </c>
      <c r="B245" t="s">
        <v>631</v>
      </c>
      <c r="C245" t="s">
        <v>35</v>
      </c>
      <c r="D245" t="s">
        <v>90</v>
      </c>
      <c r="E245" t="s">
        <v>69</v>
      </c>
      <c r="F245" s="1">
        <v>43475</v>
      </c>
      <c r="G245">
        <v>2009</v>
      </c>
      <c r="H245" t="s">
        <v>114</v>
      </c>
      <c r="I245" t="s">
        <v>136</v>
      </c>
      <c r="J245" t="s">
        <v>96</v>
      </c>
      <c r="K245">
        <v>4.5999999999999996</v>
      </c>
      <c r="L245">
        <v>21152714</v>
      </c>
      <c r="M245">
        <v>1414194</v>
      </c>
      <c r="N245">
        <v>50</v>
      </c>
      <c r="O245" t="s">
        <v>104</v>
      </c>
      <c r="P245" t="s">
        <v>42</v>
      </c>
    </row>
    <row r="246" spans="1:16" x14ac:dyDescent="0.35">
      <c r="A246" t="s">
        <v>632</v>
      </c>
      <c r="B246" t="s">
        <v>633</v>
      </c>
      <c r="C246" t="s">
        <v>53</v>
      </c>
      <c r="D246" t="s">
        <v>75</v>
      </c>
      <c r="F246" s="1">
        <v>45207</v>
      </c>
      <c r="G246">
        <v>2014</v>
      </c>
      <c r="H246" t="s">
        <v>81</v>
      </c>
      <c r="I246" t="s">
        <v>39</v>
      </c>
      <c r="J246" t="s">
        <v>72</v>
      </c>
      <c r="K246">
        <v>8.1999999999999993</v>
      </c>
      <c r="L246">
        <v>6046406</v>
      </c>
      <c r="M246">
        <v>1278102</v>
      </c>
      <c r="N246">
        <v>80</v>
      </c>
      <c r="O246" t="s">
        <v>24</v>
      </c>
      <c r="P246" t="s">
        <v>32</v>
      </c>
    </row>
    <row r="247" spans="1:16" x14ac:dyDescent="0.35">
      <c r="A247" t="s">
        <v>634</v>
      </c>
      <c r="B247" t="s">
        <v>635</v>
      </c>
      <c r="C247" t="s">
        <v>35</v>
      </c>
      <c r="D247" t="s">
        <v>54</v>
      </c>
      <c r="E247" t="s">
        <v>62</v>
      </c>
      <c r="F247" s="1">
        <v>44765</v>
      </c>
      <c r="G247">
        <v>2016</v>
      </c>
      <c r="H247" t="s">
        <v>63</v>
      </c>
      <c r="I247" t="s">
        <v>71</v>
      </c>
      <c r="K247">
        <v>5.3</v>
      </c>
      <c r="L247">
        <v>12871922</v>
      </c>
      <c r="M247">
        <v>1314859</v>
      </c>
      <c r="N247">
        <v>40</v>
      </c>
      <c r="O247" t="s">
        <v>65</v>
      </c>
    </row>
    <row r="248" spans="1:16" x14ac:dyDescent="0.35">
      <c r="A248" t="s">
        <v>636</v>
      </c>
      <c r="B248" t="s">
        <v>637</v>
      </c>
      <c r="C248" t="s">
        <v>18</v>
      </c>
      <c r="E248" t="s">
        <v>165</v>
      </c>
      <c r="F248" s="1">
        <v>45933</v>
      </c>
      <c r="G248">
        <v>2019</v>
      </c>
      <c r="H248" t="s">
        <v>63</v>
      </c>
      <c r="I248" t="s">
        <v>147</v>
      </c>
      <c r="J248" t="s">
        <v>153</v>
      </c>
      <c r="K248">
        <v>9.8000000000000007</v>
      </c>
      <c r="L248">
        <v>22295702</v>
      </c>
      <c r="M248">
        <v>36921</v>
      </c>
      <c r="N248">
        <v>84</v>
      </c>
      <c r="O248" t="s">
        <v>41</v>
      </c>
      <c r="P248" t="s">
        <v>50</v>
      </c>
    </row>
    <row r="249" spans="1:16" x14ac:dyDescent="0.35">
      <c r="A249" t="s">
        <v>638</v>
      </c>
      <c r="B249" t="s">
        <v>639</v>
      </c>
      <c r="C249" t="s">
        <v>18</v>
      </c>
      <c r="D249" t="s">
        <v>156</v>
      </c>
      <c r="E249" t="s">
        <v>62</v>
      </c>
      <c r="F249" s="1">
        <v>42684</v>
      </c>
      <c r="G249">
        <v>2026</v>
      </c>
      <c r="H249" t="s">
        <v>114</v>
      </c>
      <c r="I249" t="s">
        <v>29</v>
      </c>
      <c r="K249">
        <v>6.7</v>
      </c>
      <c r="L249">
        <v>17042250</v>
      </c>
      <c r="M249">
        <v>3585296</v>
      </c>
      <c r="N249">
        <v>40</v>
      </c>
      <c r="O249" t="s">
        <v>104</v>
      </c>
    </row>
    <row r="250" spans="1:16" x14ac:dyDescent="0.35">
      <c r="A250" t="s">
        <v>640</v>
      </c>
      <c r="B250" t="s">
        <v>641</v>
      </c>
      <c r="C250" t="s">
        <v>18</v>
      </c>
      <c r="D250" t="s">
        <v>54</v>
      </c>
      <c r="E250" t="s">
        <v>80</v>
      </c>
      <c r="F250" s="1">
        <v>42671</v>
      </c>
      <c r="G250">
        <v>2020</v>
      </c>
      <c r="H250" t="s">
        <v>85</v>
      </c>
      <c r="I250" t="s">
        <v>594</v>
      </c>
      <c r="J250" t="s">
        <v>57</v>
      </c>
      <c r="K250">
        <v>6.1</v>
      </c>
      <c r="L250">
        <v>8671837</v>
      </c>
      <c r="M250">
        <v>2332194</v>
      </c>
      <c r="N250">
        <v>53</v>
      </c>
      <c r="O250" t="s">
        <v>65</v>
      </c>
    </row>
    <row r="251" spans="1:16" x14ac:dyDescent="0.35">
      <c r="A251" t="s">
        <v>642</v>
      </c>
      <c r="B251" t="s">
        <v>643</v>
      </c>
      <c r="D251" t="s">
        <v>54</v>
      </c>
      <c r="E251" t="s">
        <v>165</v>
      </c>
      <c r="F251" s="1">
        <v>45292</v>
      </c>
      <c r="G251">
        <v>2022</v>
      </c>
      <c r="H251" t="s">
        <v>107</v>
      </c>
      <c r="I251" t="s">
        <v>118</v>
      </c>
      <c r="J251" t="s">
        <v>72</v>
      </c>
      <c r="K251">
        <v>5.3</v>
      </c>
      <c r="L251">
        <v>1806071</v>
      </c>
      <c r="M251">
        <v>4538794</v>
      </c>
      <c r="N251">
        <v>100</v>
      </c>
      <c r="O251" t="s">
        <v>91</v>
      </c>
      <c r="P251" t="s">
        <v>50</v>
      </c>
    </row>
    <row r="252" spans="1:16" x14ac:dyDescent="0.35">
      <c r="A252" t="s">
        <v>644</v>
      </c>
      <c r="B252" t="s">
        <v>645</v>
      </c>
      <c r="C252" t="s">
        <v>35</v>
      </c>
      <c r="D252" t="s">
        <v>61</v>
      </c>
      <c r="E252" t="s">
        <v>69</v>
      </c>
      <c r="F252" s="1">
        <v>42286</v>
      </c>
      <c r="G252">
        <v>2019</v>
      </c>
      <c r="H252" t="s">
        <v>107</v>
      </c>
      <c r="I252" t="s">
        <v>162</v>
      </c>
      <c r="J252" t="s">
        <v>133</v>
      </c>
      <c r="K252">
        <v>6.3</v>
      </c>
      <c r="L252">
        <v>6227769</v>
      </c>
      <c r="M252">
        <v>1147111</v>
      </c>
      <c r="N252">
        <v>88</v>
      </c>
      <c r="O252" t="s">
        <v>104</v>
      </c>
      <c r="P252" t="s">
        <v>42</v>
      </c>
    </row>
    <row r="253" spans="1:16" x14ac:dyDescent="0.35">
      <c r="A253" t="s">
        <v>646</v>
      </c>
      <c r="B253" t="s">
        <v>647</v>
      </c>
      <c r="C253" t="s">
        <v>53</v>
      </c>
      <c r="D253" t="s">
        <v>68</v>
      </c>
      <c r="E253" t="s">
        <v>28</v>
      </c>
      <c r="F253" s="1">
        <v>42504</v>
      </c>
      <c r="G253">
        <v>2019</v>
      </c>
      <c r="H253" t="s">
        <v>121</v>
      </c>
      <c r="I253" t="s">
        <v>162</v>
      </c>
      <c r="K253">
        <v>6.5</v>
      </c>
      <c r="L253">
        <v>14892841</v>
      </c>
      <c r="M253">
        <v>1781415</v>
      </c>
      <c r="N253">
        <v>98</v>
      </c>
      <c r="O253" t="s">
        <v>49</v>
      </c>
      <c r="P253" t="s">
        <v>50</v>
      </c>
    </row>
    <row r="254" spans="1:16" x14ac:dyDescent="0.35">
      <c r="A254" t="s">
        <v>648</v>
      </c>
      <c r="B254" t="s">
        <v>649</v>
      </c>
      <c r="C254" t="s">
        <v>18</v>
      </c>
      <c r="D254" t="s">
        <v>36</v>
      </c>
      <c r="E254" t="s">
        <v>131</v>
      </c>
      <c r="F254" s="1">
        <v>42985</v>
      </c>
      <c r="G254">
        <v>2012</v>
      </c>
      <c r="H254" t="s">
        <v>63</v>
      </c>
      <c r="I254" t="s">
        <v>436</v>
      </c>
      <c r="J254" t="s">
        <v>57</v>
      </c>
      <c r="K254">
        <v>9.4</v>
      </c>
      <c r="L254">
        <v>3328911</v>
      </c>
      <c r="M254">
        <v>4648580</v>
      </c>
      <c r="N254">
        <v>77</v>
      </c>
      <c r="O254" t="s">
        <v>41</v>
      </c>
      <c r="P254" t="s">
        <v>42</v>
      </c>
    </row>
    <row r="255" spans="1:16" x14ac:dyDescent="0.35">
      <c r="A255" t="s">
        <v>650</v>
      </c>
      <c r="B255" t="s">
        <v>651</v>
      </c>
      <c r="C255" t="s">
        <v>53</v>
      </c>
      <c r="D255" t="s">
        <v>94</v>
      </c>
      <c r="E255" t="s">
        <v>28</v>
      </c>
      <c r="F255" s="1">
        <v>45159</v>
      </c>
      <c r="G255">
        <v>2005</v>
      </c>
      <c r="H255" t="s">
        <v>85</v>
      </c>
      <c r="I255" t="s">
        <v>162</v>
      </c>
      <c r="J255" t="s">
        <v>40</v>
      </c>
      <c r="K255">
        <v>5.2</v>
      </c>
      <c r="L255">
        <v>21131854</v>
      </c>
      <c r="M255">
        <v>3100383</v>
      </c>
      <c r="N255">
        <v>100</v>
      </c>
      <c r="O255" t="s">
        <v>41</v>
      </c>
      <c r="P255" t="s">
        <v>32</v>
      </c>
    </row>
    <row r="256" spans="1:16" x14ac:dyDescent="0.35">
      <c r="A256" t="s">
        <v>652</v>
      </c>
      <c r="B256" t="s">
        <v>653</v>
      </c>
      <c r="C256" t="s">
        <v>53</v>
      </c>
      <c r="D256" t="s">
        <v>68</v>
      </c>
      <c r="E256" t="s">
        <v>20</v>
      </c>
      <c r="F256" s="1">
        <v>44405</v>
      </c>
      <c r="G256">
        <v>2007</v>
      </c>
      <c r="H256" t="s">
        <v>70</v>
      </c>
      <c r="I256" t="s">
        <v>39</v>
      </c>
      <c r="J256" t="s">
        <v>72</v>
      </c>
      <c r="K256">
        <v>4.9000000000000004</v>
      </c>
      <c r="L256">
        <v>22242542</v>
      </c>
      <c r="M256">
        <v>992218</v>
      </c>
      <c r="N256">
        <v>55</v>
      </c>
      <c r="O256" t="s">
        <v>104</v>
      </c>
      <c r="P256" t="s">
        <v>50</v>
      </c>
    </row>
    <row r="257" spans="1:16" x14ac:dyDescent="0.35">
      <c r="A257" t="s">
        <v>654</v>
      </c>
      <c r="B257" t="s">
        <v>655</v>
      </c>
      <c r="C257" t="s">
        <v>84</v>
      </c>
      <c r="D257" t="s">
        <v>61</v>
      </c>
      <c r="E257" t="s">
        <v>113</v>
      </c>
      <c r="F257" s="1">
        <v>44302</v>
      </c>
      <c r="G257">
        <v>2018</v>
      </c>
      <c r="H257" t="s">
        <v>114</v>
      </c>
      <c r="I257" t="s">
        <v>656</v>
      </c>
      <c r="J257" t="s">
        <v>40</v>
      </c>
      <c r="K257">
        <v>7.6</v>
      </c>
      <c r="L257">
        <v>448510</v>
      </c>
      <c r="M257">
        <v>4808434</v>
      </c>
      <c r="N257">
        <v>51</v>
      </c>
      <c r="O257" t="s">
        <v>31</v>
      </c>
      <c r="P257" t="s">
        <v>87</v>
      </c>
    </row>
    <row r="258" spans="1:16" x14ac:dyDescent="0.35">
      <c r="A258" t="s">
        <v>657</v>
      </c>
      <c r="B258" t="s">
        <v>658</v>
      </c>
      <c r="C258" t="s">
        <v>18</v>
      </c>
      <c r="E258" t="s">
        <v>113</v>
      </c>
      <c r="F258" s="1">
        <v>42225</v>
      </c>
      <c r="G258">
        <v>2026</v>
      </c>
      <c r="H258" t="s">
        <v>21</v>
      </c>
      <c r="I258" t="s">
        <v>184</v>
      </c>
      <c r="J258" t="s">
        <v>76</v>
      </c>
      <c r="K258">
        <v>7.2</v>
      </c>
      <c r="L258">
        <v>22217108</v>
      </c>
      <c r="M258">
        <v>186180</v>
      </c>
      <c r="N258">
        <v>43</v>
      </c>
      <c r="O258" t="s">
        <v>58</v>
      </c>
    </row>
    <row r="259" spans="1:16" x14ac:dyDescent="0.35">
      <c r="A259" t="s">
        <v>659</v>
      </c>
      <c r="B259" t="s">
        <v>660</v>
      </c>
      <c r="C259" t="s">
        <v>18</v>
      </c>
      <c r="D259" t="s">
        <v>19</v>
      </c>
      <c r="E259" t="s">
        <v>45</v>
      </c>
      <c r="F259" s="1">
        <v>43165</v>
      </c>
      <c r="G259">
        <v>2004</v>
      </c>
      <c r="H259" t="s">
        <v>63</v>
      </c>
      <c r="I259" t="s">
        <v>661</v>
      </c>
      <c r="K259">
        <v>5.3</v>
      </c>
      <c r="L259">
        <v>19284784</v>
      </c>
      <c r="M259">
        <v>806881</v>
      </c>
      <c r="N259">
        <v>66</v>
      </c>
      <c r="O259" t="s">
        <v>49</v>
      </c>
    </row>
    <row r="260" spans="1:16" x14ac:dyDescent="0.35">
      <c r="A260" t="s">
        <v>662</v>
      </c>
      <c r="B260" t="s">
        <v>663</v>
      </c>
      <c r="C260" t="s">
        <v>84</v>
      </c>
      <c r="D260" t="s">
        <v>19</v>
      </c>
      <c r="E260" t="s">
        <v>37</v>
      </c>
      <c r="F260" s="1">
        <v>45916</v>
      </c>
      <c r="G260">
        <v>2013</v>
      </c>
      <c r="H260" t="s">
        <v>85</v>
      </c>
      <c r="I260" t="s">
        <v>211</v>
      </c>
      <c r="J260" t="s">
        <v>72</v>
      </c>
      <c r="K260">
        <v>8.1</v>
      </c>
      <c r="L260">
        <v>15197602</v>
      </c>
      <c r="M260">
        <v>4221236</v>
      </c>
      <c r="N260">
        <v>42</v>
      </c>
      <c r="P260" t="s">
        <v>42</v>
      </c>
    </row>
    <row r="261" spans="1:16" x14ac:dyDescent="0.35">
      <c r="A261" t="s">
        <v>664</v>
      </c>
      <c r="B261" t="s">
        <v>665</v>
      </c>
      <c r="C261" t="s">
        <v>84</v>
      </c>
      <c r="E261" t="s">
        <v>69</v>
      </c>
      <c r="F261" s="1">
        <v>44532</v>
      </c>
      <c r="G261">
        <v>2024</v>
      </c>
      <c r="H261" t="s">
        <v>107</v>
      </c>
      <c r="I261" t="s">
        <v>323</v>
      </c>
      <c r="J261" t="s">
        <v>96</v>
      </c>
      <c r="K261">
        <v>6.8</v>
      </c>
      <c r="L261">
        <v>3572257</v>
      </c>
      <c r="M261">
        <v>4308942</v>
      </c>
      <c r="N261">
        <v>50</v>
      </c>
      <c r="P261" t="s">
        <v>87</v>
      </c>
    </row>
    <row r="262" spans="1:16" x14ac:dyDescent="0.35">
      <c r="A262" t="s">
        <v>666</v>
      </c>
      <c r="B262" t="s">
        <v>667</v>
      </c>
      <c r="F262" s="1">
        <v>46157</v>
      </c>
      <c r="G262">
        <v>2001</v>
      </c>
      <c r="H262" t="s">
        <v>46</v>
      </c>
      <c r="I262" t="s">
        <v>95</v>
      </c>
      <c r="J262" t="s">
        <v>76</v>
      </c>
      <c r="K262">
        <v>7.2</v>
      </c>
      <c r="L262">
        <v>22477900</v>
      </c>
      <c r="M262">
        <v>1758190</v>
      </c>
      <c r="N262">
        <v>82</v>
      </c>
      <c r="O262" t="s">
        <v>49</v>
      </c>
      <c r="P262" t="s">
        <v>87</v>
      </c>
    </row>
    <row r="263" spans="1:16" x14ac:dyDescent="0.35">
      <c r="A263" t="s">
        <v>668</v>
      </c>
      <c r="B263" t="s">
        <v>669</v>
      </c>
      <c r="C263" t="s">
        <v>35</v>
      </c>
      <c r="D263" t="s">
        <v>68</v>
      </c>
      <c r="E263" t="s">
        <v>113</v>
      </c>
      <c r="F263" s="1">
        <v>44361</v>
      </c>
      <c r="G263">
        <v>2010</v>
      </c>
      <c r="H263" t="s">
        <v>81</v>
      </c>
      <c r="I263" t="s">
        <v>56</v>
      </c>
      <c r="J263" t="s">
        <v>100</v>
      </c>
      <c r="K263">
        <v>4.7</v>
      </c>
      <c r="L263">
        <v>14462203</v>
      </c>
      <c r="M263">
        <v>580703</v>
      </c>
      <c r="N263">
        <v>44</v>
      </c>
      <c r="O263" t="s">
        <v>24</v>
      </c>
    </row>
    <row r="264" spans="1:16" x14ac:dyDescent="0.35">
      <c r="A264" t="s">
        <v>670</v>
      </c>
      <c r="B264" t="s">
        <v>671</v>
      </c>
      <c r="C264" t="s">
        <v>18</v>
      </c>
      <c r="D264" t="s">
        <v>54</v>
      </c>
      <c r="E264" t="s">
        <v>28</v>
      </c>
      <c r="F264" s="1">
        <v>46065</v>
      </c>
      <c r="G264">
        <v>2014</v>
      </c>
      <c r="H264" t="s">
        <v>121</v>
      </c>
      <c r="I264" t="s">
        <v>170</v>
      </c>
      <c r="J264" t="s">
        <v>30</v>
      </c>
      <c r="K264">
        <v>7</v>
      </c>
      <c r="L264">
        <v>16239476</v>
      </c>
      <c r="M264">
        <v>3669589</v>
      </c>
      <c r="N264">
        <v>83</v>
      </c>
      <c r="O264" t="s">
        <v>24</v>
      </c>
      <c r="P264" t="s">
        <v>42</v>
      </c>
    </row>
    <row r="265" spans="1:16" x14ac:dyDescent="0.35">
      <c r="A265" t="s">
        <v>672</v>
      </c>
      <c r="B265" t="s">
        <v>673</v>
      </c>
      <c r="C265" t="s">
        <v>84</v>
      </c>
      <c r="D265" t="s">
        <v>19</v>
      </c>
      <c r="E265" t="s">
        <v>37</v>
      </c>
      <c r="F265" s="1">
        <v>44202</v>
      </c>
      <c r="G265">
        <v>2022</v>
      </c>
      <c r="H265" t="s">
        <v>85</v>
      </c>
      <c r="I265" t="s">
        <v>320</v>
      </c>
      <c r="J265" t="s">
        <v>48</v>
      </c>
      <c r="K265">
        <v>6.8</v>
      </c>
      <c r="L265">
        <v>4439979</v>
      </c>
      <c r="M265">
        <v>768265</v>
      </c>
      <c r="N265">
        <v>67</v>
      </c>
      <c r="O265" t="s">
        <v>31</v>
      </c>
      <c r="P265" t="s">
        <v>42</v>
      </c>
    </row>
    <row r="266" spans="1:16" x14ac:dyDescent="0.35">
      <c r="A266" t="s">
        <v>674</v>
      </c>
      <c r="B266" t="s">
        <v>675</v>
      </c>
      <c r="D266" t="s">
        <v>61</v>
      </c>
      <c r="E266" t="s">
        <v>131</v>
      </c>
      <c r="F266" s="1">
        <v>44901</v>
      </c>
      <c r="G266">
        <v>2009</v>
      </c>
      <c r="H266" t="s">
        <v>70</v>
      </c>
      <c r="I266" t="s">
        <v>64</v>
      </c>
      <c r="J266" t="s">
        <v>76</v>
      </c>
      <c r="K266">
        <v>9.1</v>
      </c>
      <c r="L266">
        <v>21622497</v>
      </c>
      <c r="M266">
        <v>4747707</v>
      </c>
      <c r="N266">
        <v>59</v>
      </c>
      <c r="O266" t="s">
        <v>65</v>
      </c>
      <c r="P266" t="s">
        <v>42</v>
      </c>
    </row>
    <row r="267" spans="1:16" x14ac:dyDescent="0.35">
      <c r="A267" t="s">
        <v>676</v>
      </c>
      <c r="B267" t="s">
        <v>677</v>
      </c>
      <c r="C267" t="s">
        <v>18</v>
      </c>
      <c r="D267" t="s">
        <v>68</v>
      </c>
      <c r="E267" t="s">
        <v>20</v>
      </c>
      <c r="F267" s="1">
        <v>46124</v>
      </c>
      <c r="G267">
        <v>2000</v>
      </c>
      <c r="H267" t="s">
        <v>21</v>
      </c>
      <c r="I267" t="s">
        <v>571</v>
      </c>
      <c r="J267" t="s">
        <v>30</v>
      </c>
      <c r="K267">
        <v>7.3</v>
      </c>
      <c r="L267">
        <v>21094946</v>
      </c>
      <c r="M267">
        <v>3741243</v>
      </c>
      <c r="N267">
        <v>73</v>
      </c>
      <c r="O267" t="s">
        <v>49</v>
      </c>
      <c r="P267" t="s">
        <v>42</v>
      </c>
    </row>
    <row r="268" spans="1:16" x14ac:dyDescent="0.35">
      <c r="A268" t="s">
        <v>678</v>
      </c>
      <c r="B268" t="s">
        <v>679</v>
      </c>
      <c r="C268" t="s">
        <v>35</v>
      </c>
      <c r="D268" t="s">
        <v>36</v>
      </c>
      <c r="E268" t="s">
        <v>62</v>
      </c>
      <c r="F268" s="1">
        <v>43749</v>
      </c>
      <c r="G268">
        <v>2011</v>
      </c>
      <c r="H268" t="s">
        <v>121</v>
      </c>
      <c r="I268" t="s">
        <v>71</v>
      </c>
      <c r="J268" t="s">
        <v>133</v>
      </c>
      <c r="K268">
        <v>8.4</v>
      </c>
      <c r="L268">
        <v>7855189</v>
      </c>
      <c r="M268">
        <v>3626333</v>
      </c>
      <c r="N268">
        <v>83</v>
      </c>
      <c r="O268" t="s">
        <v>123</v>
      </c>
      <c r="P268" t="s">
        <v>50</v>
      </c>
    </row>
    <row r="269" spans="1:16" x14ac:dyDescent="0.35">
      <c r="A269" t="s">
        <v>680</v>
      </c>
      <c r="B269" t="s">
        <v>681</v>
      </c>
      <c r="C269" t="s">
        <v>35</v>
      </c>
      <c r="D269" t="s">
        <v>90</v>
      </c>
      <c r="E269" t="s">
        <v>20</v>
      </c>
      <c r="F269" s="1">
        <v>44507</v>
      </c>
      <c r="G269">
        <v>2007</v>
      </c>
      <c r="H269" t="s">
        <v>85</v>
      </c>
      <c r="I269" t="s">
        <v>71</v>
      </c>
      <c r="J269" t="s">
        <v>133</v>
      </c>
      <c r="K269">
        <v>8.4</v>
      </c>
      <c r="L269">
        <v>3435746</v>
      </c>
      <c r="M269">
        <v>3098603</v>
      </c>
      <c r="N269">
        <v>97</v>
      </c>
      <c r="O269" t="s">
        <v>49</v>
      </c>
      <c r="P269" t="s">
        <v>87</v>
      </c>
    </row>
    <row r="270" spans="1:16" x14ac:dyDescent="0.35">
      <c r="A270" t="s">
        <v>682</v>
      </c>
      <c r="B270" t="s">
        <v>683</v>
      </c>
      <c r="C270" t="s">
        <v>35</v>
      </c>
      <c r="D270" t="s">
        <v>90</v>
      </c>
      <c r="E270" t="s">
        <v>131</v>
      </c>
      <c r="F270" s="1">
        <v>43507</v>
      </c>
      <c r="G270">
        <v>2011</v>
      </c>
      <c r="H270" t="s">
        <v>121</v>
      </c>
      <c r="I270" t="s">
        <v>118</v>
      </c>
      <c r="J270" t="s">
        <v>100</v>
      </c>
      <c r="K270">
        <v>6.3</v>
      </c>
      <c r="L270">
        <v>1818534</v>
      </c>
      <c r="M270">
        <v>3584805</v>
      </c>
      <c r="N270">
        <v>49</v>
      </c>
      <c r="O270" t="s">
        <v>41</v>
      </c>
    </row>
    <row r="271" spans="1:16" x14ac:dyDescent="0.35">
      <c r="A271" t="s">
        <v>684</v>
      </c>
      <c r="B271" t="s">
        <v>685</v>
      </c>
      <c r="C271" t="s">
        <v>35</v>
      </c>
      <c r="D271" t="s">
        <v>61</v>
      </c>
      <c r="E271" t="s">
        <v>113</v>
      </c>
      <c r="F271" s="1">
        <v>45112</v>
      </c>
      <c r="G271">
        <v>2023</v>
      </c>
      <c r="H271" t="s">
        <v>85</v>
      </c>
      <c r="I271" t="s">
        <v>118</v>
      </c>
      <c r="J271" t="s">
        <v>40</v>
      </c>
      <c r="K271">
        <v>8.1</v>
      </c>
      <c r="L271">
        <v>6332350</v>
      </c>
      <c r="M271">
        <v>1736224</v>
      </c>
      <c r="N271">
        <v>120</v>
      </c>
    </row>
    <row r="272" spans="1:16" x14ac:dyDescent="0.35">
      <c r="A272" t="s">
        <v>686</v>
      </c>
      <c r="B272" t="s">
        <v>687</v>
      </c>
      <c r="C272" t="s">
        <v>53</v>
      </c>
      <c r="D272" t="s">
        <v>54</v>
      </c>
      <c r="E272" t="s">
        <v>20</v>
      </c>
      <c r="F272" s="1">
        <v>44642</v>
      </c>
      <c r="G272">
        <v>2018</v>
      </c>
      <c r="H272" t="s">
        <v>85</v>
      </c>
      <c r="I272" t="s">
        <v>64</v>
      </c>
      <c r="J272" t="s">
        <v>30</v>
      </c>
      <c r="K272">
        <v>6.9</v>
      </c>
      <c r="L272">
        <v>14791001</v>
      </c>
      <c r="M272">
        <v>2612598</v>
      </c>
      <c r="N272">
        <v>98</v>
      </c>
      <c r="O272" t="s">
        <v>41</v>
      </c>
      <c r="P272" t="s">
        <v>87</v>
      </c>
    </row>
    <row r="273" spans="1:16" x14ac:dyDescent="0.35">
      <c r="A273" t="s">
        <v>688</v>
      </c>
      <c r="B273" t="s">
        <v>689</v>
      </c>
      <c r="D273" t="s">
        <v>68</v>
      </c>
      <c r="E273" t="s">
        <v>45</v>
      </c>
      <c r="F273" s="1">
        <v>45095</v>
      </c>
      <c r="G273">
        <v>2016</v>
      </c>
      <c r="H273" t="s">
        <v>38</v>
      </c>
      <c r="I273" t="s">
        <v>136</v>
      </c>
      <c r="J273" t="s">
        <v>48</v>
      </c>
      <c r="K273">
        <v>8.3000000000000007</v>
      </c>
      <c r="L273">
        <v>466885</v>
      </c>
      <c r="M273">
        <v>457162</v>
      </c>
      <c r="N273">
        <v>69</v>
      </c>
      <c r="O273" t="s">
        <v>31</v>
      </c>
    </row>
    <row r="274" spans="1:16" x14ac:dyDescent="0.35">
      <c r="A274" t="s">
        <v>690</v>
      </c>
      <c r="B274" t="s">
        <v>691</v>
      </c>
      <c r="C274" t="s">
        <v>18</v>
      </c>
      <c r="D274" t="s">
        <v>27</v>
      </c>
      <c r="F274" s="1">
        <v>44134</v>
      </c>
      <c r="G274">
        <v>2023</v>
      </c>
      <c r="H274" t="s">
        <v>107</v>
      </c>
      <c r="I274" t="s">
        <v>199</v>
      </c>
      <c r="J274" t="s">
        <v>133</v>
      </c>
      <c r="K274">
        <v>9.1</v>
      </c>
      <c r="L274">
        <v>2274160</v>
      </c>
      <c r="M274">
        <v>785373</v>
      </c>
      <c r="N274">
        <v>51</v>
      </c>
      <c r="O274" t="s">
        <v>41</v>
      </c>
      <c r="P274" t="s">
        <v>87</v>
      </c>
    </row>
    <row r="275" spans="1:16" x14ac:dyDescent="0.35">
      <c r="A275" t="s">
        <v>692</v>
      </c>
      <c r="B275" t="s">
        <v>693</v>
      </c>
      <c r="D275" t="s">
        <v>156</v>
      </c>
      <c r="E275" t="s">
        <v>45</v>
      </c>
      <c r="F275" s="1">
        <v>43391</v>
      </c>
      <c r="G275">
        <v>2016</v>
      </c>
      <c r="H275" t="s">
        <v>107</v>
      </c>
      <c r="I275" t="s">
        <v>39</v>
      </c>
      <c r="J275" t="s">
        <v>48</v>
      </c>
      <c r="K275">
        <v>5.6</v>
      </c>
      <c r="L275">
        <v>12014917</v>
      </c>
      <c r="M275">
        <v>2815200</v>
      </c>
      <c r="N275">
        <v>75</v>
      </c>
      <c r="P275" t="s">
        <v>50</v>
      </c>
    </row>
    <row r="276" spans="1:16" x14ac:dyDescent="0.35">
      <c r="A276" t="s">
        <v>694</v>
      </c>
      <c r="B276" t="s">
        <v>695</v>
      </c>
      <c r="C276" t="s">
        <v>84</v>
      </c>
      <c r="E276" t="s">
        <v>99</v>
      </c>
      <c r="F276" s="1">
        <v>43131</v>
      </c>
      <c r="G276">
        <v>2003</v>
      </c>
      <c r="H276" t="s">
        <v>85</v>
      </c>
      <c r="I276" t="s">
        <v>696</v>
      </c>
      <c r="J276" t="s">
        <v>72</v>
      </c>
      <c r="K276">
        <v>6.4</v>
      </c>
      <c r="L276">
        <v>5445241</v>
      </c>
      <c r="M276">
        <v>1659469</v>
      </c>
      <c r="N276">
        <v>68</v>
      </c>
      <c r="O276" t="s">
        <v>41</v>
      </c>
      <c r="P276" t="s">
        <v>32</v>
      </c>
    </row>
    <row r="277" spans="1:16" x14ac:dyDescent="0.35">
      <c r="A277" t="s">
        <v>697</v>
      </c>
      <c r="B277" t="s">
        <v>698</v>
      </c>
      <c r="C277" t="s">
        <v>53</v>
      </c>
      <c r="E277" t="s">
        <v>55</v>
      </c>
      <c r="G277">
        <v>2010</v>
      </c>
      <c r="I277" t="s">
        <v>39</v>
      </c>
      <c r="J277" t="s">
        <v>72</v>
      </c>
      <c r="K277">
        <v>7</v>
      </c>
      <c r="L277">
        <v>5814634</v>
      </c>
      <c r="M277">
        <v>566980</v>
      </c>
      <c r="N277">
        <v>84</v>
      </c>
      <c r="O277" t="s">
        <v>91</v>
      </c>
      <c r="P277" t="s">
        <v>50</v>
      </c>
    </row>
    <row r="278" spans="1:16" x14ac:dyDescent="0.35">
      <c r="A278" t="s">
        <v>699</v>
      </c>
      <c r="B278" t="s">
        <v>700</v>
      </c>
      <c r="D278" t="s">
        <v>36</v>
      </c>
      <c r="E278" t="s">
        <v>99</v>
      </c>
      <c r="F278" s="1">
        <v>45964</v>
      </c>
      <c r="G278">
        <v>2003</v>
      </c>
      <c r="H278" t="s">
        <v>63</v>
      </c>
      <c r="I278" t="s">
        <v>39</v>
      </c>
      <c r="J278" t="s">
        <v>48</v>
      </c>
      <c r="K278">
        <v>7.4</v>
      </c>
      <c r="L278">
        <v>19185429</v>
      </c>
      <c r="M278">
        <v>1864853</v>
      </c>
      <c r="N278">
        <v>87</v>
      </c>
      <c r="O278" t="s">
        <v>41</v>
      </c>
    </row>
    <row r="279" spans="1:16" x14ac:dyDescent="0.35">
      <c r="A279" t="s">
        <v>701</v>
      </c>
      <c r="B279" t="s">
        <v>702</v>
      </c>
      <c r="C279" t="s">
        <v>53</v>
      </c>
      <c r="E279" t="s">
        <v>69</v>
      </c>
      <c r="F279" s="1">
        <v>42276</v>
      </c>
      <c r="G279">
        <v>2022</v>
      </c>
      <c r="H279" t="s">
        <v>38</v>
      </c>
      <c r="I279" t="s">
        <v>71</v>
      </c>
      <c r="J279" t="s">
        <v>48</v>
      </c>
      <c r="K279">
        <v>4.9000000000000004</v>
      </c>
      <c r="L279">
        <v>17482262</v>
      </c>
      <c r="M279">
        <v>197012</v>
      </c>
      <c r="N279">
        <v>120</v>
      </c>
      <c r="O279" t="s">
        <v>31</v>
      </c>
      <c r="P279" t="s">
        <v>32</v>
      </c>
    </row>
    <row r="280" spans="1:16" x14ac:dyDescent="0.35">
      <c r="A280" t="s">
        <v>703</v>
      </c>
      <c r="B280" t="s">
        <v>704</v>
      </c>
      <c r="C280" t="s">
        <v>53</v>
      </c>
      <c r="E280" t="s">
        <v>45</v>
      </c>
      <c r="F280" s="1">
        <v>43083</v>
      </c>
      <c r="G280">
        <v>2002</v>
      </c>
      <c r="H280" t="s">
        <v>46</v>
      </c>
      <c r="J280" t="s">
        <v>76</v>
      </c>
      <c r="K280">
        <v>5.3</v>
      </c>
      <c r="L280">
        <v>9363140</v>
      </c>
      <c r="M280">
        <v>2523496</v>
      </c>
      <c r="N280">
        <v>97</v>
      </c>
      <c r="O280" t="s">
        <v>104</v>
      </c>
      <c r="P280" t="s">
        <v>42</v>
      </c>
    </row>
    <row r="281" spans="1:16" x14ac:dyDescent="0.35">
      <c r="A281" t="s">
        <v>705</v>
      </c>
      <c r="B281" t="s">
        <v>706</v>
      </c>
      <c r="C281" t="s">
        <v>84</v>
      </c>
      <c r="D281" t="s">
        <v>61</v>
      </c>
      <c r="E281" t="s">
        <v>80</v>
      </c>
      <c r="F281" s="1">
        <v>44527</v>
      </c>
      <c r="G281">
        <v>2021</v>
      </c>
      <c r="H281" t="s">
        <v>38</v>
      </c>
      <c r="I281" t="s">
        <v>505</v>
      </c>
      <c r="J281" t="s">
        <v>30</v>
      </c>
      <c r="K281">
        <v>5.3</v>
      </c>
      <c r="L281">
        <v>15579195</v>
      </c>
      <c r="M281">
        <v>3160934</v>
      </c>
      <c r="N281">
        <v>69</v>
      </c>
      <c r="O281" t="s">
        <v>31</v>
      </c>
      <c r="P281" t="s">
        <v>42</v>
      </c>
    </row>
    <row r="282" spans="1:16" x14ac:dyDescent="0.35">
      <c r="A282" t="s">
        <v>707</v>
      </c>
      <c r="B282" t="s">
        <v>708</v>
      </c>
      <c r="C282" t="s">
        <v>53</v>
      </c>
      <c r="E282" t="s">
        <v>28</v>
      </c>
      <c r="F282" s="1">
        <v>43840</v>
      </c>
      <c r="G282">
        <v>2014</v>
      </c>
      <c r="H282" t="s">
        <v>85</v>
      </c>
      <c r="I282" t="s">
        <v>95</v>
      </c>
      <c r="J282" t="s">
        <v>40</v>
      </c>
      <c r="K282">
        <v>4.5999999999999996</v>
      </c>
      <c r="L282">
        <v>23763067</v>
      </c>
      <c r="M282">
        <v>2995237</v>
      </c>
      <c r="N282">
        <v>50</v>
      </c>
      <c r="O282" t="s">
        <v>41</v>
      </c>
      <c r="P282" t="s">
        <v>32</v>
      </c>
    </row>
    <row r="283" spans="1:16" x14ac:dyDescent="0.35">
      <c r="A283" t="s">
        <v>709</v>
      </c>
      <c r="B283" t="s">
        <v>710</v>
      </c>
      <c r="C283" t="s">
        <v>53</v>
      </c>
      <c r="D283" t="s">
        <v>156</v>
      </c>
      <c r="E283" t="s">
        <v>37</v>
      </c>
      <c r="F283" s="1">
        <v>43625</v>
      </c>
      <c r="G283">
        <v>2007</v>
      </c>
      <c r="H283" t="s">
        <v>85</v>
      </c>
      <c r="I283" t="s">
        <v>162</v>
      </c>
      <c r="J283" t="s">
        <v>133</v>
      </c>
      <c r="K283">
        <v>6.3</v>
      </c>
      <c r="L283">
        <v>9469002</v>
      </c>
      <c r="M283">
        <v>3162500</v>
      </c>
      <c r="N283">
        <v>93</v>
      </c>
      <c r="O283" t="s">
        <v>31</v>
      </c>
      <c r="P283" t="s">
        <v>50</v>
      </c>
    </row>
    <row r="284" spans="1:16" x14ac:dyDescent="0.35">
      <c r="A284" t="s">
        <v>711</v>
      </c>
      <c r="B284" t="s">
        <v>712</v>
      </c>
      <c r="C284" t="s">
        <v>53</v>
      </c>
      <c r="F284" s="1">
        <v>42788</v>
      </c>
      <c r="G284">
        <v>2021</v>
      </c>
      <c r="H284" t="s">
        <v>21</v>
      </c>
      <c r="I284" t="s">
        <v>95</v>
      </c>
      <c r="J284" t="s">
        <v>153</v>
      </c>
      <c r="K284">
        <v>8.3000000000000007</v>
      </c>
      <c r="L284">
        <v>3389706</v>
      </c>
      <c r="M284">
        <v>1310733</v>
      </c>
      <c r="N284">
        <v>72</v>
      </c>
      <c r="O284" t="s">
        <v>91</v>
      </c>
      <c r="P284" t="s">
        <v>50</v>
      </c>
    </row>
    <row r="285" spans="1:16" x14ac:dyDescent="0.35">
      <c r="A285" t="s">
        <v>713</v>
      </c>
      <c r="B285" t="s">
        <v>714</v>
      </c>
      <c r="C285" t="s">
        <v>53</v>
      </c>
      <c r="D285" t="s">
        <v>27</v>
      </c>
      <c r="E285" t="s">
        <v>62</v>
      </c>
      <c r="F285" s="1">
        <v>43587</v>
      </c>
      <c r="G285">
        <v>2016</v>
      </c>
      <c r="H285" t="s">
        <v>107</v>
      </c>
      <c r="I285" t="s">
        <v>64</v>
      </c>
      <c r="J285" t="s">
        <v>72</v>
      </c>
      <c r="K285">
        <v>9.1</v>
      </c>
      <c r="L285">
        <v>21687337</v>
      </c>
      <c r="M285">
        <v>4782073</v>
      </c>
      <c r="N285">
        <v>67</v>
      </c>
      <c r="O285" t="s">
        <v>31</v>
      </c>
      <c r="P285" t="s">
        <v>50</v>
      </c>
    </row>
    <row r="286" spans="1:16" x14ac:dyDescent="0.35">
      <c r="A286" t="s">
        <v>715</v>
      </c>
      <c r="B286" t="s">
        <v>716</v>
      </c>
      <c r="C286" t="s">
        <v>79</v>
      </c>
      <c r="D286" t="s">
        <v>75</v>
      </c>
      <c r="E286" t="s">
        <v>62</v>
      </c>
      <c r="F286" s="1">
        <v>43296</v>
      </c>
      <c r="G286">
        <v>2004</v>
      </c>
      <c r="H286" t="s">
        <v>121</v>
      </c>
      <c r="I286" t="s">
        <v>717</v>
      </c>
      <c r="J286" t="s">
        <v>76</v>
      </c>
      <c r="K286">
        <v>4.8</v>
      </c>
      <c r="L286">
        <v>1704201</v>
      </c>
      <c r="M286">
        <v>1657165</v>
      </c>
      <c r="N286">
        <v>45</v>
      </c>
      <c r="O286" t="s">
        <v>123</v>
      </c>
      <c r="P286" t="s">
        <v>50</v>
      </c>
    </row>
    <row r="287" spans="1:16" x14ac:dyDescent="0.35">
      <c r="A287" t="s">
        <v>718</v>
      </c>
      <c r="B287" t="s">
        <v>719</v>
      </c>
      <c r="C287" t="s">
        <v>79</v>
      </c>
      <c r="D287" t="s">
        <v>68</v>
      </c>
      <c r="E287" t="s">
        <v>45</v>
      </c>
      <c r="F287" s="1">
        <v>45392</v>
      </c>
      <c r="G287">
        <v>2007</v>
      </c>
      <c r="H287" t="s">
        <v>114</v>
      </c>
      <c r="I287" t="s">
        <v>720</v>
      </c>
      <c r="J287" t="s">
        <v>76</v>
      </c>
      <c r="K287">
        <v>8.1999999999999993</v>
      </c>
      <c r="L287">
        <v>7575761</v>
      </c>
      <c r="M287">
        <v>1754325</v>
      </c>
      <c r="N287">
        <v>60</v>
      </c>
      <c r="O287" t="s">
        <v>58</v>
      </c>
      <c r="P287" t="s">
        <v>32</v>
      </c>
    </row>
    <row r="288" spans="1:16" x14ac:dyDescent="0.35">
      <c r="A288" t="s">
        <v>721</v>
      </c>
      <c r="B288" t="s">
        <v>722</v>
      </c>
      <c r="C288" t="s">
        <v>18</v>
      </c>
      <c r="D288" t="s">
        <v>156</v>
      </c>
      <c r="E288" t="s">
        <v>80</v>
      </c>
      <c r="F288" s="1">
        <v>45585</v>
      </c>
      <c r="G288">
        <v>2016</v>
      </c>
      <c r="H288" t="s">
        <v>107</v>
      </c>
      <c r="I288" t="s">
        <v>505</v>
      </c>
      <c r="J288" t="s">
        <v>153</v>
      </c>
      <c r="K288">
        <v>8.9</v>
      </c>
      <c r="L288">
        <v>1657617</v>
      </c>
      <c r="M288">
        <v>4696175</v>
      </c>
      <c r="N288">
        <v>100</v>
      </c>
      <c r="P288" t="s">
        <v>42</v>
      </c>
    </row>
    <row r="289" spans="1:16" x14ac:dyDescent="0.35">
      <c r="A289" t="s">
        <v>723</v>
      </c>
      <c r="B289" t="s">
        <v>724</v>
      </c>
      <c r="C289" t="s">
        <v>79</v>
      </c>
      <c r="D289" t="s">
        <v>61</v>
      </c>
      <c r="E289" t="s">
        <v>55</v>
      </c>
      <c r="F289" s="1">
        <v>46004</v>
      </c>
      <c r="G289">
        <v>2026</v>
      </c>
      <c r="H289" t="s">
        <v>81</v>
      </c>
      <c r="I289" t="s">
        <v>594</v>
      </c>
      <c r="J289" t="s">
        <v>96</v>
      </c>
      <c r="K289">
        <v>6.8</v>
      </c>
      <c r="L289">
        <v>6874511</v>
      </c>
      <c r="M289">
        <v>1198215</v>
      </c>
      <c r="N289">
        <v>82</v>
      </c>
      <c r="O289" t="s">
        <v>24</v>
      </c>
      <c r="P289" t="s">
        <v>50</v>
      </c>
    </row>
    <row r="290" spans="1:16" x14ac:dyDescent="0.35">
      <c r="A290" t="s">
        <v>725</v>
      </c>
      <c r="B290" t="s">
        <v>726</v>
      </c>
      <c r="C290" t="s">
        <v>18</v>
      </c>
      <c r="D290" t="s">
        <v>19</v>
      </c>
      <c r="E290" t="s">
        <v>69</v>
      </c>
      <c r="F290" s="1">
        <v>42652</v>
      </c>
      <c r="G290">
        <v>2025</v>
      </c>
      <c r="H290" t="s">
        <v>121</v>
      </c>
      <c r="I290" t="s">
        <v>727</v>
      </c>
      <c r="J290" t="s">
        <v>103</v>
      </c>
      <c r="K290">
        <v>5.4</v>
      </c>
      <c r="L290">
        <v>21565022</v>
      </c>
      <c r="M290">
        <v>572576</v>
      </c>
      <c r="N290">
        <v>59</v>
      </c>
      <c r="O290" t="s">
        <v>24</v>
      </c>
      <c r="P290" t="s">
        <v>50</v>
      </c>
    </row>
    <row r="291" spans="1:16" x14ac:dyDescent="0.35">
      <c r="A291" t="s">
        <v>728</v>
      </c>
      <c r="B291" t="s">
        <v>729</v>
      </c>
      <c r="C291" t="s">
        <v>35</v>
      </c>
      <c r="D291" t="s">
        <v>75</v>
      </c>
      <c r="E291" t="s">
        <v>99</v>
      </c>
      <c r="F291" s="1">
        <v>45995</v>
      </c>
      <c r="G291">
        <v>2012</v>
      </c>
      <c r="H291" t="s">
        <v>46</v>
      </c>
      <c r="I291" t="s">
        <v>56</v>
      </c>
      <c r="J291" t="s">
        <v>23</v>
      </c>
      <c r="K291">
        <v>5.6</v>
      </c>
      <c r="L291">
        <v>23901443</v>
      </c>
      <c r="M291">
        <v>3177861</v>
      </c>
      <c r="N291">
        <v>88</v>
      </c>
      <c r="O291" t="s">
        <v>65</v>
      </c>
      <c r="P291" t="s">
        <v>50</v>
      </c>
    </row>
    <row r="292" spans="1:16" x14ac:dyDescent="0.35">
      <c r="A292" t="s">
        <v>730</v>
      </c>
      <c r="B292" t="s">
        <v>731</v>
      </c>
      <c r="C292" t="s">
        <v>53</v>
      </c>
      <c r="D292" t="s">
        <v>54</v>
      </c>
      <c r="E292" t="s">
        <v>113</v>
      </c>
      <c r="F292" s="1">
        <v>44267</v>
      </c>
      <c r="G292">
        <v>2019</v>
      </c>
      <c r="H292" t="s">
        <v>38</v>
      </c>
      <c r="I292" t="s">
        <v>95</v>
      </c>
      <c r="J292" t="s">
        <v>96</v>
      </c>
      <c r="K292">
        <v>9.3000000000000007</v>
      </c>
      <c r="L292">
        <v>18829044</v>
      </c>
      <c r="M292">
        <v>140754</v>
      </c>
      <c r="N292">
        <v>42</v>
      </c>
      <c r="P292" t="s">
        <v>32</v>
      </c>
    </row>
    <row r="293" spans="1:16" x14ac:dyDescent="0.35">
      <c r="A293" t="s">
        <v>732</v>
      </c>
      <c r="B293" t="s">
        <v>733</v>
      </c>
      <c r="C293" t="s">
        <v>84</v>
      </c>
      <c r="D293" t="s">
        <v>75</v>
      </c>
      <c r="E293" t="s">
        <v>113</v>
      </c>
      <c r="F293" s="1">
        <v>42163</v>
      </c>
      <c r="G293">
        <v>2011</v>
      </c>
      <c r="H293" t="s">
        <v>63</v>
      </c>
      <c r="I293" t="s">
        <v>467</v>
      </c>
      <c r="J293" t="s">
        <v>133</v>
      </c>
      <c r="K293">
        <v>11.2</v>
      </c>
      <c r="L293">
        <v>7474259</v>
      </c>
      <c r="M293">
        <v>684603</v>
      </c>
      <c r="N293">
        <v>75</v>
      </c>
      <c r="O293" t="s">
        <v>31</v>
      </c>
    </row>
    <row r="294" spans="1:16" x14ac:dyDescent="0.35">
      <c r="A294" t="s">
        <v>734</v>
      </c>
      <c r="B294" t="s">
        <v>735</v>
      </c>
      <c r="C294" t="s">
        <v>35</v>
      </c>
      <c r="D294" t="s">
        <v>36</v>
      </c>
      <c r="E294" t="s">
        <v>20</v>
      </c>
      <c r="F294" s="1">
        <v>42389</v>
      </c>
      <c r="G294">
        <v>2003</v>
      </c>
      <c r="H294" t="s">
        <v>38</v>
      </c>
      <c r="I294" t="s">
        <v>162</v>
      </c>
      <c r="J294" t="s">
        <v>153</v>
      </c>
      <c r="K294">
        <v>4.8</v>
      </c>
      <c r="L294">
        <v>14367448</v>
      </c>
      <c r="M294">
        <v>537956</v>
      </c>
      <c r="N294">
        <v>53</v>
      </c>
      <c r="P294" t="s">
        <v>50</v>
      </c>
    </row>
    <row r="295" spans="1:16" x14ac:dyDescent="0.35">
      <c r="A295" t="s">
        <v>736</v>
      </c>
      <c r="B295" t="s">
        <v>737</v>
      </c>
      <c r="C295" t="s">
        <v>79</v>
      </c>
      <c r="D295" t="s">
        <v>94</v>
      </c>
      <c r="E295" t="s">
        <v>45</v>
      </c>
      <c r="F295" s="1">
        <v>44256</v>
      </c>
      <c r="G295">
        <v>2016</v>
      </c>
      <c r="H295" t="s">
        <v>46</v>
      </c>
      <c r="I295" t="s">
        <v>738</v>
      </c>
      <c r="J295" t="s">
        <v>103</v>
      </c>
      <c r="K295">
        <v>5.7</v>
      </c>
      <c r="L295">
        <v>17081869</v>
      </c>
      <c r="M295">
        <v>4227864</v>
      </c>
      <c r="N295">
        <v>59</v>
      </c>
      <c r="O295" t="s">
        <v>41</v>
      </c>
      <c r="P295" t="s">
        <v>42</v>
      </c>
    </row>
    <row r="296" spans="1:16" x14ac:dyDescent="0.35">
      <c r="A296" t="s">
        <v>739</v>
      </c>
      <c r="B296" t="s">
        <v>740</v>
      </c>
      <c r="C296" t="s">
        <v>53</v>
      </c>
      <c r="D296" t="s">
        <v>54</v>
      </c>
      <c r="E296" t="s">
        <v>28</v>
      </c>
      <c r="F296" s="1">
        <v>43676</v>
      </c>
      <c r="G296">
        <v>2017</v>
      </c>
      <c r="I296" t="s">
        <v>136</v>
      </c>
      <c r="K296">
        <v>4.9000000000000004</v>
      </c>
      <c r="L296">
        <v>5897280</v>
      </c>
      <c r="M296">
        <v>3023939</v>
      </c>
      <c r="N296">
        <v>79</v>
      </c>
      <c r="O296" t="s">
        <v>31</v>
      </c>
      <c r="P296" t="s">
        <v>32</v>
      </c>
    </row>
    <row r="297" spans="1:16" x14ac:dyDescent="0.35">
      <c r="A297" t="s">
        <v>741</v>
      </c>
      <c r="B297" t="s">
        <v>742</v>
      </c>
      <c r="D297" t="s">
        <v>27</v>
      </c>
      <c r="E297" t="s">
        <v>62</v>
      </c>
      <c r="F297" s="1">
        <v>45442</v>
      </c>
      <c r="G297">
        <v>2006</v>
      </c>
      <c r="H297" t="s">
        <v>21</v>
      </c>
      <c r="I297" t="s">
        <v>56</v>
      </c>
      <c r="J297" t="s">
        <v>153</v>
      </c>
      <c r="K297">
        <v>8</v>
      </c>
      <c r="L297">
        <v>21827583</v>
      </c>
      <c r="M297">
        <v>2398229</v>
      </c>
      <c r="N297">
        <v>76</v>
      </c>
      <c r="O297" t="s">
        <v>58</v>
      </c>
    </row>
    <row r="298" spans="1:16" x14ac:dyDescent="0.35">
      <c r="A298" t="s">
        <v>743</v>
      </c>
      <c r="B298" t="s">
        <v>744</v>
      </c>
      <c r="C298" t="s">
        <v>18</v>
      </c>
      <c r="D298" t="s">
        <v>19</v>
      </c>
      <c r="E298" t="s">
        <v>99</v>
      </c>
      <c r="F298" s="1">
        <v>42673</v>
      </c>
      <c r="G298">
        <v>2023</v>
      </c>
      <c r="H298" t="s">
        <v>46</v>
      </c>
      <c r="I298" t="s">
        <v>420</v>
      </c>
      <c r="J298" t="s">
        <v>96</v>
      </c>
      <c r="K298">
        <v>9.1999999999999993</v>
      </c>
      <c r="L298">
        <v>15418458</v>
      </c>
      <c r="M298">
        <v>3988160</v>
      </c>
      <c r="N298">
        <v>78</v>
      </c>
      <c r="O298" t="s">
        <v>41</v>
      </c>
      <c r="P298" t="s">
        <v>42</v>
      </c>
    </row>
    <row r="299" spans="1:16" x14ac:dyDescent="0.35">
      <c r="A299" t="s">
        <v>745</v>
      </c>
      <c r="B299" t="s">
        <v>746</v>
      </c>
      <c r="C299" t="s">
        <v>18</v>
      </c>
      <c r="D299" t="s">
        <v>68</v>
      </c>
      <c r="E299" t="s">
        <v>62</v>
      </c>
      <c r="F299" s="1">
        <v>42844</v>
      </c>
      <c r="G299">
        <v>2004</v>
      </c>
      <c r="H299" t="s">
        <v>38</v>
      </c>
      <c r="I299" t="s">
        <v>747</v>
      </c>
      <c r="K299">
        <v>9</v>
      </c>
      <c r="L299">
        <v>8985786</v>
      </c>
      <c r="M299">
        <v>1728635</v>
      </c>
      <c r="N299">
        <v>40</v>
      </c>
      <c r="O299" t="s">
        <v>58</v>
      </c>
      <c r="P299" t="s">
        <v>42</v>
      </c>
    </row>
    <row r="300" spans="1:16" x14ac:dyDescent="0.35">
      <c r="A300" t="s">
        <v>748</v>
      </c>
      <c r="B300" t="s">
        <v>749</v>
      </c>
      <c r="C300" t="s">
        <v>35</v>
      </c>
      <c r="D300" t="s">
        <v>75</v>
      </c>
      <c r="E300" t="s">
        <v>37</v>
      </c>
      <c r="F300" s="1">
        <v>43975</v>
      </c>
      <c r="G300">
        <v>2003</v>
      </c>
      <c r="H300" t="s">
        <v>107</v>
      </c>
      <c r="I300" t="s">
        <v>71</v>
      </c>
      <c r="J300" t="s">
        <v>30</v>
      </c>
      <c r="K300">
        <v>5</v>
      </c>
      <c r="L300">
        <v>7154801</v>
      </c>
      <c r="M300">
        <v>491644</v>
      </c>
      <c r="N300">
        <v>42</v>
      </c>
      <c r="O300" t="s">
        <v>104</v>
      </c>
    </row>
    <row r="301" spans="1:16" x14ac:dyDescent="0.35">
      <c r="A301" t="s">
        <v>750</v>
      </c>
      <c r="B301" t="s">
        <v>751</v>
      </c>
      <c r="C301" t="s">
        <v>18</v>
      </c>
      <c r="D301" t="s">
        <v>90</v>
      </c>
      <c r="E301" t="s">
        <v>131</v>
      </c>
      <c r="F301" s="1">
        <v>45796</v>
      </c>
      <c r="G301">
        <v>2012</v>
      </c>
      <c r="H301" t="s">
        <v>63</v>
      </c>
      <c r="I301" t="s">
        <v>192</v>
      </c>
      <c r="J301" t="s">
        <v>76</v>
      </c>
      <c r="K301">
        <v>8.6999999999999993</v>
      </c>
      <c r="L301">
        <v>11279404</v>
      </c>
      <c r="M301">
        <v>3639249</v>
      </c>
      <c r="N301">
        <v>91</v>
      </c>
      <c r="O301" t="s">
        <v>123</v>
      </c>
    </row>
    <row r="302" spans="1:16" x14ac:dyDescent="0.35">
      <c r="A302" t="s">
        <v>752</v>
      </c>
      <c r="B302" t="s">
        <v>753</v>
      </c>
      <c r="C302" t="s">
        <v>84</v>
      </c>
      <c r="D302" t="s">
        <v>19</v>
      </c>
      <c r="E302" t="s">
        <v>28</v>
      </c>
      <c r="F302" s="1">
        <v>44136</v>
      </c>
      <c r="G302">
        <v>2013</v>
      </c>
      <c r="H302" t="s">
        <v>38</v>
      </c>
      <c r="I302" t="s">
        <v>754</v>
      </c>
      <c r="J302" t="s">
        <v>57</v>
      </c>
      <c r="K302">
        <v>7.5</v>
      </c>
      <c r="L302">
        <v>23117947</v>
      </c>
      <c r="M302">
        <v>1471198</v>
      </c>
      <c r="N302">
        <v>55</v>
      </c>
      <c r="O302" t="s">
        <v>91</v>
      </c>
      <c r="P302" t="s">
        <v>42</v>
      </c>
    </row>
    <row r="303" spans="1:16" x14ac:dyDescent="0.35">
      <c r="A303" t="s">
        <v>755</v>
      </c>
      <c r="B303" t="s">
        <v>756</v>
      </c>
      <c r="C303" t="s">
        <v>79</v>
      </c>
      <c r="D303" t="s">
        <v>54</v>
      </c>
      <c r="E303" t="s">
        <v>62</v>
      </c>
      <c r="F303" s="1">
        <v>43425</v>
      </c>
      <c r="G303">
        <v>2001</v>
      </c>
      <c r="H303" t="s">
        <v>63</v>
      </c>
      <c r="I303" t="s">
        <v>282</v>
      </c>
      <c r="J303" t="s">
        <v>133</v>
      </c>
      <c r="K303">
        <v>4.5999999999999996</v>
      </c>
      <c r="L303">
        <v>13836414</v>
      </c>
      <c r="M303">
        <v>4230414</v>
      </c>
      <c r="N303">
        <v>66</v>
      </c>
      <c r="O303" t="s">
        <v>31</v>
      </c>
      <c r="P303" t="s">
        <v>42</v>
      </c>
    </row>
    <row r="304" spans="1:16" x14ac:dyDescent="0.35">
      <c r="A304" t="s">
        <v>757</v>
      </c>
      <c r="B304" t="s">
        <v>758</v>
      </c>
      <c r="D304" t="s">
        <v>90</v>
      </c>
      <c r="E304" t="s">
        <v>113</v>
      </c>
      <c r="F304" s="1">
        <v>46144</v>
      </c>
      <c r="G304">
        <v>2032</v>
      </c>
      <c r="H304" t="s">
        <v>114</v>
      </c>
      <c r="I304" t="s">
        <v>162</v>
      </c>
      <c r="J304" t="s">
        <v>153</v>
      </c>
      <c r="K304">
        <v>6.3</v>
      </c>
      <c r="L304">
        <v>-97</v>
      </c>
      <c r="M304">
        <v>466224</v>
      </c>
      <c r="N304">
        <v>94</v>
      </c>
      <c r="O304" t="s">
        <v>49</v>
      </c>
      <c r="P304" t="s">
        <v>32</v>
      </c>
    </row>
    <row r="305" spans="1:16" x14ac:dyDescent="0.35">
      <c r="A305" t="s">
        <v>759</v>
      </c>
      <c r="B305" t="s">
        <v>760</v>
      </c>
      <c r="C305" t="s">
        <v>84</v>
      </c>
      <c r="E305" t="s">
        <v>28</v>
      </c>
      <c r="F305" s="1">
        <v>42541</v>
      </c>
      <c r="G305">
        <v>2016</v>
      </c>
      <c r="H305" t="s">
        <v>21</v>
      </c>
      <c r="I305" t="s">
        <v>199</v>
      </c>
      <c r="J305" t="s">
        <v>133</v>
      </c>
      <c r="K305">
        <v>5</v>
      </c>
      <c r="L305">
        <v>16942709</v>
      </c>
      <c r="M305">
        <v>209754</v>
      </c>
      <c r="N305">
        <v>78</v>
      </c>
      <c r="O305" t="s">
        <v>49</v>
      </c>
      <c r="P305" t="s">
        <v>50</v>
      </c>
    </row>
    <row r="306" spans="1:16" x14ac:dyDescent="0.35">
      <c r="A306" t="s">
        <v>761</v>
      </c>
      <c r="B306" t="s">
        <v>762</v>
      </c>
      <c r="C306" t="s">
        <v>79</v>
      </c>
      <c r="D306" t="s">
        <v>61</v>
      </c>
      <c r="F306" s="1">
        <v>44032</v>
      </c>
      <c r="G306">
        <v>2014</v>
      </c>
      <c r="H306" t="s">
        <v>21</v>
      </c>
      <c r="I306" t="s">
        <v>763</v>
      </c>
      <c r="J306" t="s">
        <v>100</v>
      </c>
      <c r="K306">
        <v>7.8</v>
      </c>
      <c r="L306">
        <v>18230880</v>
      </c>
      <c r="M306">
        <v>1971091</v>
      </c>
      <c r="N306">
        <v>76</v>
      </c>
      <c r="O306" t="s">
        <v>58</v>
      </c>
    </row>
    <row r="307" spans="1:16" x14ac:dyDescent="0.35">
      <c r="A307" t="s">
        <v>764</v>
      </c>
      <c r="B307" t="s">
        <v>765</v>
      </c>
      <c r="D307" t="s">
        <v>94</v>
      </c>
      <c r="E307" t="s">
        <v>80</v>
      </c>
      <c r="F307" s="1">
        <v>42374</v>
      </c>
      <c r="G307">
        <v>2021</v>
      </c>
      <c r="H307" t="s">
        <v>114</v>
      </c>
      <c r="I307" t="s">
        <v>95</v>
      </c>
      <c r="J307" t="s">
        <v>76</v>
      </c>
      <c r="K307">
        <v>4.8</v>
      </c>
      <c r="L307">
        <v>1046438</v>
      </c>
      <c r="M307">
        <v>1382796</v>
      </c>
      <c r="N307">
        <v>55</v>
      </c>
      <c r="O307" t="s">
        <v>58</v>
      </c>
      <c r="P307" t="s">
        <v>42</v>
      </c>
    </row>
    <row r="308" spans="1:16" x14ac:dyDescent="0.35">
      <c r="A308" t="s">
        <v>766</v>
      </c>
      <c r="B308" t="s">
        <v>767</v>
      </c>
      <c r="C308" t="s">
        <v>53</v>
      </c>
      <c r="D308" t="s">
        <v>68</v>
      </c>
      <c r="E308" t="s">
        <v>62</v>
      </c>
      <c r="F308" s="1">
        <v>45164</v>
      </c>
      <c r="G308">
        <v>2004</v>
      </c>
      <c r="H308" t="s">
        <v>107</v>
      </c>
      <c r="I308" t="s">
        <v>56</v>
      </c>
      <c r="J308" t="s">
        <v>103</v>
      </c>
      <c r="K308">
        <v>6</v>
      </c>
      <c r="L308">
        <v>17722530</v>
      </c>
      <c r="M308">
        <v>2271989</v>
      </c>
      <c r="N308">
        <v>43</v>
      </c>
      <c r="O308" t="s">
        <v>104</v>
      </c>
      <c r="P308" t="s">
        <v>42</v>
      </c>
    </row>
    <row r="309" spans="1:16" x14ac:dyDescent="0.35">
      <c r="A309" t="s">
        <v>768</v>
      </c>
      <c r="B309" t="s">
        <v>769</v>
      </c>
      <c r="D309" t="s">
        <v>19</v>
      </c>
      <c r="E309" t="s">
        <v>45</v>
      </c>
      <c r="F309" s="1">
        <v>45115</v>
      </c>
      <c r="G309">
        <v>2009</v>
      </c>
      <c r="H309" t="s">
        <v>38</v>
      </c>
      <c r="I309" t="s">
        <v>56</v>
      </c>
      <c r="J309" t="s">
        <v>30</v>
      </c>
      <c r="K309">
        <v>9</v>
      </c>
      <c r="L309">
        <v>4813820</v>
      </c>
      <c r="M309">
        <v>4087912</v>
      </c>
      <c r="N309">
        <v>92</v>
      </c>
      <c r="O309" t="s">
        <v>104</v>
      </c>
      <c r="P309" t="s">
        <v>42</v>
      </c>
    </row>
    <row r="310" spans="1:16" x14ac:dyDescent="0.35">
      <c r="A310" t="s">
        <v>770</v>
      </c>
      <c r="B310" t="s">
        <v>769</v>
      </c>
      <c r="C310" t="s">
        <v>79</v>
      </c>
      <c r="D310" t="s">
        <v>27</v>
      </c>
      <c r="F310" s="1">
        <v>44690</v>
      </c>
      <c r="G310">
        <v>2004</v>
      </c>
      <c r="H310" t="s">
        <v>63</v>
      </c>
      <c r="I310" t="s">
        <v>22</v>
      </c>
      <c r="J310" t="s">
        <v>100</v>
      </c>
      <c r="K310">
        <v>5.3</v>
      </c>
      <c r="L310">
        <v>15042802</v>
      </c>
      <c r="M310">
        <v>2313201</v>
      </c>
      <c r="N310">
        <v>78</v>
      </c>
      <c r="O310" t="s">
        <v>65</v>
      </c>
      <c r="P310" t="s">
        <v>42</v>
      </c>
    </row>
    <row r="311" spans="1:16" x14ac:dyDescent="0.35">
      <c r="A311" t="s">
        <v>771</v>
      </c>
      <c r="B311" t="s">
        <v>772</v>
      </c>
      <c r="C311" t="s">
        <v>53</v>
      </c>
      <c r="F311" s="1">
        <v>44513</v>
      </c>
      <c r="G311">
        <v>2009</v>
      </c>
      <c r="H311" t="s">
        <v>85</v>
      </c>
      <c r="I311" t="s">
        <v>71</v>
      </c>
      <c r="J311" t="s">
        <v>48</v>
      </c>
      <c r="K311">
        <v>8.1</v>
      </c>
      <c r="L311">
        <v>18142279</v>
      </c>
      <c r="M311">
        <v>1339859</v>
      </c>
      <c r="N311">
        <v>45</v>
      </c>
      <c r="O311" t="s">
        <v>41</v>
      </c>
      <c r="P311" t="s">
        <v>32</v>
      </c>
    </row>
    <row r="312" spans="1:16" x14ac:dyDescent="0.35">
      <c r="A312" t="s">
        <v>773</v>
      </c>
      <c r="B312" t="s">
        <v>774</v>
      </c>
      <c r="C312" t="s">
        <v>84</v>
      </c>
      <c r="E312" t="s">
        <v>113</v>
      </c>
      <c r="F312" s="1">
        <v>44027</v>
      </c>
      <c r="G312">
        <v>2001</v>
      </c>
      <c r="H312" t="s">
        <v>21</v>
      </c>
      <c r="I312" t="s">
        <v>775</v>
      </c>
      <c r="J312" t="s">
        <v>133</v>
      </c>
      <c r="K312">
        <v>6.3</v>
      </c>
      <c r="L312">
        <v>14627210</v>
      </c>
      <c r="M312">
        <v>2910191</v>
      </c>
      <c r="N312">
        <v>74</v>
      </c>
      <c r="O312" t="s">
        <v>41</v>
      </c>
      <c r="P312" t="s">
        <v>42</v>
      </c>
    </row>
    <row r="313" spans="1:16" x14ac:dyDescent="0.35">
      <c r="A313" t="s">
        <v>776</v>
      </c>
      <c r="B313" t="s">
        <v>777</v>
      </c>
      <c r="D313" t="s">
        <v>68</v>
      </c>
      <c r="E313" t="s">
        <v>113</v>
      </c>
      <c r="F313" s="1">
        <v>44318</v>
      </c>
      <c r="G313">
        <v>2020</v>
      </c>
      <c r="H313" t="s">
        <v>107</v>
      </c>
      <c r="I313" t="s">
        <v>56</v>
      </c>
      <c r="J313" t="s">
        <v>30</v>
      </c>
      <c r="K313">
        <v>9.5</v>
      </c>
      <c r="L313">
        <v>19029646</v>
      </c>
      <c r="M313">
        <v>3725637</v>
      </c>
      <c r="N313">
        <v>56</v>
      </c>
      <c r="O313" t="s">
        <v>49</v>
      </c>
      <c r="P313" t="s">
        <v>50</v>
      </c>
    </row>
    <row r="314" spans="1:16" x14ac:dyDescent="0.35">
      <c r="A314" t="s">
        <v>778</v>
      </c>
      <c r="B314" t="s">
        <v>779</v>
      </c>
      <c r="D314" t="s">
        <v>156</v>
      </c>
      <c r="E314" t="s">
        <v>113</v>
      </c>
      <c r="F314" s="1">
        <v>42055</v>
      </c>
      <c r="G314">
        <v>2012</v>
      </c>
      <c r="H314" t="s">
        <v>85</v>
      </c>
      <c r="I314" t="s">
        <v>95</v>
      </c>
      <c r="J314" t="s">
        <v>133</v>
      </c>
      <c r="K314">
        <v>8.3000000000000007</v>
      </c>
      <c r="L314">
        <v>13176545</v>
      </c>
      <c r="M314">
        <v>1309717</v>
      </c>
      <c r="N314">
        <v>72</v>
      </c>
      <c r="O314" t="s">
        <v>91</v>
      </c>
      <c r="P314" t="s">
        <v>50</v>
      </c>
    </row>
    <row r="315" spans="1:16" x14ac:dyDescent="0.35">
      <c r="A315" t="s">
        <v>780</v>
      </c>
      <c r="B315" t="s">
        <v>781</v>
      </c>
      <c r="C315" t="s">
        <v>18</v>
      </c>
      <c r="D315" t="s">
        <v>94</v>
      </c>
      <c r="E315" t="s">
        <v>20</v>
      </c>
      <c r="F315" s="1">
        <v>44085</v>
      </c>
      <c r="G315">
        <v>2000</v>
      </c>
      <c r="H315" t="s">
        <v>21</v>
      </c>
      <c r="I315" t="s">
        <v>259</v>
      </c>
      <c r="K315">
        <v>9</v>
      </c>
      <c r="L315">
        <v>12566767</v>
      </c>
      <c r="M315">
        <v>1793185</v>
      </c>
      <c r="N315">
        <v>41</v>
      </c>
      <c r="O315" t="s">
        <v>49</v>
      </c>
      <c r="P315" t="s">
        <v>32</v>
      </c>
    </row>
    <row r="316" spans="1:16" x14ac:dyDescent="0.35">
      <c r="A316" t="s">
        <v>782</v>
      </c>
      <c r="B316" t="s">
        <v>783</v>
      </c>
      <c r="C316" t="s">
        <v>53</v>
      </c>
      <c r="D316" t="s">
        <v>90</v>
      </c>
      <c r="E316" t="s">
        <v>37</v>
      </c>
      <c r="F316" s="1">
        <v>45727</v>
      </c>
      <c r="G316">
        <v>2011</v>
      </c>
      <c r="H316" t="s">
        <v>21</v>
      </c>
      <c r="I316" t="s">
        <v>118</v>
      </c>
      <c r="J316" t="s">
        <v>133</v>
      </c>
      <c r="K316">
        <v>5.0999999999999996</v>
      </c>
      <c r="L316">
        <v>13888886</v>
      </c>
      <c r="M316">
        <v>2945456</v>
      </c>
      <c r="N316">
        <v>80</v>
      </c>
      <c r="O316" t="s">
        <v>91</v>
      </c>
      <c r="P316" t="s">
        <v>42</v>
      </c>
    </row>
    <row r="317" spans="1:16" x14ac:dyDescent="0.35">
      <c r="A317" t="s">
        <v>784</v>
      </c>
      <c r="B317" t="s">
        <v>785</v>
      </c>
      <c r="C317" t="s">
        <v>79</v>
      </c>
      <c r="D317" t="s">
        <v>19</v>
      </c>
      <c r="E317" t="s">
        <v>62</v>
      </c>
      <c r="F317" s="1">
        <v>42309</v>
      </c>
      <c r="G317">
        <v>2018</v>
      </c>
      <c r="H317" t="s">
        <v>38</v>
      </c>
      <c r="I317" t="s">
        <v>199</v>
      </c>
      <c r="J317" t="s">
        <v>72</v>
      </c>
      <c r="K317">
        <v>4.8</v>
      </c>
      <c r="L317">
        <v>2650181</v>
      </c>
      <c r="M317">
        <v>1808831</v>
      </c>
      <c r="N317">
        <v>89</v>
      </c>
      <c r="O317" t="s">
        <v>123</v>
      </c>
      <c r="P317" t="s">
        <v>32</v>
      </c>
    </row>
    <row r="318" spans="1:16" x14ac:dyDescent="0.35">
      <c r="A318" t="s">
        <v>786</v>
      </c>
      <c r="B318" t="s">
        <v>787</v>
      </c>
      <c r="C318" t="s">
        <v>84</v>
      </c>
      <c r="E318" t="s">
        <v>37</v>
      </c>
      <c r="F318" s="1">
        <v>45120</v>
      </c>
      <c r="G318">
        <v>2016</v>
      </c>
      <c r="H318" t="s">
        <v>121</v>
      </c>
      <c r="I318" t="s">
        <v>788</v>
      </c>
      <c r="J318" t="s">
        <v>96</v>
      </c>
      <c r="K318">
        <v>8</v>
      </c>
      <c r="L318">
        <v>1481229</v>
      </c>
      <c r="M318">
        <v>662183</v>
      </c>
      <c r="N318">
        <v>42</v>
      </c>
      <c r="O318" t="s">
        <v>58</v>
      </c>
      <c r="P318" t="s">
        <v>50</v>
      </c>
    </row>
    <row r="319" spans="1:16" x14ac:dyDescent="0.35">
      <c r="A319" t="s">
        <v>789</v>
      </c>
      <c r="B319" t="s">
        <v>790</v>
      </c>
      <c r="C319" t="s">
        <v>35</v>
      </c>
      <c r="D319" t="s">
        <v>27</v>
      </c>
      <c r="F319" s="1">
        <v>44852</v>
      </c>
      <c r="G319">
        <v>2004</v>
      </c>
      <c r="H319" t="s">
        <v>70</v>
      </c>
      <c r="I319" t="s">
        <v>95</v>
      </c>
      <c r="K319">
        <v>7.5</v>
      </c>
      <c r="L319">
        <v>12176885</v>
      </c>
      <c r="M319">
        <v>2295036</v>
      </c>
      <c r="N319">
        <v>80</v>
      </c>
      <c r="O319" t="s">
        <v>104</v>
      </c>
    </row>
    <row r="320" spans="1:16" x14ac:dyDescent="0.35">
      <c r="A320" t="s">
        <v>791</v>
      </c>
      <c r="B320" t="s">
        <v>792</v>
      </c>
      <c r="C320" t="s">
        <v>84</v>
      </c>
      <c r="D320" t="s">
        <v>54</v>
      </c>
      <c r="E320" t="s">
        <v>80</v>
      </c>
      <c r="F320" s="1">
        <v>45050</v>
      </c>
      <c r="G320">
        <v>2007</v>
      </c>
      <c r="H320" t="s">
        <v>70</v>
      </c>
      <c r="I320" t="s">
        <v>254</v>
      </c>
      <c r="J320" t="s">
        <v>48</v>
      </c>
      <c r="K320">
        <v>7.9</v>
      </c>
      <c r="L320">
        <v>16037755</v>
      </c>
      <c r="M320">
        <v>4807907</v>
      </c>
      <c r="N320">
        <v>84</v>
      </c>
      <c r="O320" t="s">
        <v>58</v>
      </c>
      <c r="P320" t="s">
        <v>87</v>
      </c>
    </row>
    <row r="321" spans="1:16" x14ac:dyDescent="0.35">
      <c r="A321" t="s">
        <v>793</v>
      </c>
      <c r="B321" t="s">
        <v>792</v>
      </c>
      <c r="C321" t="s">
        <v>18</v>
      </c>
      <c r="D321" t="s">
        <v>90</v>
      </c>
      <c r="E321" t="s">
        <v>165</v>
      </c>
      <c r="F321" s="1">
        <v>44585</v>
      </c>
      <c r="G321">
        <v>2013</v>
      </c>
      <c r="I321" t="s">
        <v>794</v>
      </c>
      <c r="K321">
        <v>9.6999999999999993</v>
      </c>
      <c r="L321">
        <v>7328646</v>
      </c>
      <c r="M321">
        <v>2737238</v>
      </c>
      <c r="N321">
        <v>40</v>
      </c>
      <c r="O321" t="s">
        <v>123</v>
      </c>
      <c r="P321" t="s">
        <v>50</v>
      </c>
    </row>
    <row r="322" spans="1:16" x14ac:dyDescent="0.35">
      <c r="A322" t="s">
        <v>795</v>
      </c>
      <c r="B322" t="s">
        <v>796</v>
      </c>
      <c r="C322" t="s">
        <v>53</v>
      </c>
      <c r="D322" t="s">
        <v>156</v>
      </c>
      <c r="E322" t="s">
        <v>62</v>
      </c>
      <c r="F322" s="1">
        <v>43624</v>
      </c>
      <c r="G322">
        <v>2012</v>
      </c>
      <c r="H322" t="s">
        <v>85</v>
      </c>
      <c r="J322" t="s">
        <v>48</v>
      </c>
      <c r="K322">
        <v>8.4</v>
      </c>
      <c r="L322">
        <v>5813431</v>
      </c>
      <c r="M322">
        <v>3473318</v>
      </c>
      <c r="N322">
        <v>47</v>
      </c>
      <c r="O322" t="s">
        <v>41</v>
      </c>
    </row>
    <row r="323" spans="1:16" x14ac:dyDescent="0.35">
      <c r="A323" t="s">
        <v>797</v>
      </c>
      <c r="B323" t="s">
        <v>798</v>
      </c>
      <c r="C323" t="s">
        <v>35</v>
      </c>
      <c r="E323" t="s">
        <v>62</v>
      </c>
      <c r="F323" s="1">
        <v>44326</v>
      </c>
      <c r="G323">
        <v>2021</v>
      </c>
      <c r="H323" t="s">
        <v>38</v>
      </c>
      <c r="I323" t="s">
        <v>118</v>
      </c>
      <c r="J323" t="s">
        <v>100</v>
      </c>
      <c r="K323">
        <v>9.6</v>
      </c>
      <c r="L323">
        <v>-339</v>
      </c>
      <c r="M323">
        <v>1925576</v>
      </c>
      <c r="N323">
        <v>52</v>
      </c>
      <c r="O323" t="s">
        <v>58</v>
      </c>
      <c r="P323" t="s">
        <v>50</v>
      </c>
    </row>
    <row r="324" spans="1:16" x14ac:dyDescent="0.35">
      <c r="A324" t="s">
        <v>799</v>
      </c>
      <c r="B324" t="s">
        <v>800</v>
      </c>
      <c r="C324" t="s">
        <v>79</v>
      </c>
      <c r="D324" t="s">
        <v>156</v>
      </c>
      <c r="E324" t="s">
        <v>28</v>
      </c>
      <c r="F324" s="1">
        <v>44997</v>
      </c>
      <c r="G324">
        <v>2011</v>
      </c>
      <c r="H324" t="s">
        <v>85</v>
      </c>
      <c r="I324" t="s">
        <v>254</v>
      </c>
      <c r="J324" t="s">
        <v>96</v>
      </c>
      <c r="K324">
        <v>5</v>
      </c>
      <c r="L324">
        <v>16747599</v>
      </c>
      <c r="M324">
        <v>2559749</v>
      </c>
      <c r="N324">
        <v>73</v>
      </c>
      <c r="O324" t="s">
        <v>24</v>
      </c>
      <c r="P324" t="s">
        <v>50</v>
      </c>
    </row>
    <row r="325" spans="1:16" x14ac:dyDescent="0.35">
      <c r="A325" t="s">
        <v>801</v>
      </c>
      <c r="B325" t="s">
        <v>802</v>
      </c>
      <c r="C325" t="s">
        <v>35</v>
      </c>
      <c r="D325" t="s">
        <v>19</v>
      </c>
      <c r="E325" t="s">
        <v>131</v>
      </c>
      <c r="F325" s="1">
        <v>44118</v>
      </c>
      <c r="G325">
        <v>2003</v>
      </c>
      <c r="H325" t="s">
        <v>81</v>
      </c>
      <c r="I325" t="s">
        <v>162</v>
      </c>
      <c r="J325" t="s">
        <v>23</v>
      </c>
      <c r="K325">
        <v>8.1999999999999993</v>
      </c>
      <c r="L325">
        <v>17981954</v>
      </c>
      <c r="M325">
        <v>4146648</v>
      </c>
      <c r="N325">
        <v>71</v>
      </c>
      <c r="O325" t="s">
        <v>41</v>
      </c>
      <c r="P325" t="s">
        <v>87</v>
      </c>
    </row>
    <row r="326" spans="1:16" x14ac:dyDescent="0.35">
      <c r="A326" t="s">
        <v>803</v>
      </c>
      <c r="B326" t="s">
        <v>804</v>
      </c>
      <c r="C326" t="s">
        <v>53</v>
      </c>
      <c r="E326" t="s">
        <v>45</v>
      </c>
      <c r="F326" s="1">
        <v>44250</v>
      </c>
      <c r="G326">
        <v>2015</v>
      </c>
      <c r="H326" t="s">
        <v>63</v>
      </c>
      <c r="I326" t="s">
        <v>71</v>
      </c>
      <c r="J326" t="s">
        <v>96</v>
      </c>
      <c r="K326">
        <v>7.8</v>
      </c>
      <c r="L326">
        <v>4996465</v>
      </c>
      <c r="M326">
        <v>3155259</v>
      </c>
      <c r="N326">
        <v>53</v>
      </c>
      <c r="P326" t="s">
        <v>50</v>
      </c>
    </row>
    <row r="327" spans="1:16" x14ac:dyDescent="0.35">
      <c r="A327" t="s">
        <v>805</v>
      </c>
      <c r="B327" t="s">
        <v>806</v>
      </c>
      <c r="C327" t="s">
        <v>35</v>
      </c>
      <c r="D327" t="s">
        <v>19</v>
      </c>
      <c r="E327" t="s">
        <v>55</v>
      </c>
      <c r="F327" s="1">
        <v>46005</v>
      </c>
      <c r="G327">
        <v>2017</v>
      </c>
      <c r="H327" t="s">
        <v>38</v>
      </c>
      <c r="I327" t="s">
        <v>64</v>
      </c>
      <c r="J327" t="s">
        <v>133</v>
      </c>
      <c r="K327">
        <v>6.9</v>
      </c>
      <c r="L327">
        <v>7533101</v>
      </c>
      <c r="M327">
        <v>839657</v>
      </c>
      <c r="N327">
        <v>49</v>
      </c>
      <c r="O327" t="s">
        <v>104</v>
      </c>
      <c r="P327" t="s">
        <v>42</v>
      </c>
    </row>
    <row r="328" spans="1:16" x14ac:dyDescent="0.35">
      <c r="A328" t="s">
        <v>807</v>
      </c>
      <c r="B328" t="s">
        <v>808</v>
      </c>
      <c r="C328" t="s">
        <v>84</v>
      </c>
      <c r="D328" t="s">
        <v>156</v>
      </c>
      <c r="E328" t="s">
        <v>55</v>
      </c>
      <c r="F328" s="1">
        <v>45154</v>
      </c>
      <c r="G328">
        <v>2014</v>
      </c>
      <c r="H328" t="s">
        <v>107</v>
      </c>
      <c r="I328" t="s">
        <v>472</v>
      </c>
      <c r="J328" t="s">
        <v>40</v>
      </c>
      <c r="K328">
        <v>7.4</v>
      </c>
      <c r="L328">
        <v>16426850</v>
      </c>
      <c r="M328">
        <v>1490822</v>
      </c>
      <c r="N328">
        <v>94</v>
      </c>
      <c r="O328" t="s">
        <v>41</v>
      </c>
    </row>
    <row r="329" spans="1:16" x14ac:dyDescent="0.35">
      <c r="A329" t="s">
        <v>809</v>
      </c>
      <c r="B329" t="s">
        <v>810</v>
      </c>
      <c r="D329" t="s">
        <v>156</v>
      </c>
      <c r="E329" t="s">
        <v>80</v>
      </c>
      <c r="F329" s="1">
        <v>42364</v>
      </c>
      <c r="G329">
        <v>2000</v>
      </c>
      <c r="H329" t="s">
        <v>38</v>
      </c>
      <c r="I329" t="s">
        <v>56</v>
      </c>
      <c r="J329" t="s">
        <v>57</v>
      </c>
      <c r="K329">
        <v>8</v>
      </c>
      <c r="L329">
        <v>990483</v>
      </c>
      <c r="M329">
        <v>3444464</v>
      </c>
      <c r="N329">
        <v>57</v>
      </c>
      <c r="O329" t="s">
        <v>65</v>
      </c>
      <c r="P329" t="s">
        <v>87</v>
      </c>
    </row>
    <row r="330" spans="1:16" x14ac:dyDescent="0.35">
      <c r="A330" t="s">
        <v>811</v>
      </c>
      <c r="B330" t="s">
        <v>812</v>
      </c>
      <c r="C330" t="s">
        <v>53</v>
      </c>
      <c r="D330" t="s">
        <v>27</v>
      </c>
      <c r="E330" t="s">
        <v>55</v>
      </c>
      <c r="F330" s="1">
        <v>44213</v>
      </c>
      <c r="G330">
        <v>2013</v>
      </c>
      <c r="H330" t="s">
        <v>85</v>
      </c>
      <c r="I330" t="s">
        <v>64</v>
      </c>
      <c r="J330" t="s">
        <v>72</v>
      </c>
      <c r="K330">
        <v>8.1999999999999993</v>
      </c>
      <c r="L330">
        <v>3512439</v>
      </c>
      <c r="M330">
        <v>4181872</v>
      </c>
      <c r="N330">
        <v>93</v>
      </c>
      <c r="O330" t="s">
        <v>24</v>
      </c>
      <c r="P330" t="s">
        <v>32</v>
      </c>
    </row>
    <row r="331" spans="1:16" x14ac:dyDescent="0.35">
      <c r="A331" t="s">
        <v>813</v>
      </c>
      <c r="B331" t="s">
        <v>814</v>
      </c>
      <c r="C331" t="s">
        <v>18</v>
      </c>
      <c r="D331" t="s">
        <v>27</v>
      </c>
      <c r="E331" t="s">
        <v>99</v>
      </c>
      <c r="F331" s="1">
        <v>45445</v>
      </c>
      <c r="G331">
        <v>2002</v>
      </c>
      <c r="H331" t="s">
        <v>81</v>
      </c>
      <c r="I331" t="s">
        <v>115</v>
      </c>
      <c r="J331" t="s">
        <v>100</v>
      </c>
      <c r="K331">
        <v>5</v>
      </c>
      <c r="L331">
        <v>17957175</v>
      </c>
      <c r="M331">
        <v>4301123</v>
      </c>
      <c r="N331">
        <v>73</v>
      </c>
      <c r="O331" t="s">
        <v>31</v>
      </c>
      <c r="P331" t="s">
        <v>42</v>
      </c>
    </row>
    <row r="332" spans="1:16" x14ac:dyDescent="0.35">
      <c r="A332" t="s">
        <v>815</v>
      </c>
      <c r="B332" t="s">
        <v>816</v>
      </c>
      <c r="C332" t="s">
        <v>84</v>
      </c>
      <c r="D332" t="s">
        <v>90</v>
      </c>
      <c r="E332" t="s">
        <v>131</v>
      </c>
      <c r="G332">
        <v>2015</v>
      </c>
      <c r="I332" t="s">
        <v>817</v>
      </c>
      <c r="J332" t="s">
        <v>76</v>
      </c>
      <c r="K332">
        <v>6.7</v>
      </c>
      <c r="L332">
        <v>21250147</v>
      </c>
      <c r="M332">
        <v>1729554</v>
      </c>
      <c r="N332">
        <v>83</v>
      </c>
      <c r="P332" t="s">
        <v>32</v>
      </c>
    </row>
    <row r="333" spans="1:16" x14ac:dyDescent="0.35">
      <c r="A333" t="s">
        <v>818</v>
      </c>
      <c r="B333" t="s">
        <v>819</v>
      </c>
      <c r="C333" t="s">
        <v>53</v>
      </c>
      <c r="D333" t="s">
        <v>75</v>
      </c>
      <c r="E333" t="s">
        <v>80</v>
      </c>
      <c r="F333" s="1">
        <v>42878</v>
      </c>
      <c r="G333">
        <v>2023</v>
      </c>
      <c r="H333" t="s">
        <v>85</v>
      </c>
      <c r="I333" t="s">
        <v>39</v>
      </c>
      <c r="K333">
        <v>7.6</v>
      </c>
      <c r="L333">
        <v>22962813</v>
      </c>
      <c r="M333">
        <v>400237</v>
      </c>
      <c r="N333">
        <v>77</v>
      </c>
      <c r="O333" t="s">
        <v>24</v>
      </c>
      <c r="P333" t="s">
        <v>32</v>
      </c>
    </row>
    <row r="334" spans="1:16" x14ac:dyDescent="0.35">
      <c r="A334" t="s">
        <v>820</v>
      </c>
      <c r="B334" t="s">
        <v>821</v>
      </c>
      <c r="C334" t="s">
        <v>35</v>
      </c>
      <c r="D334" t="s">
        <v>75</v>
      </c>
      <c r="E334" t="s">
        <v>113</v>
      </c>
      <c r="F334" s="1">
        <v>44968</v>
      </c>
      <c r="G334">
        <v>2004</v>
      </c>
      <c r="H334" t="s">
        <v>21</v>
      </c>
      <c r="I334" t="s">
        <v>136</v>
      </c>
      <c r="J334" t="s">
        <v>48</v>
      </c>
      <c r="K334">
        <v>5</v>
      </c>
      <c r="L334">
        <v>-739</v>
      </c>
      <c r="M334">
        <v>957771</v>
      </c>
      <c r="N334">
        <v>68</v>
      </c>
      <c r="O334" t="s">
        <v>91</v>
      </c>
    </row>
    <row r="335" spans="1:16" x14ac:dyDescent="0.35">
      <c r="A335" t="s">
        <v>822</v>
      </c>
      <c r="B335" t="s">
        <v>823</v>
      </c>
      <c r="C335" t="s">
        <v>53</v>
      </c>
      <c r="E335" t="s">
        <v>28</v>
      </c>
      <c r="F335" s="1">
        <v>44657</v>
      </c>
      <c r="G335">
        <v>2007</v>
      </c>
      <c r="I335" t="s">
        <v>71</v>
      </c>
      <c r="J335" t="s">
        <v>48</v>
      </c>
      <c r="K335">
        <v>9.1</v>
      </c>
      <c r="L335">
        <v>14919264</v>
      </c>
      <c r="M335">
        <v>3251204</v>
      </c>
      <c r="N335">
        <v>51</v>
      </c>
      <c r="O335" t="s">
        <v>41</v>
      </c>
      <c r="P335" t="s">
        <v>87</v>
      </c>
    </row>
    <row r="336" spans="1:16" x14ac:dyDescent="0.35">
      <c r="A336" t="s">
        <v>824</v>
      </c>
      <c r="B336" t="s">
        <v>825</v>
      </c>
      <c r="C336" t="s">
        <v>35</v>
      </c>
      <c r="D336" t="s">
        <v>61</v>
      </c>
      <c r="E336" t="s">
        <v>113</v>
      </c>
      <c r="F336" s="1">
        <v>42566</v>
      </c>
      <c r="G336">
        <v>2014</v>
      </c>
      <c r="I336" t="s">
        <v>95</v>
      </c>
      <c r="K336">
        <v>9.4</v>
      </c>
      <c r="L336">
        <v>3354875</v>
      </c>
      <c r="M336">
        <v>4938305</v>
      </c>
      <c r="N336">
        <v>120</v>
      </c>
      <c r="O336" t="s">
        <v>58</v>
      </c>
      <c r="P336" t="s">
        <v>42</v>
      </c>
    </row>
    <row r="337" spans="1:16" x14ac:dyDescent="0.35">
      <c r="A337" t="s">
        <v>826</v>
      </c>
      <c r="B337" t="s">
        <v>827</v>
      </c>
      <c r="C337" t="s">
        <v>53</v>
      </c>
      <c r="D337" t="s">
        <v>75</v>
      </c>
      <c r="E337" t="s">
        <v>62</v>
      </c>
      <c r="F337" s="1">
        <v>43494</v>
      </c>
      <c r="G337">
        <v>2016</v>
      </c>
      <c r="H337" t="s">
        <v>85</v>
      </c>
      <c r="I337" t="s">
        <v>39</v>
      </c>
      <c r="J337" t="s">
        <v>76</v>
      </c>
      <c r="K337">
        <v>6.2</v>
      </c>
      <c r="L337">
        <v>3727368</v>
      </c>
      <c r="M337">
        <v>2101722</v>
      </c>
      <c r="N337">
        <v>79</v>
      </c>
      <c r="O337" t="s">
        <v>91</v>
      </c>
    </row>
    <row r="338" spans="1:16" x14ac:dyDescent="0.35">
      <c r="A338" t="s">
        <v>828</v>
      </c>
      <c r="B338" t="s">
        <v>829</v>
      </c>
      <c r="C338" t="s">
        <v>53</v>
      </c>
      <c r="D338" t="s">
        <v>36</v>
      </c>
      <c r="E338" t="s">
        <v>99</v>
      </c>
      <c r="F338" s="1">
        <v>44196</v>
      </c>
      <c r="G338">
        <v>2018</v>
      </c>
      <c r="I338" t="s">
        <v>95</v>
      </c>
      <c r="K338">
        <v>6.1</v>
      </c>
      <c r="L338">
        <v>7146934</v>
      </c>
      <c r="M338">
        <v>1388600</v>
      </c>
      <c r="N338">
        <v>68</v>
      </c>
      <c r="O338" t="s">
        <v>91</v>
      </c>
      <c r="P338" t="s">
        <v>42</v>
      </c>
    </row>
    <row r="339" spans="1:16" x14ac:dyDescent="0.35">
      <c r="A339" t="s">
        <v>830</v>
      </c>
      <c r="B339" t="s">
        <v>831</v>
      </c>
      <c r="C339" t="s">
        <v>35</v>
      </c>
      <c r="D339" t="s">
        <v>90</v>
      </c>
      <c r="E339" t="s">
        <v>131</v>
      </c>
      <c r="F339" s="1">
        <v>42401</v>
      </c>
      <c r="G339">
        <v>2020</v>
      </c>
      <c r="H339" t="s">
        <v>121</v>
      </c>
      <c r="I339" t="s">
        <v>162</v>
      </c>
      <c r="J339" t="s">
        <v>103</v>
      </c>
      <c r="K339">
        <v>5.6</v>
      </c>
      <c r="L339">
        <v>4544991</v>
      </c>
      <c r="M339">
        <v>1079184</v>
      </c>
      <c r="N339">
        <v>63</v>
      </c>
      <c r="O339" t="s">
        <v>49</v>
      </c>
    </row>
    <row r="340" spans="1:16" x14ac:dyDescent="0.35">
      <c r="A340" t="s">
        <v>832</v>
      </c>
      <c r="B340" t="s">
        <v>833</v>
      </c>
      <c r="C340" t="s">
        <v>79</v>
      </c>
      <c r="D340" t="s">
        <v>156</v>
      </c>
      <c r="E340" t="s">
        <v>28</v>
      </c>
      <c r="G340">
        <v>2013</v>
      </c>
      <c r="H340" t="s">
        <v>63</v>
      </c>
      <c r="I340" t="s">
        <v>170</v>
      </c>
      <c r="J340" t="s">
        <v>48</v>
      </c>
      <c r="K340">
        <v>5.0999999999999996</v>
      </c>
      <c r="L340">
        <v>16766000</v>
      </c>
      <c r="M340">
        <v>2742429</v>
      </c>
      <c r="N340">
        <v>58</v>
      </c>
      <c r="O340" t="s">
        <v>123</v>
      </c>
      <c r="P340" t="s">
        <v>50</v>
      </c>
    </row>
    <row r="341" spans="1:16" x14ac:dyDescent="0.35">
      <c r="A341" t="s">
        <v>834</v>
      </c>
      <c r="B341" t="s">
        <v>835</v>
      </c>
      <c r="C341" t="s">
        <v>84</v>
      </c>
      <c r="D341" t="s">
        <v>27</v>
      </c>
      <c r="E341" t="s">
        <v>20</v>
      </c>
      <c r="F341" s="1">
        <v>42645</v>
      </c>
      <c r="G341">
        <v>2018</v>
      </c>
      <c r="H341" t="s">
        <v>21</v>
      </c>
      <c r="I341" t="s">
        <v>627</v>
      </c>
      <c r="J341" t="s">
        <v>57</v>
      </c>
      <c r="K341">
        <v>8.5</v>
      </c>
      <c r="L341">
        <v>1552799</v>
      </c>
      <c r="M341">
        <v>2561923</v>
      </c>
      <c r="N341">
        <v>94</v>
      </c>
      <c r="O341" t="s">
        <v>104</v>
      </c>
      <c r="P341" t="s">
        <v>32</v>
      </c>
    </row>
    <row r="342" spans="1:16" x14ac:dyDescent="0.35">
      <c r="A342" t="s">
        <v>836</v>
      </c>
      <c r="B342" t="s">
        <v>837</v>
      </c>
      <c r="C342" t="s">
        <v>53</v>
      </c>
      <c r="D342" t="s">
        <v>36</v>
      </c>
      <c r="E342" t="s">
        <v>28</v>
      </c>
      <c r="F342" s="1">
        <v>42715</v>
      </c>
      <c r="G342">
        <v>2024</v>
      </c>
      <c r="H342" t="s">
        <v>114</v>
      </c>
      <c r="I342" t="s">
        <v>39</v>
      </c>
      <c r="J342" t="s">
        <v>153</v>
      </c>
      <c r="K342">
        <v>5.5</v>
      </c>
      <c r="L342">
        <v>9040074</v>
      </c>
      <c r="M342">
        <v>2079259</v>
      </c>
      <c r="N342">
        <v>95</v>
      </c>
      <c r="O342" t="s">
        <v>65</v>
      </c>
    </row>
    <row r="343" spans="1:16" x14ac:dyDescent="0.35">
      <c r="A343" t="s">
        <v>838</v>
      </c>
      <c r="B343" t="s">
        <v>839</v>
      </c>
      <c r="C343" t="s">
        <v>18</v>
      </c>
      <c r="D343" t="s">
        <v>61</v>
      </c>
      <c r="E343" t="s">
        <v>37</v>
      </c>
      <c r="F343" s="1">
        <v>45907</v>
      </c>
      <c r="G343">
        <v>2023</v>
      </c>
      <c r="H343" t="s">
        <v>21</v>
      </c>
      <c r="I343" t="s">
        <v>788</v>
      </c>
      <c r="J343" t="s">
        <v>57</v>
      </c>
      <c r="K343">
        <v>6.5</v>
      </c>
      <c r="L343">
        <v>21828435</v>
      </c>
      <c r="M343">
        <v>2668479</v>
      </c>
      <c r="N343">
        <v>41</v>
      </c>
      <c r="P343" t="s">
        <v>87</v>
      </c>
    </row>
    <row r="344" spans="1:16" x14ac:dyDescent="0.35">
      <c r="A344" t="s">
        <v>840</v>
      </c>
      <c r="B344" t="s">
        <v>841</v>
      </c>
      <c r="D344" t="s">
        <v>156</v>
      </c>
      <c r="E344" t="s">
        <v>165</v>
      </c>
      <c r="F344" s="1">
        <v>45351</v>
      </c>
      <c r="G344">
        <v>2017</v>
      </c>
      <c r="I344" t="s">
        <v>56</v>
      </c>
      <c r="J344" t="s">
        <v>96</v>
      </c>
      <c r="K344">
        <v>5.4</v>
      </c>
      <c r="L344">
        <v>4268092</v>
      </c>
      <c r="M344">
        <v>2542884</v>
      </c>
      <c r="N344">
        <v>75</v>
      </c>
      <c r="O344" t="s">
        <v>41</v>
      </c>
    </row>
    <row r="345" spans="1:16" x14ac:dyDescent="0.35">
      <c r="A345" t="s">
        <v>842</v>
      </c>
      <c r="B345" t="s">
        <v>843</v>
      </c>
      <c r="C345" t="s">
        <v>18</v>
      </c>
      <c r="D345" t="s">
        <v>94</v>
      </c>
      <c r="E345" t="s">
        <v>62</v>
      </c>
      <c r="F345" s="1">
        <v>42780</v>
      </c>
      <c r="G345">
        <v>2017</v>
      </c>
      <c r="H345" t="s">
        <v>38</v>
      </c>
      <c r="I345" t="s">
        <v>179</v>
      </c>
      <c r="J345" t="s">
        <v>30</v>
      </c>
      <c r="K345">
        <v>7.5</v>
      </c>
      <c r="L345">
        <v>5108634</v>
      </c>
      <c r="M345">
        <v>2755112</v>
      </c>
      <c r="N345">
        <v>66</v>
      </c>
      <c r="O345" t="s">
        <v>24</v>
      </c>
    </row>
    <row r="346" spans="1:16" x14ac:dyDescent="0.35">
      <c r="A346" t="s">
        <v>844</v>
      </c>
      <c r="B346" t="s">
        <v>845</v>
      </c>
      <c r="C346" t="s">
        <v>35</v>
      </c>
      <c r="D346" t="s">
        <v>19</v>
      </c>
      <c r="E346" t="s">
        <v>55</v>
      </c>
      <c r="F346" s="1">
        <v>44245</v>
      </c>
      <c r="G346">
        <v>2011</v>
      </c>
      <c r="H346" t="s">
        <v>85</v>
      </c>
      <c r="I346" t="s">
        <v>118</v>
      </c>
      <c r="J346" t="s">
        <v>96</v>
      </c>
      <c r="K346">
        <v>6.9</v>
      </c>
      <c r="L346">
        <v>1476617</v>
      </c>
      <c r="M346">
        <v>2850801</v>
      </c>
      <c r="N346">
        <v>85</v>
      </c>
      <c r="O346" t="s">
        <v>65</v>
      </c>
      <c r="P346" t="s">
        <v>87</v>
      </c>
    </row>
    <row r="347" spans="1:16" x14ac:dyDescent="0.35">
      <c r="A347" t="s">
        <v>846</v>
      </c>
      <c r="B347" t="s">
        <v>847</v>
      </c>
      <c r="C347" t="s">
        <v>35</v>
      </c>
      <c r="D347" t="s">
        <v>156</v>
      </c>
      <c r="E347" t="s">
        <v>99</v>
      </c>
      <c r="F347" s="1">
        <v>45686</v>
      </c>
      <c r="G347">
        <v>2002</v>
      </c>
      <c r="H347" t="s">
        <v>121</v>
      </c>
      <c r="I347" t="s">
        <v>39</v>
      </c>
      <c r="J347" t="s">
        <v>76</v>
      </c>
      <c r="K347">
        <v>9.6</v>
      </c>
      <c r="L347">
        <v>17757801</v>
      </c>
      <c r="M347">
        <v>2374221</v>
      </c>
      <c r="N347">
        <v>74</v>
      </c>
      <c r="O347" t="s">
        <v>91</v>
      </c>
      <c r="P347" t="s">
        <v>32</v>
      </c>
    </row>
    <row r="348" spans="1:16" x14ac:dyDescent="0.35">
      <c r="A348" t="s">
        <v>848</v>
      </c>
      <c r="B348" t="s">
        <v>849</v>
      </c>
      <c r="C348" t="s">
        <v>84</v>
      </c>
      <c r="D348" t="s">
        <v>27</v>
      </c>
      <c r="E348" t="s">
        <v>165</v>
      </c>
      <c r="F348" s="1">
        <v>42014</v>
      </c>
      <c r="G348">
        <v>2001</v>
      </c>
      <c r="H348" t="s">
        <v>81</v>
      </c>
      <c r="J348" t="s">
        <v>23</v>
      </c>
      <c r="K348">
        <v>9.4</v>
      </c>
      <c r="L348">
        <v>5015694</v>
      </c>
      <c r="M348">
        <v>1311782</v>
      </c>
      <c r="N348">
        <v>94</v>
      </c>
      <c r="P348" t="s">
        <v>32</v>
      </c>
    </row>
    <row r="349" spans="1:16" x14ac:dyDescent="0.35">
      <c r="A349" t="s">
        <v>850</v>
      </c>
      <c r="B349" t="s">
        <v>851</v>
      </c>
      <c r="C349" t="s">
        <v>53</v>
      </c>
      <c r="D349" t="s">
        <v>36</v>
      </c>
      <c r="E349" t="s">
        <v>99</v>
      </c>
      <c r="F349" s="1">
        <v>45992</v>
      </c>
      <c r="G349">
        <v>2001</v>
      </c>
      <c r="H349" t="s">
        <v>85</v>
      </c>
      <c r="I349" t="s">
        <v>39</v>
      </c>
      <c r="J349" t="s">
        <v>96</v>
      </c>
      <c r="K349">
        <v>6.9</v>
      </c>
      <c r="L349">
        <v>22192844</v>
      </c>
      <c r="M349">
        <v>4439730</v>
      </c>
      <c r="N349">
        <v>81</v>
      </c>
      <c r="O349" t="s">
        <v>24</v>
      </c>
      <c r="P349" t="s">
        <v>32</v>
      </c>
    </row>
    <row r="350" spans="1:16" x14ac:dyDescent="0.35">
      <c r="A350" t="s">
        <v>852</v>
      </c>
      <c r="B350" t="s">
        <v>853</v>
      </c>
      <c r="D350" t="s">
        <v>19</v>
      </c>
      <c r="E350" t="s">
        <v>20</v>
      </c>
      <c r="F350" s="1">
        <v>46047</v>
      </c>
      <c r="G350">
        <v>2003</v>
      </c>
      <c r="H350" t="s">
        <v>107</v>
      </c>
      <c r="I350" t="s">
        <v>136</v>
      </c>
      <c r="J350" t="s">
        <v>30</v>
      </c>
      <c r="K350">
        <v>5.7</v>
      </c>
      <c r="L350">
        <v>21738803</v>
      </c>
      <c r="M350">
        <v>656717</v>
      </c>
      <c r="N350">
        <v>74</v>
      </c>
      <c r="O350" t="s">
        <v>65</v>
      </c>
      <c r="P350" t="s">
        <v>32</v>
      </c>
    </row>
    <row r="351" spans="1:16" x14ac:dyDescent="0.35">
      <c r="A351" t="s">
        <v>854</v>
      </c>
      <c r="B351" t="s">
        <v>855</v>
      </c>
      <c r="C351" t="s">
        <v>35</v>
      </c>
      <c r="D351" t="s">
        <v>90</v>
      </c>
      <c r="E351" t="s">
        <v>69</v>
      </c>
      <c r="F351" s="1">
        <v>46180</v>
      </c>
      <c r="G351">
        <v>2004</v>
      </c>
      <c r="H351" t="s">
        <v>38</v>
      </c>
      <c r="I351" t="s">
        <v>64</v>
      </c>
      <c r="J351" t="s">
        <v>100</v>
      </c>
      <c r="K351">
        <v>9.6</v>
      </c>
      <c r="L351">
        <v>7453260</v>
      </c>
      <c r="M351">
        <v>2863951</v>
      </c>
      <c r="N351">
        <v>120</v>
      </c>
      <c r="O351" t="s">
        <v>123</v>
      </c>
      <c r="P351" t="s">
        <v>50</v>
      </c>
    </row>
    <row r="352" spans="1:16" x14ac:dyDescent="0.35">
      <c r="A352" t="s">
        <v>856</v>
      </c>
      <c r="B352" t="s">
        <v>857</v>
      </c>
      <c r="D352" t="s">
        <v>94</v>
      </c>
      <c r="E352" t="s">
        <v>80</v>
      </c>
      <c r="F352" s="1">
        <v>43396</v>
      </c>
      <c r="G352">
        <v>2014</v>
      </c>
      <c r="H352" t="s">
        <v>121</v>
      </c>
      <c r="I352" t="s">
        <v>136</v>
      </c>
      <c r="J352" t="s">
        <v>133</v>
      </c>
      <c r="K352">
        <v>7.8</v>
      </c>
      <c r="L352">
        <v>17019083</v>
      </c>
      <c r="M352">
        <v>232582</v>
      </c>
      <c r="N352">
        <v>92</v>
      </c>
      <c r="O352" t="s">
        <v>49</v>
      </c>
      <c r="P352" t="s">
        <v>42</v>
      </c>
    </row>
    <row r="353" spans="1:16" x14ac:dyDescent="0.35">
      <c r="A353" t="s">
        <v>858</v>
      </c>
      <c r="B353" t="s">
        <v>859</v>
      </c>
      <c r="C353" t="s">
        <v>18</v>
      </c>
      <c r="D353" t="s">
        <v>19</v>
      </c>
      <c r="E353" t="s">
        <v>55</v>
      </c>
      <c r="F353" s="1">
        <v>44866</v>
      </c>
      <c r="G353">
        <v>2024</v>
      </c>
      <c r="H353" t="s">
        <v>46</v>
      </c>
      <c r="I353" t="s">
        <v>320</v>
      </c>
      <c r="J353" t="s">
        <v>40</v>
      </c>
      <c r="K353">
        <v>8.3000000000000007</v>
      </c>
      <c r="L353">
        <v>4780753</v>
      </c>
      <c r="M353">
        <v>1476042</v>
      </c>
      <c r="N353">
        <v>41</v>
      </c>
      <c r="P353" t="s">
        <v>87</v>
      </c>
    </row>
    <row r="354" spans="1:16" x14ac:dyDescent="0.35">
      <c r="A354" t="s">
        <v>860</v>
      </c>
      <c r="B354" t="s">
        <v>861</v>
      </c>
      <c r="C354" t="s">
        <v>53</v>
      </c>
      <c r="D354" t="s">
        <v>61</v>
      </c>
      <c r="E354" t="s">
        <v>45</v>
      </c>
      <c r="F354" s="1">
        <v>45356</v>
      </c>
      <c r="G354">
        <v>2010</v>
      </c>
      <c r="H354" t="s">
        <v>121</v>
      </c>
      <c r="I354" t="s">
        <v>56</v>
      </c>
      <c r="J354" t="s">
        <v>133</v>
      </c>
      <c r="K354">
        <v>5.9</v>
      </c>
      <c r="L354">
        <v>12109769</v>
      </c>
      <c r="M354">
        <v>612424</v>
      </c>
      <c r="N354">
        <v>99</v>
      </c>
      <c r="O354" t="s">
        <v>58</v>
      </c>
    </row>
    <row r="355" spans="1:16" x14ac:dyDescent="0.35">
      <c r="A355" t="s">
        <v>862</v>
      </c>
      <c r="B355" t="s">
        <v>861</v>
      </c>
      <c r="C355" t="s">
        <v>79</v>
      </c>
      <c r="D355" t="s">
        <v>61</v>
      </c>
      <c r="E355" t="s">
        <v>45</v>
      </c>
      <c r="F355" s="1">
        <v>42486</v>
      </c>
      <c r="G355">
        <v>2022</v>
      </c>
      <c r="H355" t="s">
        <v>38</v>
      </c>
      <c r="I355" t="s">
        <v>187</v>
      </c>
      <c r="J355" t="s">
        <v>133</v>
      </c>
      <c r="K355">
        <v>6.3</v>
      </c>
      <c r="L355">
        <v>8558744</v>
      </c>
      <c r="M355">
        <v>2923439</v>
      </c>
      <c r="N355">
        <v>44</v>
      </c>
      <c r="O355" t="s">
        <v>49</v>
      </c>
      <c r="P355" t="s">
        <v>32</v>
      </c>
    </row>
    <row r="356" spans="1:16" x14ac:dyDescent="0.35">
      <c r="A356" t="s">
        <v>863</v>
      </c>
      <c r="B356" t="s">
        <v>864</v>
      </c>
      <c r="C356" t="s">
        <v>79</v>
      </c>
      <c r="D356" t="s">
        <v>19</v>
      </c>
      <c r="F356" s="1">
        <v>44060</v>
      </c>
      <c r="G356">
        <v>2017</v>
      </c>
      <c r="H356" t="s">
        <v>70</v>
      </c>
      <c r="I356" t="s">
        <v>865</v>
      </c>
      <c r="J356" t="s">
        <v>23</v>
      </c>
      <c r="K356">
        <v>9.6999999999999993</v>
      </c>
      <c r="L356">
        <v>19299205</v>
      </c>
      <c r="M356">
        <v>482775</v>
      </c>
      <c r="N356">
        <v>99</v>
      </c>
      <c r="O356" t="s">
        <v>49</v>
      </c>
      <c r="P356" t="s">
        <v>50</v>
      </c>
    </row>
    <row r="357" spans="1:16" x14ac:dyDescent="0.35">
      <c r="A357" t="s">
        <v>866</v>
      </c>
      <c r="B357" t="s">
        <v>867</v>
      </c>
      <c r="C357" t="s">
        <v>35</v>
      </c>
      <c r="D357" t="s">
        <v>61</v>
      </c>
      <c r="E357" t="s">
        <v>165</v>
      </c>
      <c r="F357" s="1">
        <v>43085</v>
      </c>
      <c r="G357">
        <v>2014</v>
      </c>
      <c r="H357" t="s">
        <v>70</v>
      </c>
      <c r="I357" t="s">
        <v>64</v>
      </c>
      <c r="J357" t="s">
        <v>76</v>
      </c>
      <c r="K357">
        <v>4.5</v>
      </c>
      <c r="L357">
        <v>20105997</v>
      </c>
      <c r="M357">
        <v>3058714</v>
      </c>
      <c r="N357">
        <v>43</v>
      </c>
      <c r="O357" t="s">
        <v>58</v>
      </c>
      <c r="P357" t="s">
        <v>50</v>
      </c>
    </row>
    <row r="358" spans="1:16" x14ac:dyDescent="0.35">
      <c r="A358" t="s">
        <v>868</v>
      </c>
      <c r="B358" t="s">
        <v>869</v>
      </c>
      <c r="C358" t="s">
        <v>53</v>
      </c>
      <c r="E358" t="s">
        <v>80</v>
      </c>
      <c r="F358" s="1">
        <v>43890</v>
      </c>
      <c r="G358">
        <v>2014</v>
      </c>
      <c r="H358" t="s">
        <v>70</v>
      </c>
      <c r="I358" t="s">
        <v>56</v>
      </c>
      <c r="J358" t="s">
        <v>40</v>
      </c>
      <c r="K358">
        <v>9.8000000000000007</v>
      </c>
      <c r="L358">
        <v>13508845</v>
      </c>
      <c r="M358">
        <v>3951925</v>
      </c>
      <c r="N358">
        <v>60</v>
      </c>
      <c r="O358" t="s">
        <v>58</v>
      </c>
      <c r="P358" t="s">
        <v>32</v>
      </c>
    </row>
    <row r="359" spans="1:16" x14ac:dyDescent="0.35">
      <c r="A359" t="s">
        <v>870</v>
      </c>
      <c r="B359" t="s">
        <v>871</v>
      </c>
      <c r="C359" t="s">
        <v>35</v>
      </c>
      <c r="D359" t="s">
        <v>75</v>
      </c>
      <c r="E359" t="s">
        <v>69</v>
      </c>
      <c r="F359" s="1">
        <v>45039</v>
      </c>
      <c r="G359">
        <v>2002</v>
      </c>
      <c r="H359" t="s">
        <v>70</v>
      </c>
      <c r="I359" t="s">
        <v>162</v>
      </c>
      <c r="J359" t="s">
        <v>153</v>
      </c>
      <c r="K359">
        <v>7</v>
      </c>
      <c r="L359">
        <v>20457451</v>
      </c>
      <c r="M359">
        <v>3552081</v>
      </c>
      <c r="N359">
        <v>99</v>
      </c>
      <c r="O359" t="s">
        <v>49</v>
      </c>
      <c r="P359" t="s">
        <v>50</v>
      </c>
    </row>
    <row r="360" spans="1:16" x14ac:dyDescent="0.35">
      <c r="A360" t="s">
        <v>872</v>
      </c>
      <c r="B360" t="s">
        <v>873</v>
      </c>
      <c r="C360" t="s">
        <v>18</v>
      </c>
      <c r="D360" t="s">
        <v>19</v>
      </c>
      <c r="E360" t="s">
        <v>45</v>
      </c>
      <c r="F360" s="1">
        <v>43944</v>
      </c>
      <c r="G360">
        <v>2022</v>
      </c>
      <c r="H360" t="s">
        <v>21</v>
      </c>
      <c r="I360" t="s">
        <v>331</v>
      </c>
      <c r="J360" t="s">
        <v>57</v>
      </c>
      <c r="K360">
        <v>8</v>
      </c>
      <c r="L360">
        <v>6833451</v>
      </c>
      <c r="M360">
        <v>1911777</v>
      </c>
      <c r="N360">
        <v>61</v>
      </c>
      <c r="O360" t="s">
        <v>104</v>
      </c>
      <c r="P360" t="s">
        <v>87</v>
      </c>
    </row>
    <row r="361" spans="1:16" x14ac:dyDescent="0.35">
      <c r="A361" t="s">
        <v>874</v>
      </c>
      <c r="B361" t="s">
        <v>875</v>
      </c>
      <c r="D361" t="s">
        <v>61</v>
      </c>
      <c r="E361" t="s">
        <v>113</v>
      </c>
      <c r="F361" s="1">
        <v>42304</v>
      </c>
      <c r="G361">
        <v>2006</v>
      </c>
      <c r="H361" t="s">
        <v>114</v>
      </c>
      <c r="I361" t="s">
        <v>162</v>
      </c>
      <c r="J361" t="s">
        <v>100</v>
      </c>
      <c r="K361">
        <v>8.5</v>
      </c>
      <c r="L361">
        <v>10926780</v>
      </c>
      <c r="M361">
        <v>1758179</v>
      </c>
      <c r="N361">
        <v>79</v>
      </c>
      <c r="O361" t="s">
        <v>31</v>
      </c>
    </row>
    <row r="362" spans="1:16" x14ac:dyDescent="0.35">
      <c r="A362" t="s">
        <v>876</v>
      </c>
      <c r="B362" t="s">
        <v>875</v>
      </c>
      <c r="C362" t="s">
        <v>53</v>
      </c>
      <c r="F362" s="1">
        <v>42304</v>
      </c>
      <c r="G362">
        <v>2000</v>
      </c>
      <c r="H362" t="s">
        <v>70</v>
      </c>
      <c r="I362" t="s">
        <v>39</v>
      </c>
      <c r="J362" t="s">
        <v>133</v>
      </c>
      <c r="K362">
        <v>9.6</v>
      </c>
      <c r="L362">
        <v>14141019</v>
      </c>
      <c r="M362">
        <v>3678567</v>
      </c>
      <c r="N362">
        <v>93</v>
      </c>
      <c r="O362" t="s">
        <v>24</v>
      </c>
    </row>
    <row r="363" spans="1:16" x14ac:dyDescent="0.35">
      <c r="A363" t="s">
        <v>877</v>
      </c>
      <c r="B363" t="s">
        <v>878</v>
      </c>
      <c r="D363" t="s">
        <v>19</v>
      </c>
      <c r="E363" t="s">
        <v>20</v>
      </c>
      <c r="F363" s="1">
        <v>45840</v>
      </c>
      <c r="G363">
        <v>2032</v>
      </c>
      <c r="H363" t="s">
        <v>85</v>
      </c>
      <c r="I363" t="s">
        <v>162</v>
      </c>
      <c r="J363" t="s">
        <v>72</v>
      </c>
      <c r="K363">
        <v>9.6999999999999993</v>
      </c>
      <c r="L363">
        <v>152250</v>
      </c>
      <c r="M363">
        <v>4398846</v>
      </c>
      <c r="N363">
        <v>47</v>
      </c>
      <c r="O363" t="s">
        <v>49</v>
      </c>
      <c r="P363" t="s">
        <v>87</v>
      </c>
    </row>
    <row r="364" spans="1:16" x14ac:dyDescent="0.35">
      <c r="A364" t="s">
        <v>879</v>
      </c>
      <c r="B364" t="s">
        <v>880</v>
      </c>
      <c r="C364" t="s">
        <v>18</v>
      </c>
      <c r="E364" t="s">
        <v>99</v>
      </c>
      <c r="F364" s="1">
        <v>45246</v>
      </c>
      <c r="G364">
        <v>2003</v>
      </c>
      <c r="I364" t="s">
        <v>450</v>
      </c>
      <c r="J364" t="s">
        <v>72</v>
      </c>
      <c r="K364">
        <v>7.3</v>
      </c>
      <c r="L364">
        <v>19066767</v>
      </c>
      <c r="M364">
        <v>4874797</v>
      </c>
      <c r="N364">
        <v>73</v>
      </c>
      <c r="O364" t="s">
        <v>24</v>
      </c>
      <c r="P364" t="s">
        <v>87</v>
      </c>
    </row>
    <row r="365" spans="1:16" x14ac:dyDescent="0.35">
      <c r="A365" t="s">
        <v>881</v>
      </c>
      <c r="B365" t="s">
        <v>882</v>
      </c>
      <c r="C365" t="s">
        <v>79</v>
      </c>
      <c r="D365" t="s">
        <v>61</v>
      </c>
      <c r="E365" t="s">
        <v>45</v>
      </c>
      <c r="F365" s="1">
        <v>43054</v>
      </c>
      <c r="G365">
        <v>2026</v>
      </c>
      <c r="H365" t="s">
        <v>107</v>
      </c>
      <c r="I365" t="s">
        <v>508</v>
      </c>
      <c r="J365" t="s">
        <v>48</v>
      </c>
      <c r="K365">
        <v>8.6</v>
      </c>
      <c r="L365">
        <v>13882603</v>
      </c>
      <c r="M365">
        <v>1729289</v>
      </c>
      <c r="N365">
        <v>84</v>
      </c>
      <c r="O365" t="s">
        <v>31</v>
      </c>
      <c r="P365" t="s">
        <v>50</v>
      </c>
    </row>
    <row r="366" spans="1:16" x14ac:dyDescent="0.35">
      <c r="A366" t="s">
        <v>883</v>
      </c>
      <c r="B366" t="s">
        <v>884</v>
      </c>
      <c r="C366" t="s">
        <v>35</v>
      </c>
      <c r="D366" t="s">
        <v>75</v>
      </c>
      <c r="E366" t="s">
        <v>69</v>
      </c>
      <c r="F366" s="1">
        <v>44555</v>
      </c>
      <c r="G366">
        <v>2015</v>
      </c>
      <c r="H366" t="s">
        <v>114</v>
      </c>
      <c r="I366" t="s">
        <v>136</v>
      </c>
      <c r="J366" t="s">
        <v>133</v>
      </c>
      <c r="K366">
        <v>7.8</v>
      </c>
      <c r="L366">
        <v>24236588</v>
      </c>
      <c r="M366">
        <v>1050984</v>
      </c>
      <c r="N366">
        <v>79</v>
      </c>
      <c r="O366" t="s">
        <v>65</v>
      </c>
      <c r="P366" t="s">
        <v>42</v>
      </c>
    </row>
    <row r="367" spans="1:16" x14ac:dyDescent="0.35">
      <c r="A367" t="s">
        <v>885</v>
      </c>
      <c r="B367" t="s">
        <v>886</v>
      </c>
      <c r="C367" t="s">
        <v>79</v>
      </c>
      <c r="F367" s="1">
        <v>45750</v>
      </c>
      <c r="G367">
        <v>2005</v>
      </c>
      <c r="H367" t="s">
        <v>107</v>
      </c>
      <c r="I367" t="s">
        <v>195</v>
      </c>
      <c r="J367" t="s">
        <v>103</v>
      </c>
      <c r="K367">
        <v>9</v>
      </c>
      <c r="L367">
        <v>7641207</v>
      </c>
      <c r="M367">
        <v>4042507</v>
      </c>
      <c r="N367">
        <v>97</v>
      </c>
    </row>
    <row r="368" spans="1:16" x14ac:dyDescent="0.35">
      <c r="A368" t="s">
        <v>887</v>
      </c>
      <c r="B368" t="s">
        <v>886</v>
      </c>
      <c r="C368" t="s">
        <v>18</v>
      </c>
      <c r="E368" t="s">
        <v>131</v>
      </c>
      <c r="F368" s="1">
        <v>43825</v>
      </c>
      <c r="G368">
        <v>2020</v>
      </c>
      <c r="H368" t="s">
        <v>63</v>
      </c>
      <c r="I368" t="s">
        <v>86</v>
      </c>
      <c r="J368" t="s">
        <v>96</v>
      </c>
      <c r="K368">
        <v>4.5</v>
      </c>
      <c r="L368">
        <v>12833817</v>
      </c>
      <c r="M368">
        <v>1722471</v>
      </c>
      <c r="N368">
        <v>92</v>
      </c>
      <c r="O368" t="s">
        <v>123</v>
      </c>
      <c r="P368" t="s">
        <v>42</v>
      </c>
    </row>
    <row r="369" spans="1:16" x14ac:dyDescent="0.35">
      <c r="A369" t="s">
        <v>888</v>
      </c>
      <c r="B369" t="s">
        <v>889</v>
      </c>
      <c r="C369" t="s">
        <v>79</v>
      </c>
      <c r="D369" t="s">
        <v>61</v>
      </c>
      <c r="E369" t="s">
        <v>99</v>
      </c>
      <c r="F369" s="1">
        <v>46042</v>
      </c>
      <c r="G369">
        <v>2020</v>
      </c>
      <c r="H369" t="s">
        <v>81</v>
      </c>
      <c r="I369" t="s">
        <v>192</v>
      </c>
      <c r="J369" t="s">
        <v>57</v>
      </c>
      <c r="K369">
        <v>5.6</v>
      </c>
      <c r="L369">
        <v>4565295</v>
      </c>
      <c r="M369">
        <v>1025987</v>
      </c>
      <c r="N369">
        <v>69</v>
      </c>
      <c r="O369" t="s">
        <v>65</v>
      </c>
      <c r="P369" t="s">
        <v>87</v>
      </c>
    </row>
    <row r="370" spans="1:16" x14ac:dyDescent="0.35">
      <c r="A370" t="s">
        <v>890</v>
      </c>
      <c r="B370" t="s">
        <v>891</v>
      </c>
      <c r="C370" t="s">
        <v>53</v>
      </c>
      <c r="D370" t="s">
        <v>156</v>
      </c>
      <c r="E370" t="s">
        <v>69</v>
      </c>
      <c r="F370" s="1">
        <v>43608</v>
      </c>
      <c r="G370">
        <v>2009</v>
      </c>
      <c r="H370" t="s">
        <v>46</v>
      </c>
      <c r="I370" t="s">
        <v>136</v>
      </c>
      <c r="J370" t="s">
        <v>133</v>
      </c>
      <c r="K370">
        <v>6.3</v>
      </c>
      <c r="L370">
        <v>12809743</v>
      </c>
      <c r="M370">
        <v>2335240</v>
      </c>
      <c r="N370">
        <v>56</v>
      </c>
      <c r="O370" t="s">
        <v>58</v>
      </c>
    </row>
    <row r="371" spans="1:16" x14ac:dyDescent="0.35">
      <c r="A371" t="s">
        <v>892</v>
      </c>
      <c r="B371" t="s">
        <v>893</v>
      </c>
      <c r="C371" t="s">
        <v>84</v>
      </c>
      <c r="D371" t="s">
        <v>156</v>
      </c>
      <c r="E371" t="s">
        <v>131</v>
      </c>
      <c r="F371" s="1">
        <v>44281</v>
      </c>
      <c r="G371">
        <v>2021</v>
      </c>
      <c r="I371" t="s">
        <v>894</v>
      </c>
      <c r="K371">
        <v>8.5</v>
      </c>
      <c r="L371">
        <v>17951220</v>
      </c>
      <c r="M371">
        <v>1421993</v>
      </c>
      <c r="N371">
        <v>51</v>
      </c>
      <c r="O371" t="s">
        <v>91</v>
      </c>
      <c r="P371" t="s">
        <v>32</v>
      </c>
    </row>
    <row r="372" spans="1:16" x14ac:dyDescent="0.35">
      <c r="A372" t="s">
        <v>895</v>
      </c>
      <c r="B372" t="s">
        <v>896</v>
      </c>
      <c r="D372" t="s">
        <v>68</v>
      </c>
      <c r="E372" t="s">
        <v>69</v>
      </c>
      <c r="F372" s="1">
        <v>42151</v>
      </c>
      <c r="G372">
        <v>2003</v>
      </c>
      <c r="H372" t="s">
        <v>70</v>
      </c>
      <c r="I372" t="s">
        <v>56</v>
      </c>
      <c r="J372" t="s">
        <v>30</v>
      </c>
      <c r="K372">
        <v>5.0999999999999996</v>
      </c>
      <c r="L372">
        <v>19781938</v>
      </c>
      <c r="M372">
        <v>3533246</v>
      </c>
      <c r="N372">
        <v>61</v>
      </c>
      <c r="O372" t="s">
        <v>41</v>
      </c>
      <c r="P372" t="s">
        <v>32</v>
      </c>
    </row>
    <row r="373" spans="1:16" x14ac:dyDescent="0.35">
      <c r="A373" t="s">
        <v>897</v>
      </c>
      <c r="B373" t="s">
        <v>898</v>
      </c>
      <c r="E373" t="s">
        <v>99</v>
      </c>
      <c r="F373" s="1">
        <v>42372</v>
      </c>
      <c r="G373">
        <v>2024</v>
      </c>
      <c r="H373" t="s">
        <v>81</v>
      </c>
      <c r="I373" t="s">
        <v>95</v>
      </c>
      <c r="J373" t="s">
        <v>30</v>
      </c>
      <c r="K373">
        <v>9.3000000000000007</v>
      </c>
      <c r="L373">
        <v>15759247</v>
      </c>
      <c r="M373">
        <v>1856108</v>
      </c>
      <c r="N373">
        <v>44</v>
      </c>
      <c r="O373" t="s">
        <v>49</v>
      </c>
      <c r="P373" t="s">
        <v>32</v>
      </c>
    </row>
    <row r="374" spans="1:16" x14ac:dyDescent="0.35">
      <c r="A374" t="s">
        <v>899</v>
      </c>
      <c r="B374" t="s">
        <v>900</v>
      </c>
      <c r="C374" t="s">
        <v>35</v>
      </c>
      <c r="E374" t="s">
        <v>165</v>
      </c>
      <c r="F374" s="1">
        <v>42357</v>
      </c>
      <c r="G374">
        <v>2011</v>
      </c>
      <c r="H374" t="s">
        <v>38</v>
      </c>
      <c r="J374" t="s">
        <v>57</v>
      </c>
      <c r="K374">
        <v>8.9</v>
      </c>
      <c r="L374">
        <v>16432546</v>
      </c>
      <c r="M374">
        <v>4061136</v>
      </c>
      <c r="N374">
        <v>96</v>
      </c>
      <c r="O374" t="s">
        <v>91</v>
      </c>
      <c r="P374" t="s">
        <v>32</v>
      </c>
    </row>
    <row r="375" spans="1:16" x14ac:dyDescent="0.35">
      <c r="A375" t="s">
        <v>901</v>
      </c>
      <c r="B375" t="s">
        <v>902</v>
      </c>
      <c r="C375" t="s">
        <v>79</v>
      </c>
      <c r="D375" t="s">
        <v>94</v>
      </c>
      <c r="E375" t="s">
        <v>131</v>
      </c>
      <c r="F375" s="1">
        <v>42709</v>
      </c>
      <c r="G375">
        <v>2009</v>
      </c>
      <c r="H375" t="s">
        <v>63</v>
      </c>
      <c r="I375" t="s">
        <v>199</v>
      </c>
      <c r="J375" t="s">
        <v>40</v>
      </c>
      <c r="K375">
        <v>6.7</v>
      </c>
      <c r="L375">
        <v>185186</v>
      </c>
      <c r="M375">
        <v>1252104</v>
      </c>
      <c r="N375">
        <v>53</v>
      </c>
      <c r="O375" t="s">
        <v>41</v>
      </c>
      <c r="P375" t="s">
        <v>42</v>
      </c>
    </row>
    <row r="376" spans="1:16" x14ac:dyDescent="0.35">
      <c r="A376" t="s">
        <v>903</v>
      </c>
      <c r="B376" t="s">
        <v>904</v>
      </c>
      <c r="C376" t="s">
        <v>35</v>
      </c>
      <c r="E376" t="s">
        <v>20</v>
      </c>
      <c r="F376" s="1">
        <v>43936</v>
      </c>
      <c r="G376">
        <v>2001</v>
      </c>
      <c r="H376" t="s">
        <v>63</v>
      </c>
      <c r="I376" t="s">
        <v>71</v>
      </c>
      <c r="J376" t="s">
        <v>30</v>
      </c>
      <c r="K376">
        <v>9.3000000000000007</v>
      </c>
      <c r="L376">
        <v>13985256</v>
      </c>
      <c r="M376">
        <v>4111342</v>
      </c>
      <c r="N376">
        <v>98</v>
      </c>
      <c r="O376" t="s">
        <v>65</v>
      </c>
      <c r="P376" t="s">
        <v>50</v>
      </c>
    </row>
    <row r="377" spans="1:16" x14ac:dyDescent="0.35">
      <c r="A377" t="s">
        <v>905</v>
      </c>
      <c r="B377" t="s">
        <v>906</v>
      </c>
      <c r="C377" t="s">
        <v>35</v>
      </c>
      <c r="D377" t="s">
        <v>27</v>
      </c>
      <c r="E377" t="s">
        <v>62</v>
      </c>
      <c r="F377" s="1">
        <v>42951</v>
      </c>
      <c r="G377">
        <v>2015</v>
      </c>
      <c r="H377" t="s">
        <v>46</v>
      </c>
      <c r="I377" t="s">
        <v>118</v>
      </c>
      <c r="J377" t="s">
        <v>103</v>
      </c>
      <c r="K377">
        <v>8.3000000000000007</v>
      </c>
      <c r="L377">
        <v>3944681</v>
      </c>
      <c r="M377">
        <v>843996</v>
      </c>
      <c r="N377">
        <v>92</v>
      </c>
      <c r="O377" t="s">
        <v>31</v>
      </c>
      <c r="P377" t="s">
        <v>32</v>
      </c>
    </row>
    <row r="378" spans="1:16" x14ac:dyDescent="0.35">
      <c r="A378" t="s">
        <v>907</v>
      </c>
      <c r="B378" t="s">
        <v>908</v>
      </c>
      <c r="C378" t="s">
        <v>35</v>
      </c>
      <c r="D378" t="s">
        <v>61</v>
      </c>
      <c r="F378" s="1">
        <v>43655</v>
      </c>
      <c r="G378">
        <v>2019</v>
      </c>
      <c r="H378" t="s">
        <v>63</v>
      </c>
      <c r="I378" t="s">
        <v>95</v>
      </c>
      <c r="J378" t="s">
        <v>48</v>
      </c>
      <c r="K378">
        <v>5.0999999999999996</v>
      </c>
      <c r="L378">
        <v>24389066</v>
      </c>
      <c r="M378">
        <v>1967945</v>
      </c>
      <c r="N378">
        <v>79</v>
      </c>
      <c r="O378" t="s">
        <v>123</v>
      </c>
      <c r="P378" t="s">
        <v>87</v>
      </c>
    </row>
    <row r="379" spans="1:16" x14ac:dyDescent="0.35">
      <c r="A379" t="s">
        <v>909</v>
      </c>
      <c r="B379" t="s">
        <v>910</v>
      </c>
      <c r="D379" t="s">
        <v>68</v>
      </c>
      <c r="E379" t="s">
        <v>165</v>
      </c>
      <c r="F379" s="1">
        <v>46200</v>
      </c>
      <c r="G379">
        <v>2014</v>
      </c>
      <c r="H379" t="s">
        <v>63</v>
      </c>
      <c r="I379" t="s">
        <v>95</v>
      </c>
      <c r="J379" t="s">
        <v>96</v>
      </c>
      <c r="K379">
        <v>8.6999999999999993</v>
      </c>
      <c r="L379">
        <v>9583546</v>
      </c>
      <c r="M379">
        <v>433518</v>
      </c>
      <c r="N379">
        <v>69</v>
      </c>
      <c r="O379" t="s">
        <v>104</v>
      </c>
      <c r="P379" t="s">
        <v>42</v>
      </c>
    </row>
    <row r="380" spans="1:16" x14ac:dyDescent="0.35">
      <c r="A380" t="s">
        <v>911</v>
      </c>
      <c r="B380" t="s">
        <v>912</v>
      </c>
      <c r="D380" t="s">
        <v>27</v>
      </c>
      <c r="E380" t="s">
        <v>37</v>
      </c>
      <c r="F380" s="1">
        <v>43779</v>
      </c>
      <c r="G380">
        <v>2014</v>
      </c>
      <c r="H380" t="s">
        <v>63</v>
      </c>
      <c r="I380" t="s">
        <v>56</v>
      </c>
      <c r="J380" t="s">
        <v>57</v>
      </c>
      <c r="K380">
        <v>6.5</v>
      </c>
      <c r="L380">
        <v>5151369</v>
      </c>
      <c r="M380">
        <v>2345455</v>
      </c>
      <c r="N380">
        <v>65</v>
      </c>
      <c r="O380" t="s">
        <v>24</v>
      </c>
    </row>
    <row r="381" spans="1:16" x14ac:dyDescent="0.35">
      <c r="A381" t="s">
        <v>913</v>
      </c>
      <c r="B381" t="s">
        <v>914</v>
      </c>
      <c r="C381" t="s">
        <v>53</v>
      </c>
      <c r="E381" t="s">
        <v>69</v>
      </c>
      <c r="F381" s="1">
        <v>42395</v>
      </c>
      <c r="G381">
        <v>2020</v>
      </c>
      <c r="H381" t="s">
        <v>46</v>
      </c>
      <c r="I381" t="s">
        <v>64</v>
      </c>
      <c r="J381" t="s">
        <v>103</v>
      </c>
      <c r="K381">
        <v>8.3000000000000007</v>
      </c>
      <c r="L381">
        <v>17318587</v>
      </c>
      <c r="M381">
        <v>1049874</v>
      </c>
      <c r="N381">
        <v>46</v>
      </c>
      <c r="O381" t="s">
        <v>49</v>
      </c>
    </row>
    <row r="382" spans="1:16" x14ac:dyDescent="0.35">
      <c r="A382" t="s">
        <v>915</v>
      </c>
      <c r="B382" t="s">
        <v>916</v>
      </c>
      <c r="C382" t="s">
        <v>84</v>
      </c>
      <c r="D382" t="s">
        <v>90</v>
      </c>
      <c r="E382" t="s">
        <v>69</v>
      </c>
      <c r="F382" s="1">
        <v>43933</v>
      </c>
      <c r="G382">
        <v>2020</v>
      </c>
      <c r="H382" t="s">
        <v>38</v>
      </c>
      <c r="I382" t="s">
        <v>917</v>
      </c>
      <c r="J382" t="s">
        <v>40</v>
      </c>
      <c r="K382">
        <v>5.2</v>
      </c>
      <c r="L382">
        <v>15871214</v>
      </c>
      <c r="M382">
        <v>2042253</v>
      </c>
      <c r="N382">
        <v>47</v>
      </c>
      <c r="O382" t="s">
        <v>31</v>
      </c>
      <c r="P382" t="s">
        <v>42</v>
      </c>
    </row>
    <row r="383" spans="1:16" x14ac:dyDescent="0.35">
      <c r="A383" t="s">
        <v>918</v>
      </c>
      <c r="B383" t="s">
        <v>919</v>
      </c>
      <c r="D383" t="s">
        <v>61</v>
      </c>
      <c r="E383" t="s">
        <v>69</v>
      </c>
      <c r="F383" s="1">
        <v>44152</v>
      </c>
      <c r="G383">
        <v>2006</v>
      </c>
      <c r="H383" t="s">
        <v>46</v>
      </c>
      <c r="I383" t="s">
        <v>71</v>
      </c>
      <c r="J383" t="s">
        <v>40</v>
      </c>
      <c r="K383">
        <v>7.5</v>
      </c>
      <c r="L383">
        <v>207619</v>
      </c>
      <c r="M383">
        <v>1522664</v>
      </c>
      <c r="N383">
        <v>79</v>
      </c>
      <c r="O383" t="s">
        <v>58</v>
      </c>
    </row>
    <row r="384" spans="1:16" x14ac:dyDescent="0.35">
      <c r="A384" t="s">
        <v>920</v>
      </c>
      <c r="B384" t="s">
        <v>921</v>
      </c>
      <c r="D384" t="s">
        <v>75</v>
      </c>
      <c r="E384" t="s">
        <v>80</v>
      </c>
      <c r="F384" s="1">
        <v>44060</v>
      </c>
      <c r="G384">
        <v>2012</v>
      </c>
      <c r="H384" t="s">
        <v>38</v>
      </c>
      <c r="I384" t="s">
        <v>71</v>
      </c>
      <c r="J384" t="s">
        <v>57</v>
      </c>
      <c r="K384">
        <v>7.6</v>
      </c>
      <c r="L384">
        <v>18983827</v>
      </c>
      <c r="M384">
        <v>3786937</v>
      </c>
      <c r="N384">
        <v>63</v>
      </c>
      <c r="O384" t="s">
        <v>58</v>
      </c>
      <c r="P384" t="s">
        <v>32</v>
      </c>
    </row>
    <row r="385" spans="1:16" x14ac:dyDescent="0.35">
      <c r="A385" t="s">
        <v>922</v>
      </c>
      <c r="B385" t="s">
        <v>923</v>
      </c>
      <c r="C385" t="s">
        <v>53</v>
      </c>
      <c r="D385" t="s">
        <v>94</v>
      </c>
      <c r="F385" s="1">
        <v>45882</v>
      </c>
      <c r="G385">
        <v>2032</v>
      </c>
      <c r="H385" t="s">
        <v>63</v>
      </c>
      <c r="J385" t="s">
        <v>103</v>
      </c>
      <c r="K385">
        <v>7.3</v>
      </c>
      <c r="L385">
        <v>15688748</v>
      </c>
      <c r="M385">
        <v>778561</v>
      </c>
      <c r="N385">
        <v>56</v>
      </c>
      <c r="O385" t="s">
        <v>91</v>
      </c>
    </row>
    <row r="386" spans="1:16" x14ac:dyDescent="0.35">
      <c r="A386" t="s">
        <v>924</v>
      </c>
      <c r="B386" t="s">
        <v>925</v>
      </c>
      <c r="C386" t="s">
        <v>35</v>
      </c>
      <c r="D386" t="s">
        <v>19</v>
      </c>
      <c r="E386" t="s">
        <v>45</v>
      </c>
      <c r="F386" s="1">
        <v>44471</v>
      </c>
      <c r="G386">
        <v>2011</v>
      </c>
      <c r="H386" t="s">
        <v>81</v>
      </c>
      <c r="I386" t="s">
        <v>64</v>
      </c>
      <c r="J386" t="s">
        <v>30</v>
      </c>
      <c r="K386">
        <v>4.5999999999999996</v>
      </c>
      <c r="L386">
        <v>22795450</v>
      </c>
      <c r="M386">
        <v>2516630</v>
      </c>
      <c r="N386">
        <v>68</v>
      </c>
      <c r="O386" t="s">
        <v>123</v>
      </c>
      <c r="P386" t="s">
        <v>50</v>
      </c>
    </row>
    <row r="387" spans="1:16" x14ac:dyDescent="0.35">
      <c r="A387" t="s">
        <v>926</v>
      </c>
      <c r="B387" t="s">
        <v>927</v>
      </c>
      <c r="D387" t="s">
        <v>94</v>
      </c>
      <c r="F387" s="1">
        <v>43783</v>
      </c>
      <c r="G387">
        <v>2001</v>
      </c>
      <c r="H387" t="s">
        <v>121</v>
      </c>
      <c r="I387" t="s">
        <v>162</v>
      </c>
      <c r="J387" t="s">
        <v>30</v>
      </c>
      <c r="K387">
        <v>7.1</v>
      </c>
      <c r="L387">
        <v>14136291</v>
      </c>
      <c r="M387">
        <v>3934193</v>
      </c>
      <c r="N387">
        <v>120</v>
      </c>
      <c r="O387" t="s">
        <v>41</v>
      </c>
      <c r="P387" t="s">
        <v>50</v>
      </c>
    </row>
    <row r="388" spans="1:16" x14ac:dyDescent="0.35">
      <c r="A388" t="s">
        <v>928</v>
      </c>
      <c r="B388" t="s">
        <v>929</v>
      </c>
      <c r="C388" t="s">
        <v>35</v>
      </c>
      <c r="D388" t="s">
        <v>19</v>
      </c>
      <c r="E388" t="s">
        <v>45</v>
      </c>
      <c r="F388" s="1">
        <v>42712</v>
      </c>
      <c r="G388">
        <v>2016</v>
      </c>
      <c r="H388" t="s">
        <v>38</v>
      </c>
      <c r="I388" t="s">
        <v>71</v>
      </c>
      <c r="J388" t="s">
        <v>23</v>
      </c>
      <c r="K388">
        <v>5</v>
      </c>
      <c r="L388">
        <v>23522598</v>
      </c>
      <c r="M388">
        <v>3196827</v>
      </c>
      <c r="N388">
        <v>81</v>
      </c>
    </row>
    <row r="389" spans="1:16" x14ac:dyDescent="0.35">
      <c r="A389" t="s">
        <v>930</v>
      </c>
      <c r="B389" t="s">
        <v>931</v>
      </c>
      <c r="C389" t="s">
        <v>84</v>
      </c>
      <c r="D389" t="s">
        <v>27</v>
      </c>
      <c r="E389" t="s">
        <v>55</v>
      </c>
      <c r="F389" s="1">
        <v>42735</v>
      </c>
      <c r="G389">
        <v>2005</v>
      </c>
      <c r="H389" t="s">
        <v>81</v>
      </c>
      <c r="I389" t="s">
        <v>262</v>
      </c>
      <c r="J389" t="s">
        <v>100</v>
      </c>
      <c r="K389">
        <v>9.6999999999999993</v>
      </c>
      <c r="L389">
        <v>13837107</v>
      </c>
      <c r="M389">
        <v>2865011</v>
      </c>
      <c r="N389">
        <v>51</v>
      </c>
      <c r="P389" t="s">
        <v>50</v>
      </c>
    </row>
    <row r="390" spans="1:16" x14ac:dyDescent="0.35">
      <c r="A390" t="s">
        <v>932</v>
      </c>
      <c r="B390" t="s">
        <v>933</v>
      </c>
      <c r="C390" t="s">
        <v>18</v>
      </c>
      <c r="D390" t="s">
        <v>75</v>
      </c>
      <c r="E390" t="s">
        <v>20</v>
      </c>
      <c r="F390" s="1">
        <v>43493</v>
      </c>
      <c r="G390">
        <v>2004</v>
      </c>
      <c r="H390" t="s">
        <v>107</v>
      </c>
      <c r="I390" t="s">
        <v>108</v>
      </c>
      <c r="J390" t="s">
        <v>100</v>
      </c>
      <c r="K390">
        <v>5.6</v>
      </c>
      <c r="L390">
        <v>3546094</v>
      </c>
      <c r="M390">
        <v>634719</v>
      </c>
      <c r="N390">
        <v>77</v>
      </c>
      <c r="O390" t="s">
        <v>65</v>
      </c>
      <c r="P390" t="s">
        <v>32</v>
      </c>
    </row>
    <row r="391" spans="1:16" x14ac:dyDescent="0.35">
      <c r="A391" t="s">
        <v>934</v>
      </c>
      <c r="B391" t="s">
        <v>935</v>
      </c>
      <c r="C391" t="s">
        <v>53</v>
      </c>
      <c r="D391" t="s">
        <v>54</v>
      </c>
      <c r="E391" t="s">
        <v>99</v>
      </c>
      <c r="F391" s="1">
        <v>44455</v>
      </c>
      <c r="G391">
        <v>2014</v>
      </c>
      <c r="H391" t="s">
        <v>70</v>
      </c>
      <c r="I391" t="s">
        <v>95</v>
      </c>
      <c r="J391" t="s">
        <v>153</v>
      </c>
      <c r="K391">
        <v>7.4</v>
      </c>
      <c r="L391">
        <v>9955415</v>
      </c>
      <c r="M391">
        <v>4060961</v>
      </c>
      <c r="N391">
        <v>64</v>
      </c>
      <c r="O391" t="s">
        <v>104</v>
      </c>
      <c r="P391" t="s">
        <v>50</v>
      </c>
    </row>
    <row r="392" spans="1:16" x14ac:dyDescent="0.35">
      <c r="A392" t="s">
        <v>936</v>
      </c>
      <c r="B392" t="s">
        <v>937</v>
      </c>
      <c r="C392" t="s">
        <v>79</v>
      </c>
      <c r="D392" t="s">
        <v>75</v>
      </c>
      <c r="E392" t="s">
        <v>69</v>
      </c>
      <c r="F392" s="1">
        <v>44632</v>
      </c>
      <c r="G392">
        <v>2022</v>
      </c>
      <c r="H392" t="s">
        <v>70</v>
      </c>
      <c r="I392" t="s">
        <v>150</v>
      </c>
      <c r="K392">
        <v>7.3</v>
      </c>
      <c r="L392">
        <v>23347074</v>
      </c>
      <c r="M392">
        <v>3951468</v>
      </c>
      <c r="N392">
        <v>59</v>
      </c>
      <c r="O392" t="s">
        <v>123</v>
      </c>
      <c r="P392" t="s">
        <v>87</v>
      </c>
    </row>
    <row r="393" spans="1:16" x14ac:dyDescent="0.35">
      <c r="A393" t="s">
        <v>938</v>
      </c>
      <c r="B393" t="s">
        <v>939</v>
      </c>
      <c r="C393" t="s">
        <v>53</v>
      </c>
      <c r="D393" t="s">
        <v>156</v>
      </c>
      <c r="E393" t="s">
        <v>165</v>
      </c>
      <c r="G393">
        <v>2001</v>
      </c>
      <c r="H393" t="s">
        <v>121</v>
      </c>
      <c r="I393" t="s">
        <v>136</v>
      </c>
      <c r="J393" t="s">
        <v>133</v>
      </c>
      <c r="K393">
        <v>5.3</v>
      </c>
      <c r="L393">
        <v>9505097</v>
      </c>
      <c r="M393">
        <v>3680903</v>
      </c>
      <c r="N393">
        <v>81</v>
      </c>
      <c r="O393" t="s">
        <v>91</v>
      </c>
    </row>
    <row r="394" spans="1:16" x14ac:dyDescent="0.35">
      <c r="A394" t="s">
        <v>940</v>
      </c>
      <c r="B394" t="s">
        <v>941</v>
      </c>
      <c r="C394" t="s">
        <v>53</v>
      </c>
      <c r="D394" t="s">
        <v>61</v>
      </c>
      <c r="E394" t="s">
        <v>113</v>
      </c>
      <c r="F394" s="1">
        <v>42635</v>
      </c>
      <c r="G394">
        <v>2018</v>
      </c>
      <c r="I394" t="s">
        <v>118</v>
      </c>
      <c r="J394" t="s">
        <v>153</v>
      </c>
      <c r="K394">
        <v>9.1999999999999993</v>
      </c>
      <c r="L394">
        <v>12017459</v>
      </c>
      <c r="M394">
        <v>608615</v>
      </c>
      <c r="N394">
        <v>74</v>
      </c>
      <c r="O394" t="s">
        <v>24</v>
      </c>
      <c r="P394" t="s">
        <v>32</v>
      </c>
    </row>
    <row r="395" spans="1:16" x14ac:dyDescent="0.35">
      <c r="A395" t="s">
        <v>942</v>
      </c>
      <c r="B395" t="s">
        <v>943</v>
      </c>
      <c r="C395" t="s">
        <v>84</v>
      </c>
      <c r="E395" t="s">
        <v>45</v>
      </c>
      <c r="F395" s="1">
        <v>43665</v>
      </c>
      <c r="G395">
        <v>2011</v>
      </c>
      <c r="H395" t="s">
        <v>121</v>
      </c>
      <c r="I395" t="s">
        <v>218</v>
      </c>
      <c r="J395" t="s">
        <v>103</v>
      </c>
      <c r="K395">
        <v>7</v>
      </c>
      <c r="L395">
        <v>9277663</v>
      </c>
      <c r="M395">
        <v>442824</v>
      </c>
      <c r="N395">
        <v>78</v>
      </c>
      <c r="O395" t="s">
        <v>31</v>
      </c>
      <c r="P395" t="s">
        <v>87</v>
      </c>
    </row>
    <row r="396" spans="1:16" x14ac:dyDescent="0.35">
      <c r="A396" t="s">
        <v>944</v>
      </c>
      <c r="B396" t="s">
        <v>945</v>
      </c>
      <c r="C396" t="s">
        <v>79</v>
      </c>
      <c r="D396" t="s">
        <v>19</v>
      </c>
      <c r="E396" t="s">
        <v>99</v>
      </c>
      <c r="F396" s="1">
        <v>42076</v>
      </c>
      <c r="G396">
        <v>2017</v>
      </c>
      <c r="I396" t="s">
        <v>747</v>
      </c>
      <c r="J396" t="s">
        <v>30</v>
      </c>
      <c r="K396">
        <v>4.9000000000000004</v>
      </c>
      <c r="L396">
        <v>12219797</v>
      </c>
      <c r="M396">
        <v>4198527</v>
      </c>
      <c r="N396">
        <v>40</v>
      </c>
      <c r="O396" t="s">
        <v>31</v>
      </c>
    </row>
    <row r="397" spans="1:16" x14ac:dyDescent="0.35">
      <c r="A397" t="s">
        <v>946</v>
      </c>
      <c r="B397" t="s">
        <v>947</v>
      </c>
      <c r="C397" t="s">
        <v>18</v>
      </c>
      <c r="D397" t="s">
        <v>27</v>
      </c>
      <c r="F397" s="1">
        <v>45034</v>
      </c>
      <c r="G397">
        <v>2025</v>
      </c>
      <c r="H397" t="s">
        <v>63</v>
      </c>
      <c r="I397" t="s">
        <v>331</v>
      </c>
      <c r="J397" t="s">
        <v>76</v>
      </c>
      <c r="K397">
        <v>7</v>
      </c>
      <c r="L397">
        <v>21118060</v>
      </c>
      <c r="M397">
        <v>4679602</v>
      </c>
      <c r="N397">
        <v>61</v>
      </c>
      <c r="O397" t="s">
        <v>104</v>
      </c>
      <c r="P397" t="s">
        <v>50</v>
      </c>
    </row>
    <row r="398" spans="1:16" x14ac:dyDescent="0.35">
      <c r="A398" t="s">
        <v>948</v>
      </c>
      <c r="B398" t="s">
        <v>949</v>
      </c>
      <c r="C398" t="s">
        <v>84</v>
      </c>
      <c r="D398" t="s">
        <v>61</v>
      </c>
      <c r="E398" t="s">
        <v>62</v>
      </c>
      <c r="F398" s="1">
        <v>42637</v>
      </c>
      <c r="G398">
        <v>2005</v>
      </c>
      <c r="H398" t="s">
        <v>85</v>
      </c>
      <c r="I398" t="s">
        <v>817</v>
      </c>
      <c r="J398" t="s">
        <v>40</v>
      </c>
      <c r="K398">
        <v>7.3</v>
      </c>
      <c r="L398">
        <v>14771373</v>
      </c>
      <c r="M398">
        <v>4590278</v>
      </c>
      <c r="N398">
        <v>75</v>
      </c>
      <c r="O398" t="s">
        <v>123</v>
      </c>
    </row>
    <row r="399" spans="1:16" x14ac:dyDescent="0.35">
      <c r="A399" t="s">
        <v>950</v>
      </c>
      <c r="B399" t="s">
        <v>951</v>
      </c>
      <c r="C399" t="s">
        <v>84</v>
      </c>
      <c r="D399" t="s">
        <v>90</v>
      </c>
      <c r="E399" t="s">
        <v>113</v>
      </c>
      <c r="F399" s="1">
        <v>45346</v>
      </c>
      <c r="G399">
        <v>2004</v>
      </c>
      <c r="H399" t="s">
        <v>114</v>
      </c>
      <c r="I399" t="s">
        <v>467</v>
      </c>
      <c r="J399" t="s">
        <v>103</v>
      </c>
      <c r="K399">
        <v>5.9</v>
      </c>
      <c r="L399">
        <v>15546268</v>
      </c>
      <c r="M399">
        <v>3651619</v>
      </c>
      <c r="N399">
        <v>60</v>
      </c>
      <c r="O399" t="s">
        <v>58</v>
      </c>
    </row>
    <row r="400" spans="1:16" x14ac:dyDescent="0.35">
      <c r="A400" t="s">
        <v>952</v>
      </c>
      <c r="B400" t="s">
        <v>953</v>
      </c>
      <c r="C400" t="s">
        <v>53</v>
      </c>
      <c r="D400" t="s">
        <v>68</v>
      </c>
      <c r="E400" t="s">
        <v>80</v>
      </c>
      <c r="F400" s="1">
        <v>44847</v>
      </c>
      <c r="G400">
        <v>2011</v>
      </c>
      <c r="H400" t="s">
        <v>63</v>
      </c>
      <c r="I400" t="s">
        <v>39</v>
      </c>
      <c r="J400" t="s">
        <v>48</v>
      </c>
      <c r="K400">
        <v>5.6</v>
      </c>
      <c r="L400">
        <v>4050652</v>
      </c>
      <c r="M400">
        <v>2357646</v>
      </c>
      <c r="N400">
        <v>71</v>
      </c>
      <c r="O400" t="s">
        <v>58</v>
      </c>
      <c r="P400" t="s">
        <v>50</v>
      </c>
    </row>
    <row r="401" spans="1:16" x14ac:dyDescent="0.35">
      <c r="A401" t="s">
        <v>954</v>
      </c>
      <c r="B401" t="s">
        <v>955</v>
      </c>
      <c r="D401" t="s">
        <v>90</v>
      </c>
      <c r="E401" t="s">
        <v>69</v>
      </c>
      <c r="F401" s="1">
        <v>45951</v>
      </c>
      <c r="G401">
        <v>2005</v>
      </c>
      <c r="H401" t="s">
        <v>70</v>
      </c>
      <c r="I401" t="s">
        <v>136</v>
      </c>
      <c r="J401" t="s">
        <v>100</v>
      </c>
      <c r="K401">
        <v>5.7</v>
      </c>
      <c r="L401">
        <v>8255932</v>
      </c>
      <c r="M401">
        <v>1535512</v>
      </c>
      <c r="N401">
        <v>84</v>
      </c>
      <c r="P401" t="s">
        <v>50</v>
      </c>
    </row>
    <row r="402" spans="1:16" x14ac:dyDescent="0.35">
      <c r="A402" t="s">
        <v>956</v>
      </c>
      <c r="B402" t="s">
        <v>957</v>
      </c>
      <c r="C402" t="s">
        <v>18</v>
      </c>
      <c r="E402" t="s">
        <v>99</v>
      </c>
      <c r="F402" s="1">
        <v>42755</v>
      </c>
      <c r="G402">
        <v>2015</v>
      </c>
      <c r="H402" t="s">
        <v>85</v>
      </c>
      <c r="I402" t="s">
        <v>958</v>
      </c>
      <c r="J402" t="s">
        <v>133</v>
      </c>
      <c r="K402">
        <v>8.6</v>
      </c>
      <c r="L402">
        <v>12529831</v>
      </c>
      <c r="M402">
        <v>2609883</v>
      </c>
      <c r="N402">
        <v>72</v>
      </c>
      <c r="O402" t="s">
        <v>123</v>
      </c>
      <c r="P402" t="s">
        <v>87</v>
      </c>
    </row>
    <row r="403" spans="1:16" x14ac:dyDescent="0.35">
      <c r="A403" t="s">
        <v>959</v>
      </c>
      <c r="B403" t="s">
        <v>960</v>
      </c>
      <c r="C403" t="s">
        <v>53</v>
      </c>
      <c r="D403" t="s">
        <v>54</v>
      </c>
      <c r="E403" t="s">
        <v>131</v>
      </c>
      <c r="F403" s="1">
        <v>42206</v>
      </c>
      <c r="G403">
        <v>2006</v>
      </c>
      <c r="H403" t="s">
        <v>85</v>
      </c>
      <c r="I403" t="s">
        <v>39</v>
      </c>
      <c r="J403" t="s">
        <v>30</v>
      </c>
      <c r="K403">
        <v>6.2</v>
      </c>
      <c r="L403">
        <v>19508257</v>
      </c>
      <c r="M403">
        <v>1223545</v>
      </c>
      <c r="N403">
        <v>71</v>
      </c>
      <c r="O403" t="s">
        <v>123</v>
      </c>
      <c r="P403" t="s">
        <v>42</v>
      </c>
    </row>
    <row r="404" spans="1:16" x14ac:dyDescent="0.35">
      <c r="A404" t="s">
        <v>961</v>
      </c>
      <c r="B404" t="s">
        <v>962</v>
      </c>
      <c r="C404" t="s">
        <v>79</v>
      </c>
      <c r="D404" t="s">
        <v>94</v>
      </c>
      <c r="E404" t="s">
        <v>165</v>
      </c>
      <c r="F404" s="1">
        <v>42613</v>
      </c>
      <c r="G404">
        <v>2020</v>
      </c>
      <c r="H404" t="s">
        <v>63</v>
      </c>
      <c r="I404" t="s">
        <v>963</v>
      </c>
      <c r="J404" t="s">
        <v>40</v>
      </c>
      <c r="K404">
        <v>5.3</v>
      </c>
      <c r="L404">
        <v>21888281</v>
      </c>
      <c r="M404">
        <v>1705144</v>
      </c>
      <c r="N404">
        <v>72</v>
      </c>
      <c r="O404" t="s">
        <v>123</v>
      </c>
      <c r="P404" t="s">
        <v>42</v>
      </c>
    </row>
    <row r="405" spans="1:16" x14ac:dyDescent="0.35">
      <c r="A405" t="s">
        <v>964</v>
      </c>
      <c r="B405" t="s">
        <v>965</v>
      </c>
      <c r="C405" t="s">
        <v>18</v>
      </c>
      <c r="E405" t="s">
        <v>99</v>
      </c>
      <c r="F405" s="1">
        <v>42928</v>
      </c>
      <c r="G405">
        <v>2010</v>
      </c>
      <c r="H405" t="s">
        <v>21</v>
      </c>
      <c r="I405" t="s">
        <v>966</v>
      </c>
      <c r="J405" t="s">
        <v>72</v>
      </c>
      <c r="K405">
        <v>7.2</v>
      </c>
      <c r="L405">
        <v>23812947</v>
      </c>
      <c r="M405">
        <v>4863078</v>
      </c>
      <c r="N405">
        <v>42</v>
      </c>
      <c r="O405" t="s">
        <v>123</v>
      </c>
      <c r="P405" t="s">
        <v>42</v>
      </c>
    </row>
    <row r="406" spans="1:16" x14ac:dyDescent="0.35">
      <c r="A406" t="s">
        <v>967</v>
      </c>
      <c r="B406" t="s">
        <v>968</v>
      </c>
      <c r="C406" t="s">
        <v>18</v>
      </c>
      <c r="D406" t="s">
        <v>27</v>
      </c>
      <c r="E406" t="s">
        <v>80</v>
      </c>
      <c r="F406" s="1">
        <v>46143</v>
      </c>
      <c r="G406">
        <v>2032</v>
      </c>
      <c r="H406" t="s">
        <v>114</v>
      </c>
      <c r="I406" t="s">
        <v>754</v>
      </c>
      <c r="J406" t="s">
        <v>23</v>
      </c>
      <c r="K406">
        <v>7.7</v>
      </c>
      <c r="L406">
        <v>22159232</v>
      </c>
      <c r="M406">
        <v>3658169</v>
      </c>
      <c r="N406">
        <v>40</v>
      </c>
      <c r="O406" t="s">
        <v>58</v>
      </c>
      <c r="P406" t="s">
        <v>32</v>
      </c>
    </row>
    <row r="407" spans="1:16" x14ac:dyDescent="0.35">
      <c r="A407" t="s">
        <v>969</v>
      </c>
      <c r="B407" t="s">
        <v>970</v>
      </c>
      <c r="C407" t="s">
        <v>53</v>
      </c>
      <c r="D407" t="s">
        <v>90</v>
      </c>
      <c r="F407" s="1">
        <v>45804</v>
      </c>
      <c r="G407">
        <v>2022</v>
      </c>
      <c r="H407" t="s">
        <v>107</v>
      </c>
      <c r="I407" t="s">
        <v>56</v>
      </c>
      <c r="J407" t="s">
        <v>76</v>
      </c>
      <c r="K407">
        <v>4.9000000000000004</v>
      </c>
      <c r="L407">
        <v>19304511</v>
      </c>
      <c r="M407">
        <v>2478659</v>
      </c>
      <c r="N407">
        <v>42</v>
      </c>
      <c r="O407" t="s">
        <v>58</v>
      </c>
      <c r="P407" t="s">
        <v>50</v>
      </c>
    </row>
    <row r="408" spans="1:16" x14ac:dyDescent="0.35">
      <c r="A408" t="s">
        <v>971</v>
      </c>
      <c r="B408" t="s">
        <v>972</v>
      </c>
      <c r="C408" t="s">
        <v>79</v>
      </c>
      <c r="D408" t="s">
        <v>61</v>
      </c>
      <c r="E408" t="s">
        <v>69</v>
      </c>
      <c r="F408" s="1">
        <v>44775</v>
      </c>
      <c r="G408">
        <v>2000</v>
      </c>
      <c r="I408" t="s">
        <v>336</v>
      </c>
      <c r="J408" t="s">
        <v>30</v>
      </c>
      <c r="K408">
        <v>6.9</v>
      </c>
      <c r="L408">
        <v>14513684</v>
      </c>
      <c r="M408">
        <v>4527375</v>
      </c>
      <c r="N408">
        <v>53</v>
      </c>
      <c r="O408" t="s">
        <v>24</v>
      </c>
      <c r="P408" t="s">
        <v>87</v>
      </c>
    </row>
    <row r="409" spans="1:16" x14ac:dyDescent="0.35">
      <c r="A409" t="s">
        <v>973</v>
      </c>
      <c r="B409" t="s">
        <v>974</v>
      </c>
      <c r="C409" t="s">
        <v>53</v>
      </c>
      <c r="D409" t="s">
        <v>61</v>
      </c>
      <c r="E409" t="s">
        <v>20</v>
      </c>
      <c r="F409" s="1">
        <v>43102</v>
      </c>
      <c r="G409">
        <v>2024</v>
      </c>
      <c r="I409" t="s">
        <v>56</v>
      </c>
      <c r="K409">
        <v>7.4</v>
      </c>
      <c r="L409">
        <v>17040881</v>
      </c>
      <c r="M409">
        <v>929332</v>
      </c>
      <c r="N409">
        <v>69</v>
      </c>
      <c r="O409" t="s">
        <v>91</v>
      </c>
      <c r="P409" t="s">
        <v>32</v>
      </c>
    </row>
    <row r="410" spans="1:16" x14ac:dyDescent="0.35">
      <c r="A410" t="s">
        <v>975</v>
      </c>
      <c r="B410" t="s">
        <v>976</v>
      </c>
      <c r="D410" t="s">
        <v>156</v>
      </c>
      <c r="E410" t="s">
        <v>62</v>
      </c>
      <c r="F410" s="1">
        <v>42804</v>
      </c>
      <c r="G410">
        <v>2016</v>
      </c>
      <c r="H410" t="s">
        <v>38</v>
      </c>
      <c r="I410" t="s">
        <v>56</v>
      </c>
      <c r="J410" t="s">
        <v>76</v>
      </c>
      <c r="K410">
        <v>5.5</v>
      </c>
      <c r="L410">
        <v>6789082</v>
      </c>
      <c r="M410">
        <v>4027102</v>
      </c>
      <c r="N410">
        <v>70</v>
      </c>
      <c r="O410" t="s">
        <v>91</v>
      </c>
      <c r="P410" t="s">
        <v>42</v>
      </c>
    </row>
    <row r="411" spans="1:16" x14ac:dyDescent="0.35">
      <c r="A411" t="s">
        <v>977</v>
      </c>
      <c r="B411" t="s">
        <v>978</v>
      </c>
      <c r="C411" t="s">
        <v>35</v>
      </c>
      <c r="D411" t="s">
        <v>36</v>
      </c>
      <c r="F411" s="1">
        <v>45215</v>
      </c>
      <c r="G411">
        <v>2032</v>
      </c>
      <c r="H411" t="s">
        <v>21</v>
      </c>
      <c r="I411" t="s">
        <v>136</v>
      </c>
      <c r="J411" t="s">
        <v>57</v>
      </c>
      <c r="K411">
        <v>7</v>
      </c>
      <c r="L411">
        <v>16563364</v>
      </c>
      <c r="M411">
        <v>100549</v>
      </c>
      <c r="N411">
        <v>62</v>
      </c>
      <c r="O411" t="s">
        <v>123</v>
      </c>
    </row>
    <row r="412" spans="1:16" x14ac:dyDescent="0.35">
      <c r="A412" t="s">
        <v>979</v>
      </c>
      <c r="B412" t="s">
        <v>980</v>
      </c>
      <c r="C412" t="s">
        <v>53</v>
      </c>
      <c r="D412" t="s">
        <v>27</v>
      </c>
      <c r="F412" s="1">
        <v>43181</v>
      </c>
      <c r="G412">
        <v>2008</v>
      </c>
      <c r="H412" t="s">
        <v>38</v>
      </c>
      <c r="I412" t="s">
        <v>39</v>
      </c>
      <c r="J412" t="s">
        <v>100</v>
      </c>
      <c r="K412">
        <v>9.3000000000000007</v>
      </c>
      <c r="L412">
        <v>7835420</v>
      </c>
      <c r="M412">
        <v>928669</v>
      </c>
      <c r="N412">
        <v>73</v>
      </c>
      <c r="O412" t="s">
        <v>24</v>
      </c>
    </row>
    <row r="413" spans="1:16" x14ac:dyDescent="0.35">
      <c r="A413" t="s">
        <v>981</v>
      </c>
      <c r="B413" t="s">
        <v>982</v>
      </c>
      <c r="C413" t="s">
        <v>18</v>
      </c>
      <c r="D413" t="s">
        <v>94</v>
      </c>
      <c r="E413" t="s">
        <v>99</v>
      </c>
      <c r="F413" s="1">
        <v>43524</v>
      </c>
      <c r="G413">
        <v>2023</v>
      </c>
      <c r="H413" t="s">
        <v>63</v>
      </c>
      <c r="I413" t="s">
        <v>275</v>
      </c>
      <c r="J413" t="s">
        <v>153</v>
      </c>
      <c r="K413">
        <v>9.6999999999999993</v>
      </c>
      <c r="L413">
        <v>17155647</v>
      </c>
      <c r="M413">
        <v>4696103</v>
      </c>
      <c r="N413">
        <v>41</v>
      </c>
      <c r="O413" t="s">
        <v>65</v>
      </c>
      <c r="P413" t="s">
        <v>50</v>
      </c>
    </row>
    <row r="414" spans="1:16" x14ac:dyDescent="0.35">
      <c r="A414" t="s">
        <v>983</v>
      </c>
      <c r="B414" t="s">
        <v>984</v>
      </c>
      <c r="C414" t="s">
        <v>84</v>
      </c>
      <c r="E414" t="s">
        <v>165</v>
      </c>
      <c r="F414" s="1">
        <v>45917</v>
      </c>
      <c r="G414">
        <v>2005</v>
      </c>
      <c r="H414" t="s">
        <v>114</v>
      </c>
      <c r="I414" t="s">
        <v>747</v>
      </c>
      <c r="J414" t="s">
        <v>76</v>
      </c>
      <c r="K414">
        <v>6.4</v>
      </c>
      <c r="L414">
        <v>1266115</v>
      </c>
      <c r="M414">
        <v>1082652</v>
      </c>
      <c r="N414">
        <v>42</v>
      </c>
      <c r="O414" t="s">
        <v>24</v>
      </c>
      <c r="P414" t="s">
        <v>42</v>
      </c>
    </row>
    <row r="415" spans="1:16" x14ac:dyDescent="0.35">
      <c r="A415" t="s">
        <v>985</v>
      </c>
      <c r="B415" t="s">
        <v>986</v>
      </c>
      <c r="C415" t="s">
        <v>79</v>
      </c>
      <c r="D415" t="s">
        <v>75</v>
      </c>
      <c r="E415" t="s">
        <v>99</v>
      </c>
      <c r="F415" s="1">
        <v>44840</v>
      </c>
      <c r="G415">
        <v>2003</v>
      </c>
      <c r="H415" t="s">
        <v>107</v>
      </c>
      <c r="I415" t="s">
        <v>987</v>
      </c>
      <c r="J415" t="s">
        <v>103</v>
      </c>
      <c r="K415">
        <v>5.4</v>
      </c>
      <c r="L415">
        <v>7892053</v>
      </c>
      <c r="M415">
        <v>4740421</v>
      </c>
      <c r="N415">
        <v>50</v>
      </c>
      <c r="O415" t="s">
        <v>91</v>
      </c>
      <c r="P415" t="s">
        <v>42</v>
      </c>
    </row>
    <row r="416" spans="1:16" x14ac:dyDescent="0.35">
      <c r="A416" t="s">
        <v>988</v>
      </c>
      <c r="B416" t="s">
        <v>989</v>
      </c>
      <c r="C416" t="s">
        <v>18</v>
      </c>
      <c r="D416" t="s">
        <v>19</v>
      </c>
      <c r="E416" t="s">
        <v>69</v>
      </c>
      <c r="F416" s="1">
        <v>44970</v>
      </c>
      <c r="G416">
        <v>2009</v>
      </c>
      <c r="H416" t="s">
        <v>38</v>
      </c>
      <c r="I416" t="s">
        <v>231</v>
      </c>
      <c r="J416" t="s">
        <v>23</v>
      </c>
      <c r="K416">
        <v>9.5</v>
      </c>
      <c r="L416">
        <v>19612166</v>
      </c>
      <c r="M416">
        <v>2198262</v>
      </c>
      <c r="N416">
        <v>59</v>
      </c>
      <c r="O416" t="s">
        <v>24</v>
      </c>
      <c r="P416" t="s">
        <v>42</v>
      </c>
    </row>
    <row r="417" spans="1:16" x14ac:dyDescent="0.35">
      <c r="A417" t="s">
        <v>990</v>
      </c>
      <c r="B417" t="s">
        <v>991</v>
      </c>
      <c r="C417" t="s">
        <v>35</v>
      </c>
      <c r="D417" t="s">
        <v>156</v>
      </c>
      <c r="E417" t="s">
        <v>80</v>
      </c>
      <c r="F417" s="1">
        <v>46184</v>
      </c>
      <c r="G417">
        <v>2018</v>
      </c>
      <c r="H417" t="s">
        <v>121</v>
      </c>
      <c r="I417" t="s">
        <v>162</v>
      </c>
      <c r="J417" t="s">
        <v>96</v>
      </c>
      <c r="K417">
        <v>9.1999999999999993</v>
      </c>
      <c r="L417">
        <v>133283</v>
      </c>
      <c r="M417">
        <v>2256575</v>
      </c>
      <c r="N417">
        <v>88</v>
      </c>
      <c r="O417" t="s">
        <v>24</v>
      </c>
      <c r="P417" t="s">
        <v>87</v>
      </c>
    </row>
    <row r="418" spans="1:16" x14ac:dyDescent="0.35">
      <c r="A418" t="s">
        <v>992</v>
      </c>
      <c r="B418" t="s">
        <v>993</v>
      </c>
      <c r="C418" t="s">
        <v>18</v>
      </c>
      <c r="D418" t="s">
        <v>94</v>
      </c>
      <c r="E418" t="s">
        <v>62</v>
      </c>
      <c r="F418" s="1">
        <v>46082</v>
      </c>
      <c r="G418">
        <v>2009</v>
      </c>
      <c r="H418" t="s">
        <v>121</v>
      </c>
      <c r="I418" t="s">
        <v>994</v>
      </c>
      <c r="J418" t="s">
        <v>153</v>
      </c>
      <c r="K418">
        <v>4.9000000000000004</v>
      </c>
      <c r="L418">
        <v>8341906</v>
      </c>
      <c r="M418">
        <v>263349</v>
      </c>
      <c r="N418">
        <v>83</v>
      </c>
      <c r="O418" t="s">
        <v>31</v>
      </c>
      <c r="P418" t="s">
        <v>32</v>
      </c>
    </row>
    <row r="419" spans="1:16" x14ac:dyDescent="0.35">
      <c r="A419" t="s">
        <v>995</v>
      </c>
      <c r="B419" t="s">
        <v>996</v>
      </c>
      <c r="D419" t="s">
        <v>94</v>
      </c>
      <c r="E419" t="s">
        <v>62</v>
      </c>
      <c r="F419" s="1">
        <v>43772</v>
      </c>
      <c r="G419">
        <v>2015</v>
      </c>
      <c r="H419" t="s">
        <v>63</v>
      </c>
      <c r="I419" t="s">
        <v>136</v>
      </c>
      <c r="J419" t="s">
        <v>76</v>
      </c>
      <c r="K419">
        <v>4.9000000000000004</v>
      </c>
      <c r="L419">
        <v>6073054</v>
      </c>
      <c r="M419">
        <v>4350610</v>
      </c>
      <c r="N419">
        <v>120</v>
      </c>
      <c r="O419" t="s">
        <v>49</v>
      </c>
      <c r="P419" t="s">
        <v>50</v>
      </c>
    </row>
    <row r="420" spans="1:16" x14ac:dyDescent="0.35">
      <c r="A420" t="s">
        <v>997</v>
      </c>
      <c r="B420" t="s">
        <v>998</v>
      </c>
      <c r="C420" t="s">
        <v>79</v>
      </c>
      <c r="D420" t="s">
        <v>54</v>
      </c>
      <c r="F420" s="1">
        <v>44447</v>
      </c>
      <c r="G420">
        <v>2025</v>
      </c>
      <c r="H420" t="s">
        <v>21</v>
      </c>
      <c r="I420" t="s">
        <v>187</v>
      </c>
      <c r="J420" t="s">
        <v>48</v>
      </c>
      <c r="K420">
        <v>6.8</v>
      </c>
      <c r="L420">
        <v>22323782</v>
      </c>
      <c r="M420">
        <v>4568833</v>
      </c>
      <c r="N420">
        <v>40</v>
      </c>
      <c r="O420" t="s">
        <v>104</v>
      </c>
      <c r="P420" t="s">
        <v>87</v>
      </c>
    </row>
    <row r="421" spans="1:16" x14ac:dyDescent="0.35">
      <c r="A421" t="s">
        <v>999</v>
      </c>
      <c r="B421" t="s">
        <v>1000</v>
      </c>
      <c r="C421" t="s">
        <v>53</v>
      </c>
      <c r="E421" t="s">
        <v>80</v>
      </c>
      <c r="F421" s="1">
        <v>42626</v>
      </c>
      <c r="G421">
        <v>2001</v>
      </c>
      <c r="H421" t="s">
        <v>46</v>
      </c>
      <c r="I421" t="s">
        <v>64</v>
      </c>
      <c r="J421" t="s">
        <v>76</v>
      </c>
      <c r="K421">
        <v>5.7</v>
      </c>
      <c r="L421">
        <v>24836571</v>
      </c>
      <c r="M421">
        <v>3679681</v>
      </c>
      <c r="N421">
        <v>48</v>
      </c>
      <c r="O421" t="s">
        <v>104</v>
      </c>
      <c r="P421" t="s">
        <v>42</v>
      </c>
    </row>
    <row r="422" spans="1:16" x14ac:dyDescent="0.35">
      <c r="A422" t="s">
        <v>1001</v>
      </c>
      <c r="B422" t="s">
        <v>1002</v>
      </c>
      <c r="C422" t="s">
        <v>35</v>
      </c>
      <c r="D422" t="s">
        <v>36</v>
      </c>
      <c r="E422" t="s">
        <v>80</v>
      </c>
      <c r="F422" s="1">
        <v>44589</v>
      </c>
      <c r="G422">
        <v>2018</v>
      </c>
      <c r="H422" t="s">
        <v>114</v>
      </c>
      <c r="I422" t="s">
        <v>95</v>
      </c>
      <c r="J422" t="s">
        <v>153</v>
      </c>
      <c r="K422">
        <v>7.7</v>
      </c>
      <c r="L422">
        <v>10410076</v>
      </c>
      <c r="M422">
        <v>3536835</v>
      </c>
      <c r="N422">
        <v>81</v>
      </c>
      <c r="O422" t="s">
        <v>104</v>
      </c>
      <c r="P422" t="s">
        <v>42</v>
      </c>
    </row>
    <row r="423" spans="1:16" x14ac:dyDescent="0.35">
      <c r="A423" t="s">
        <v>1003</v>
      </c>
      <c r="B423" t="s">
        <v>1004</v>
      </c>
      <c r="C423" t="s">
        <v>79</v>
      </c>
      <c r="D423" t="s">
        <v>19</v>
      </c>
      <c r="F423" s="1">
        <v>44924</v>
      </c>
      <c r="G423">
        <v>2002</v>
      </c>
      <c r="H423" t="s">
        <v>46</v>
      </c>
      <c r="I423" t="s">
        <v>1005</v>
      </c>
      <c r="J423" t="s">
        <v>48</v>
      </c>
      <c r="K423">
        <v>9.6</v>
      </c>
      <c r="L423">
        <v>4417462</v>
      </c>
      <c r="M423">
        <v>4513301</v>
      </c>
      <c r="N423">
        <v>83</v>
      </c>
      <c r="O423" t="s">
        <v>49</v>
      </c>
      <c r="P423" t="s">
        <v>50</v>
      </c>
    </row>
    <row r="424" spans="1:16" x14ac:dyDescent="0.35">
      <c r="A424" t="s">
        <v>1006</v>
      </c>
      <c r="B424" t="s">
        <v>1007</v>
      </c>
      <c r="C424" t="s">
        <v>18</v>
      </c>
      <c r="D424" t="s">
        <v>61</v>
      </c>
      <c r="E424" t="s">
        <v>37</v>
      </c>
      <c r="F424" s="1">
        <v>44956</v>
      </c>
      <c r="G424">
        <v>2032</v>
      </c>
      <c r="H424" t="s">
        <v>38</v>
      </c>
      <c r="I424" t="s">
        <v>1008</v>
      </c>
      <c r="J424" t="s">
        <v>48</v>
      </c>
      <c r="K424">
        <v>4.9000000000000004</v>
      </c>
      <c r="L424">
        <v>16868045</v>
      </c>
      <c r="M424">
        <v>129279</v>
      </c>
      <c r="N424">
        <v>93</v>
      </c>
      <c r="O424" t="s">
        <v>49</v>
      </c>
    </row>
    <row r="425" spans="1:16" x14ac:dyDescent="0.35">
      <c r="A425" t="s">
        <v>1009</v>
      </c>
      <c r="B425" t="s">
        <v>1010</v>
      </c>
      <c r="C425" t="s">
        <v>53</v>
      </c>
      <c r="E425" t="s">
        <v>69</v>
      </c>
      <c r="F425" s="1">
        <v>42354</v>
      </c>
      <c r="G425">
        <v>2015</v>
      </c>
      <c r="H425" t="s">
        <v>81</v>
      </c>
      <c r="I425" t="s">
        <v>56</v>
      </c>
      <c r="J425" t="s">
        <v>48</v>
      </c>
      <c r="K425">
        <v>6.6</v>
      </c>
      <c r="L425">
        <v>4067652</v>
      </c>
      <c r="M425">
        <v>3058672</v>
      </c>
      <c r="N425">
        <v>98</v>
      </c>
      <c r="O425" t="s">
        <v>24</v>
      </c>
    </row>
    <row r="426" spans="1:16" x14ac:dyDescent="0.35">
      <c r="A426" t="s">
        <v>1011</v>
      </c>
      <c r="B426" t="s">
        <v>1012</v>
      </c>
      <c r="E426" t="s">
        <v>62</v>
      </c>
      <c r="F426" s="1">
        <v>45909</v>
      </c>
      <c r="G426">
        <v>2012</v>
      </c>
      <c r="I426" t="s">
        <v>118</v>
      </c>
      <c r="J426" t="s">
        <v>30</v>
      </c>
      <c r="K426">
        <v>6.3</v>
      </c>
      <c r="L426">
        <v>17289605</v>
      </c>
      <c r="M426">
        <v>1744400</v>
      </c>
      <c r="N426">
        <v>71</v>
      </c>
      <c r="O426" t="s">
        <v>65</v>
      </c>
    </row>
    <row r="427" spans="1:16" x14ac:dyDescent="0.35">
      <c r="A427" t="s">
        <v>1013</v>
      </c>
      <c r="B427" t="s">
        <v>1014</v>
      </c>
      <c r="C427" t="s">
        <v>35</v>
      </c>
      <c r="D427" t="s">
        <v>90</v>
      </c>
      <c r="E427" t="s">
        <v>99</v>
      </c>
      <c r="F427" s="1">
        <v>43236</v>
      </c>
      <c r="G427">
        <v>2016</v>
      </c>
      <c r="H427" t="s">
        <v>70</v>
      </c>
      <c r="I427" t="s">
        <v>71</v>
      </c>
      <c r="J427" t="s">
        <v>72</v>
      </c>
      <c r="K427">
        <v>7.2</v>
      </c>
      <c r="L427">
        <v>242714</v>
      </c>
      <c r="M427">
        <v>4326797</v>
      </c>
      <c r="N427">
        <v>120</v>
      </c>
      <c r="O427" t="s">
        <v>24</v>
      </c>
      <c r="P427" t="s">
        <v>32</v>
      </c>
    </row>
    <row r="428" spans="1:16" x14ac:dyDescent="0.35">
      <c r="A428" t="s">
        <v>1015</v>
      </c>
      <c r="B428" t="s">
        <v>1016</v>
      </c>
      <c r="C428" t="s">
        <v>53</v>
      </c>
      <c r="D428" t="s">
        <v>36</v>
      </c>
      <c r="E428" t="s">
        <v>62</v>
      </c>
      <c r="F428" s="1">
        <v>44551</v>
      </c>
      <c r="G428">
        <v>2022</v>
      </c>
      <c r="H428" t="s">
        <v>38</v>
      </c>
      <c r="I428" t="s">
        <v>162</v>
      </c>
      <c r="J428" t="s">
        <v>96</v>
      </c>
      <c r="K428">
        <v>6.1</v>
      </c>
      <c r="L428">
        <v>17538609</v>
      </c>
      <c r="M428">
        <v>922525</v>
      </c>
      <c r="N428">
        <v>60</v>
      </c>
      <c r="O428" t="s">
        <v>91</v>
      </c>
      <c r="P428" t="s">
        <v>32</v>
      </c>
    </row>
    <row r="429" spans="1:16" x14ac:dyDescent="0.35">
      <c r="A429" t="s">
        <v>1017</v>
      </c>
      <c r="B429" t="s">
        <v>1018</v>
      </c>
      <c r="D429" t="s">
        <v>90</v>
      </c>
      <c r="E429" t="s">
        <v>99</v>
      </c>
      <c r="F429" s="1">
        <v>43445</v>
      </c>
      <c r="G429">
        <v>2004</v>
      </c>
      <c r="H429" t="s">
        <v>114</v>
      </c>
      <c r="I429" t="s">
        <v>136</v>
      </c>
      <c r="J429" t="s">
        <v>40</v>
      </c>
      <c r="K429">
        <v>5.4</v>
      </c>
      <c r="L429">
        <v>4433017</v>
      </c>
      <c r="M429">
        <v>3449154</v>
      </c>
      <c r="N429">
        <v>60</v>
      </c>
      <c r="O429" t="s">
        <v>24</v>
      </c>
      <c r="P429" t="s">
        <v>50</v>
      </c>
    </row>
    <row r="430" spans="1:16" x14ac:dyDescent="0.35">
      <c r="A430" t="s">
        <v>1019</v>
      </c>
      <c r="B430" t="s">
        <v>1020</v>
      </c>
      <c r="D430" t="s">
        <v>36</v>
      </c>
      <c r="E430" t="s">
        <v>37</v>
      </c>
      <c r="F430" s="1">
        <v>43204</v>
      </c>
      <c r="G430">
        <v>2032</v>
      </c>
      <c r="J430" t="s">
        <v>23</v>
      </c>
      <c r="K430">
        <v>6</v>
      </c>
      <c r="L430">
        <v>24716876</v>
      </c>
      <c r="M430">
        <v>1215977</v>
      </c>
      <c r="N430">
        <v>81</v>
      </c>
      <c r="O430" t="s">
        <v>104</v>
      </c>
      <c r="P430" t="s">
        <v>42</v>
      </c>
    </row>
    <row r="431" spans="1:16" x14ac:dyDescent="0.35">
      <c r="A431" t="s">
        <v>1021</v>
      </c>
      <c r="B431" t="s">
        <v>1022</v>
      </c>
      <c r="C431" t="s">
        <v>18</v>
      </c>
      <c r="D431" t="s">
        <v>75</v>
      </c>
      <c r="E431" t="s">
        <v>37</v>
      </c>
      <c r="F431" s="1">
        <v>43431</v>
      </c>
      <c r="G431">
        <v>2025</v>
      </c>
      <c r="H431" t="s">
        <v>46</v>
      </c>
      <c r="I431" t="s">
        <v>1023</v>
      </c>
      <c r="J431" t="s">
        <v>133</v>
      </c>
      <c r="K431">
        <v>5.2</v>
      </c>
      <c r="L431">
        <v>10139326</v>
      </c>
      <c r="M431">
        <v>828303</v>
      </c>
      <c r="N431">
        <v>40</v>
      </c>
      <c r="O431" t="s">
        <v>65</v>
      </c>
      <c r="P431" t="s">
        <v>50</v>
      </c>
    </row>
    <row r="432" spans="1:16" x14ac:dyDescent="0.35">
      <c r="A432" t="s">
        <v>1024</v>
      </c>
      <c r="B432" t="s">
        <v>1025</v>
      </c>
      <c r="C432" t="s">
        <v>53</v>
      </c>
      <c r="D432" t="s">
        <v>90</v>
      </c>
      <c r="E432" t="s">
        <v>28</v>
      </c>
      <c r="F432" s="1">
        <v>42941</v>
      </c>
      <c r="G432">
        <v>2023</v>
      </c>
      <c r="H432" t="s">
        <v>114</v>
      </c>
      <c r="I432" t="s">
        <v>64</v>
      </c>
      <c r="J432" t="s">
        <v>76</v>
      </c>
      <c r="K432">
        <v>8.6</v>
      </c>
      <c r="L432">
        <v>22955568</v>
      </c>
      <c r="M432">
        <v>202191</v>
      </c>
      <c r="N432">
        <v>42</v>
      </c>
      <c r="O432" t="s">
        <v>49</v>
      </c>
      <c r="P432" t="s">
        <v>50</v>
      </c>
    </row>
    <row r="433" spans="1:16" x14ac:dyDescent="0.35">
      <c r="A433" t="s">
        <v>1026</v>
      </c>
      <c r="B433" t="s">
        <v>1027</v>
      </c>
      <c r="C433" t="s">
        <v>18</v>
      </c>
      <c r="D433" t="s">
        <v>156</v>
      </c>
      <c r="E433" t="s">
        <v>131</v>
      </c>
      <c r="F433" s="1">
        <v>45754</v>
      </c>
      <c r="G433">
        <v>2015</v>
      </c>
      <c r="H433" t="s">
        <v>114</v>
      </c>
      <c r="I433" t="s">
        <v>696</v>
      </c>
      <c r="J433" t="s">
        <v>57</v>
      </c>
      <c r="K433">
        <v>6.3</v>
      </c>
      <c r="L433">
        <v>7431376</v>
      </c>
      <c r="M433">
        <v>2617423</v>
      </c>
      <c r="N433">
        <v>53</v>
      </c>
      <c r="O433" t="s">
        <v>49</v>
      </c>
      <c r="P433" t="s">
        <v>42</v>
      </c>
    </row>
    <row r="434" spans="1:16" x14ac:dyDescent="0.35">
      <c r="A434" t="s">
        <v>1028</v>
      </c>
      <c r="B434" t="s">
        <v>1029</v>
      </c>
      <c r="C434" t="s">
        <v>84</v>
      </c>
      <c r="D434" t="s">
        <v>90</v>
      </c>
      <c r="E434" t="s">
        <v>62</v>
      </c>
      <c r="F434" s="1">
        <v>46081</v>
      </c>
      <c r="G434">
        <v>2011</v>
      </c>
      <c r="H434" t="s">
        <v>46</v>
      </c>
      <c r="I434" t="s">
        <v>420</v>
      </c>
      <c r="J434" t="s">
        <v>96</v>
      </c>
      <c r="K434">
        <v>9.1999999999999993</v>
      </c>
      <c r="L434">
        <v>18545336</v>
      </c>
      <c r="M434">
        <v>4780143</v>
      </c>
      <c r="N434">
        <v>78</v>
      </c>
      <c r="O434" t="s">
        <v>91</v>
      </c>
      <c r="P434" t="s">
        <v>42</v>
      </c>
    </row>
    <row r="435" spans="1:16" x14ac:dyDescent="0.35">
      <c r="A435" t="s">
        <v>1030</v>
      </c>
      <c r="B435" t="s">
        <v>1031</v>
      </c>
      <c r="C435" t="s">
        <v>84</v>
      </c>
      <c r="F435" s="1">
        <v>44091</v>
      </c>
      <c r="G435">
        <v>2024</v>
      </c>
      <c r="H435" t="s">
        <v>121</v>
      </c>
      <c r="I435" t="s">
        <v>1032</v>
      </c>
      <c r="J435" t="s">
        <v>133</v>
      </c>
      <c r="K435">
        <v>4.8</v>
      </c>
      <c r="L435">
        <v>10645693</v>
      </c>
      <c r="M435">
        <v>4481987</v>
      </c>
      <c r="N435">
        <v>58</v>
      </c>
      <c r="O435" t="s">
        <v>58</v>
      </c>
      <c r="P435" t="s">
        <v>87</v>
      </c>
    </row>
    <row r="436" spans="1:16" x14ac:dyDescent="0.35">
      <c r="A436" t="s">
        <v>1033</v>
      </c>
      <c r="B436" t="s">
        <v>1034</v>
      </c>
      <c r="D436" t="s">
        <v>156</v>
      </c>
      <c r="E436" t="s">
        <v>37</v>
      </c>
      <c r="F436" s="1">
        <v>43455</v>
      </c>
      <c r="G436">
        <v>2013</v>
      </c>
      <c r="H436" t="s">
        <v>63</v>
      </c>
      <c r="I436" t="s">
        <v>39</v>
      </c>
      <c r="J436" t="s">
        <v>103</v>
      </c>
      <c r="K436">
        <v>6.5</v>
      </c>
      <c r="L436">
        <v>15011</v>
      </c>
      <c r="M436">
        <v>664096</v>
      </c>
      <c r="N436">
        <v>41</v>
      </c>
      <c r="O436" t="s">
        <v>104</v>
      </c>
      <c r="P436" t="s">
        <v>42</v>
      </c>
    </row>
    <row r="437" spans="1:16" x14ac:dyDescent="0.35">
      <c r="A437" t="s">
        <v>1035</v>
      </c>
      <c r="B437" t="s">
        <v>1036</v>
      </c>
      <c r="C437" t="s">
        <v>79</v>
      </c>
      <c r="D437" t="s">
        <v>68</v>
      </c>
      <c r="E437" t="s">
        <v>55</v>
      </c>
      <c r="F437" s="1">
        <v>43574</v>
      </c>
      <c r="G437">
        <v>2012</v>
      </c>
      <c r="H437" t="s">
        <v>114</v>
      </c>
      <c r="I437" t="s">
        <v>747</v>
      </c>
      <c r="J437" t="s">
        <v>57</v>
      </c>
      <c r="K437">
        <v>8.6999999999999993</v>
      </c>
      <c r="L437">
        <v>20235222</v>
      </c>
      <c r="M437">
        <v>1512670</v>
      </c>
      <c r="N437">
        <v>77</v>
      </c>
      <c r="O437" t="s">
        <v>65</v>
      </c>
    </row>
    <row r="438" spans="1:16" x14ac:dyDescent="0.35">
      <c r="A438" t="s">
        <v>1037</v>
      </c>
      <c r="B438" t="s">
        <v>1038</v>
      </c>
      <c r="C438" t="s">
        <v>79</v>
      </c>
      <c r="E438" t="s">
        <v>55</v>
      </c>
      <c r="F438" s="1">
        <v>44106</v>
      </c>
      <c r="G438">
        <v>2009</v>
      </c>
      <c r="H438" t="s">
        <v>38</v>
      </c>
      <c r="I438" t="s">
        <v>187</v>
      </c>
      <c r="J438" t="s">
        <v>72</v>
      </c>
      <c r="K438">
        <v>5</v>
      </c>
      <c r="L438">
        <v>3550823</v>
      </c>
      <c r="M438">
        <v>3349296</v>
      </c>
      <c r="N438">
        <v>76</v>
      </c>
      <c r="O438" t="s">
        <v>123</v>
      </c>
      <c r="P438" t="s">
        <v>32</v>
      </c>
    </row>
    <row r="439" spans="1:16" x14ac:dyDescent="0.35">
      <c r="A439" t="s">
        <v>1039</v>
      </c>
      <c r="B439" t="s">
        <v>1040</v>
      </c>
      <c r="C439" t="s">
        <v>53</v>
      </c>
      <c r="D439" t="s">
        <v>61</v>
      </c>
      <c r="E439" t="s">
        <v>20</v>
      </c>
      <c r="F439" s="1">
        <v>43439</v>
      </c>
      <c r="G439">
        <v>2023</v>
      </c>
      <c r="H439" t="s">
        <v>46</v>
      </c>
      <c r="J439" t="s">
        <v>133</v>
      </c>
      <c r="K439">
        <v>6.4</v>
      </c>
      <c r="L439">
        <v>2267421</v>
      </c>
      <c r="M439">
        <v>3758031</v>
      </c>
      <c r="N439">
        <v>41</v>
      </c>
      <c r="O439" t="s">
        <v>24</v>
      </c>
      <c r="P439" t="s">
        <v>42</v>
      </c>
    </row>
    <row r="440" spans="1:16" x14ac:dyDescent="0.35">
      <c r="A440" t="s">
        <v>1041</v>
      </c>
      <c r="B440" t="s">
        <v>1042</v>
      </c>
      <c r="C440" t="s">
        <v>18</v>
      </c>
      <c r="D440" t="s">
        <v>94</v>
      </c>
      <c r="E440" t="s">
        <v>99</v>
      </c>
      <c r="F440" s="1">
        <v>43472</v>
      </c>
      <c r="G440">
        <v>2011</v>
      </c>
      <c r="H440" t="s">
        <v>81</v>
      </c>
      <c r="I440" t="s">
        <v>508</v>
      </c>
      <c r="J440" t="s">
        <v>40</v>
      </c>
      <c r="K440">
        <v>8.1</v>
      </c>
      <c r="L440">
        <v>14045743</v>
      </c>
      <c r="M440">
        <v>3923193</v>
      </c>
      <c r="N440">
        <v>54</v>
      </c>
      <c r="O440" t="s">
        <v>104</v>
      </c>
    </row>
    <row r="441" spans="1:16" x14ac:dyDescent="0.35">
      <c r="A441" t="s">
        <v>1043</v>
      </c>
      <c r="B441" t="s">
        <v>1044</v>
      </c>
      <c r="C441" t="s">
        <v>18</v>
      </c>
      <c r="D441" t="s">
        <v>94</v>
      </c>
      <c r="E441" t="s">
        <v>80</v>
      </c>
      <c r="F441" s="1">
        <v>45678</v>
      </c>
      <c r="G441">
        <v>2000</v>
      </c>
      <c r="H441" t="s">
        <v>70</v>
      </c>
      <c r="I441" t="s">
        <v>259</v>
      </c>
      <c r="J441" t="s">
        <v>23</v>
      </c>
      <c r="K441">
        <v>4.7</v>
      </c>
      <c r="L441">
        <v>11386666</v>
      </c>
      <c r="M441">
        <v>2197668</v>
      </c>
      <c r="N441">
        <v>74</v>
      </c>
      <c r="O441" t="s">
        <v>91</v>
      </c>
    </row>
    <row r="442" spans="1:16" x14ac:dyDescent="0.35">
      <c r="A442" t="s">
        <v>1045</v>
      </c>
      <c r="B442" t="s">
        <v>1046</v>
      </c>
      <c r="C442" t="s">
        <v>18</v>
      </c>
      <c r="D442" t="s">
        <v>94</v>
      </c>
      <c r="E442" t="s">
        <v>45</v>
      </c>
      <c r="F442" s="1">
        <v>45981</v>
      </c>
      <c r="G442">
        <v>2024</v>
      </c>
      <c r="H442" t="s">
        <v>21</v>
      </c>
      <c r="I442" t="s">
        <v>312</v>
      </c>
      <c r="J442" t="s">
        <v>76</v>
      </c>
      <c r="K442">
        <v>5.6</v>
      </c>
      <c r="L442">
        <v>22330293</v>
      </c>
      <c r="M442">
        <v>524877</v>
      </c>
      <c r="N442">
        <v>99</v>
      </c>
      <c r="O442" t="s">
        <v>58</v>
      </c>
      <c r="P442" t="s">
        <v>42</v>
      </c>
    </row>
    <row r="443" spans="1:16" x14ac:dyDescent="0.35">
      <c r="A443" t="s">
        <v>1047</v>
      </c>
      <c r="B443" t="s">
        <v>1048</v>
      </c>
      <c r="C443" t="s">
        <v>53</v>
      </c>
      <c r="D443" t="s">
        <v>68</v>
      </c>
      <c r="E443" t="s">
        <v>165</v>
      </c>
      <c r="F443" s="1">
        <v>42116</v>
      </c>
      <c r="G443">
        <v>2025</v>
      </c>
      <c r="H443" t="s">
        <v>70</v>
      </c>
      <c r="I443" t="s">
        <v>64</v>
      </c>
      <c r="K443">
        <v>4.5999999999999996</v>
      </c>
      <c r="L443">
        <v>17570099</v>
      </c>
      <c r="M443">
        <v>4107126</v>
      </c>
      <c r="N443">
        <v>96</v>
      </c>
      <c r="O443" t="s">
        <v>41</v>
      </c>
      <c r="P443" t="s">
        <v>42</v>
      </c>
    </row>
    <row r="444" spans="1:16" x14ac:dyDescent="0.35">
      <c r="A444" t="s">
        <v>1049</v>
      </c>
      <c r="B444" t="s">
        <v>1050</v>
      </c>
      <c r="C444" t="s">
        <v>84</v>
      </c>
      <c r="D444" t="s">
        <v>68</v>
      </c>
      <c r="G444">
        <v>2014</v>
      </c>
      <c r="I444" t="s">
        <v>249</v>
      </c>
      <c r="J444" t="s">
        <v>76</v>
      </c>
      <c r="K444">
        <v>7.1</v>
      </c>
      <c r="L444">
        <v>11993206</v>
      </c>
      <c r="M444">
        <v>4355548</v>
      </c>
      <c r="N444">
        <v>79</v>
      </c>
      <c r="O444" t="s">
        <v>24</v>
      </c>
      <c r="P444" t="s">
        <v>32</v>
      </c>
    </row>
    <row r="445" spans="1:16" x14ac:dyDescent="0.35">
      <c r="A445" t="s">
        <v>1051</v>
      </c>
      <c r="B445" t="s">
        <v>1052</v>
      </c>
      <c r="C445" t="s">
        <v>53</v>
      </c>
      <c r="D445" t="s">
        <v>19</v>
      </c>
      <c r="E445" t="s">
        <v>45</v>
      </c>
      <c r="F445" s="1">
        <v>44699</v>
      </c>
      <c r="G445">
        <v>2032</v>
      </c>
      <c r="H445" t="s">
        <v>81</v>
      </c>
      <c r="I445" t="s">
        <v>118</v>
      </c>
      <c r="J445" t="s">
        <v>100</v>
      </c>
      <c r="K445">
        <v>5</v>
      </c>
      <c r="L445">
        <v>8280221</v>
      </c>
      <c r="M445">
        <v>425342</v>
      </c>
      <c r="N445">
        <v>66</v>
      </c>
      <c r="O445" t="s">
        <v>31</v>
      </c>
      <c r="P445" t="s">
        <v>42</v>
      </c>
    </row>
    <row r="446" spans="1:16" x14ac:dyDescent="0.35">
      <c r="A446" t="s">
        <v>1053</v>
      </c>
      <c r="B446" t="s">
        <v>1054</v>
      </c>
      <c r="C446" t="s">
        <v>18</v>
      </c>
      <c r="D446" t="s">
        <v>27</v>
      </c>
      <c r="E446" t="s">
        <v>69</v>
      </c>
      <c r="F446" s="1">
        <v>42545</v>
      </c>
      <c r="G446">
        <v>2024</v>
      </c>
      <c r="H446" t="s">
        <v>107</v>
      </c>
      <c r="J446" t="s">
        <v>96</v>
      </c>
      <c r="K446">
        <v>5.6</v>
      </c>
      <c r="L446">
        <v>6430201</v>
      </c>
      <c r="M446">
        <v>2543895</v>
      </c>
      <c r="N446">
        <v>78</v>
      </c>
      <c r="O446" t="s">
        <v>65</v>
      </c>
      <c r="P446" t="s">
        <v>42</v>
      </c>
    </row>
    <row r="447" spans="1:16" x14ac:dyDescent="0.35">
      <c r="A447" t="s">
        <v>1055</v>
      </c>
      <c r="B447" t="s">
        <v>1056</v>
      </c>
      <c r="C447" t="s">
        <v>84</v>
      </c>
      <c r="D447" t="s">
        <v>54</v>
      </c>
      <c r="E447" t="s">
        <v>69</v>
      </c>
      <c r="F447" s="1">
        <v>43458</v>
      </c>
      <c r="G447">
        <v>2026</v>
      </c>
      <c r="H447" t="s">
        <v>114</v>
      </c>
      <c r="I447" t="s">
        <v>817</v>
      </c>
      <c r="J447" t="s">
        <v>23</v>
      </c>
      <c r="K447">
        <v>7.7</v>
      </c>
      <c r="L447">
        <v>11347976</v>
      </c>
      <c r="M447">
        <v>2899860</v>
      </c>
      <c r="N447">
        <v>98</v>
      </c>
      <c r="O447" t="s">
        <v>41</v>
      </c>
      <c r="P447" t="s">
        <v>87</v>
      </c>
    </row>
    <row r="448" spans="1:16" x14ac:dyDescent="0.35">
      <c r="A448" t="s">
        <v>1057</v>
      </c>
      <c r="B448" t="s">
        <v>1058</v>
      </c>
      <c r="C448" t="s">
        <v>18</v>
      </c>
      <c r="E448" t="s">
        <v>55</v>
      </c>
      <c r="F448" s="1">
        <v>43826</v>
      </c>
      <c r="G448">
        <v>2018</v>
      </c>
      <c r="H448" t="s">
        <v>121</v>
      </c>
      <c r="I448" t="s">
        <v>211</v>
      </c>
      <c r="J448" t="s">
        <v>133</v>
      </c>
      <c r="K448">
        <v>11.2</v>
      </c>
      <c r="L448">
        <v>15128897</v>
      </c>
      <c r="M448">
        <v>2201562</v>
      </c>
      <c r="N448">
        <v>62</v>
      </c>
    </row>
    <row r="449" spans="1:16" x14ac:dyDescent="0.35">
      <c r="A449" t="s">
        <v>1059</v>
      </c>
      <c r="B449" t="s">
        <v>1060</v>
      </c>
      <c r="C449" t="s">
        <v>79</v>
      </c>
      <c r="D449" t="s">
        <v>61</v>
      </c>
      <c r="E449" t="s">
        <v>113</v>
      </c>
      <c r="F449" s="1">
        <v>43769</v>
      </c>
      <c r="G449">
        <v>2005</v>
      </c>
      <c r="I449" t="s">
        <v>323</v>
      </c>
      <c r="J449" t="s">
        <v>96</v>
      </c>
      <c r="K449">
        <v>9.8000000000000007</v>
      </c>
      <c r="L449">
        <v>10781460</v>
      </c>
      <c r="M449">
        <v>1177729</v>
      </c>
      <c r="N449">
        <v>48</v>
      </c>
      <c r="O449" t="s">
        <v>58</v>
      </c>
      <c r="P449" t="s">
        <v>50</v>
      </c>
    </row>
    <row r="450" spans="1:16" x14ac:dyDescent="0.35">
      <c r="A450" t="s">
        <v>1061</v>
      </c>
      <c r="B450" t="s">
        <v>1062</v>
      </c>
      <c r="C450" t="s">
        <v>84</v>
      </c>
      <c r="E450" t="s">
        <v>99</v>
      </c>
      <c r="F450" s="1">
        <v>42766</v>
      </c>
      <c r="G450">
        <v>2014</v>
      </c>
      <c r="H450" t="s">
        <v>114</v>
      </c>
      <c r="I450" t="s">
        <v>299</v>
      </c>
      <c r="J450" t="s">
        <v>72</v>
      </c>
      <c r="K450">
        <v>5.9</v>
      </c>
      <c r="L450">
        <v>17643502</v>
      </c>
      <c r="M450">
        <v>3979500</v>
      </c>
      <c r="N450">
        <v>120</v>
      </c>
      <c r="O450" t="s">
        <v>24</v>
      </c>
      <c r="P450" t="s">
        <v>32</v>
      </c>
    </row>
    <row r="451" spans="1:16" x14ac:dyDescent="0.35">
      <c r="A451" t="s">
        <v>1063</v>
      </c>
      <c r="B451" t="s">
        <v>1064</v>
      </c>
      <c r="C451" t="s">
        <v>79</v>
      </c>
      <c r="D451" t="s">
        <v>68</v>
      </c>
      <c r="F451" s="1">
        <v>43180</v>
      </c>
      <c r="G451">
        <v>2013</v>
      </c>
      <c r="H451" t="s">
        <v>46</v>
      </c>
      <c r="I451" t="s">
        <v>1065</v>
      </c>
      <c r="J451" t="s">
        <v>133</v>
      </c>
      <c r="K451">
        <v>9.4</v>
      </c>
      <c r="L451">
        <v>23401655</v>
      </c>
      <c r="M451">
        <v>3279702</v>
      </c>
      <c r="N451">
        <v>54</v>
      </c>
      <c r="O451" t="s">
        <v>24</v>
      </c>
      <c r="P451" t="s">
        <v>50</v>
      </c>
    </row>
    <row r="452" spans="1:16" x14ac:dyDescent="0.35">
      <c r="A452" t="s">
        <v>1066</v>
      </c>
      <c r="B452" t="s">
        <v>1067</v>
      </c>
      <c r="C452" t="s">
        <v>18</v>
      </c>
      <c r="E452" t="s">
        <v>80</v>
      </c>
      <c r="F452" s="1">
        <v>44462</v>
      </c>
      <c r="G452">
        <v>2000</v>
      </c>
      <c r="H452" t="s">
        <v>85</v>
      </c>
      <c r="I452" t="s">
        <v>262</v>
      </c>
      <c r="J452" t="s">
        <v>100</v>
      </c>
      <c r="K452">
        <v>8.9</v>
      </c>
      <c r="L452">
        <v>9610000</v>
      </c>
      <c r="M452">
        <v>3309435</v>
      </c>
      <c r="N452">
        <v>81</v>
      </c>
      <c r="O452" t="s">
        <v>49</v>
      </c>
      <c r="P452" t="s">
        <v>42</v>
      </c>
    </row>
    <row r="453" spans="1:16" x14ac:dyDescent="0.35">
      <c r="A453" t="s">
        <v>1068</v>
      </c>
      <c r="B453" t="s">
        <v>1069</v>
      </c>
      <c r="C453" t="s">
        <v>35</v>
      </c>
      <c r="D453" t="s">
        <v>36</v>
      </c>
      <c r="E453" t="s">
        <v>113</v>
      </c>
      <c r="F453" s="1">
        <v>42745</v>
      </c>
      <c r="G453">
        <v>2006</v>
      </c>
      <c r="H453" t="s">
        <v>70</v>
      </c>
      <c r="I453" t="s">
        <v>71</v>
      </c>
      <c r="J453" t="s">
        <v>40</v>
      </c>
      <c r="K453">
        <v>5.8</v>
      </c>
      <c r="L453">
        <v>21805759</v>
      </c>
      <c r="M453">
        <v>1243964</v>
      </c>
      <c r="N453">
        <v>71</v>
      </c>
      <c r="O453" t="s">
        <v>91</v>
      </c>
      <c r="P453" t="s">
        <v>50</v>
      </c>
    </row>
    <row r="454" spans="1:16" x14ac:dyDescent="0.35">
      <c r="A454" t="s">
        <v>1070</v>
      </c>
      <c r="B454" t="s">
        <v>1071</v>
      </c>
      <c r="C454" t="s">
        <v>79</v>
      </c>
      <c r="E454" t="s">
        <v>69</v>
      </c>
      <c r="F454" s="1">
        <v>45968</v>
      </c>
      <c r="G454">
        <v>2009</v>
      </c>
      <c r="H454" t="s">
        <v>21</v>
      </c>
      <c r="I454" t="s">
        <v>218</v>
      </c>
      <c r="J454" t="s">
        <v>72</v>
      </c>
      <c r="K454">
        <v>7.9</v>
      </c>
      <c r="L454">
        <v>-845</v>
      </c>
      <c r="M454">
        <v>1381177</v>
      </c>
      <c r="N454">
        <v>69</v>
      </c>
      <c r="O454" t="s">
        <v>49</v>
      </c>
      <c r="P454" t="s">
        <v>50</v>
      </c>
    </row>
    <row r="455" spans="1:16" x14ac:dyDescent="0.35">
      <c r="A455" t="s">
        <v>1072</v>
      </c>
      <c r="B455" t="s">
        <v>1073</v>
      </c>
      <c r="C455" t="s">
        <v>79</v>
      </c>
      <c r="D455" t="s">
        <v>36</v>
      </c>
      <c r="E455" t="s">
        <v>28</v>
      </c>
      <c r="F455" s="1">
        <v>44322</v>
      </c>
      <c r="G455">
        <v>2002</v>
      </c>
      <c r="H455" t="s">
        <v>70</v>
      </c>
      <c r="I455" t="s">
        <v>817</v>
      </c>
      <c r="J455" t="s">
        <v>30</v>
      </c>
      <c r="K455">
        <v>9.6999999999999993</v>
      </c>
      <c r="L455">
        <v>7557150</v>
      </c>
      <c r="M455">
        <v>3174855</v>
      </c>
      <c r="N455">
        <v>68</v>
      </c>
      <c r="O455" t="s">
        <v>123</v>
      </c>
    </row>
    <row r="456" spans="1:16" x14ac:dyDescent="0.35">
      <c r="A456" t="s">
        <v>1074</v>
      </c>
      <c r="B456" t="s">
        <v>1073</v>
      </c>
      <c r="C456" t="s">
        <v>35</v>
      </c>
      <c r="D456" t="s">
        <v>54</v>
      </c>
      <c r="E456" t="s">
        <v>131</v>
      </c>
      <c r="F456" s="1">
        <v>43901</v>
      </c>
      <c r="G456">
        <v>2023</v>
      </c>
      <c r="I456" t="s">
        <v>118</v>
      </c>
      <c r="J456" t="s">
        <v>153</v>
      </c>
      <c r="K456">
        <v>9.5</v>
      </c>
      <c r="L456">
        <v>5094279</v>
      </c>
      <c r="M456">
        <v>176519</v>
      </c>
      <c r="N456">
        <v>48</v>
      </c>
      <c r="O456" t="s">
        <v>91</v>
      </c>
      <c r="P456" t="s">
        <v>42</v>
      </c>
    </row>
    <row r="457" spans="1:16" x14ac:dyDescent="0.35">
      <c r="A457" t="s">
        <v>1075</v>
      </c>
      <c r="B457" t="s">
        <v>1076</v>
      </c>
      <c r="C457" t="s">
        <v>84</v>
      </c>
      <c r="D457" t="s">
        <v>36</v>
      </c>
      <c r="F457" s="1">
        <v>44601</v>
      </c>
      <c r="G457">
        <v>2032</v>
      </c>
      <c r="H457" t="s">
        <v>46</v>
      </c>
      <c r="I457" t="s">
        <v>608</v>
      </c>
      <c r="J457" t="s">
        <v>30</v>
      </c>
      <c r="K457">
        <v>7.6</v>
      </c>
      <c r="L457">
        <v>13196688</v>
      </c>
      <c r="M457">
        <v>3063155</v>
      </c>
      <c r="N457">
        <v>52</v>
      </c>
      <c r="O457" t="s">
        <v>58</v>
      </c>
    </row>
    <row r="458" spans="1:16" x14ac:dyDescent="0.35">
      <c r="A458" t="s">
        <v>1077</v>
      </c>
      <c r="B458" t="s">
        <v>1078</v>
      </c>
      <c r="C458" t="s">
        <v>35</v>
      </c>
      <c r="D458" t="s">
        <v>75</v>
      </c>
      <c r="E458" t="s">
        <v>113</v>
      </c>
      <c r="F458" s="1">
        <v>44954</v>
      </c>
      <c r="G458">
        <v>2022</v>
      </c>
      <c r="H458" t="s">
        <v>63</v>
      </c>
      <c r="I458" t="s">
        <v>64</v>
      </c>
      <c r="J458" t="s">
        <v>76</v>
      </c>
      <c r="K458">
        <v>6.6</v>
      </c>
      <c r="L458">
        <v>-540</v>
      </c>
      <c r="M458">
        <v>2601980</v>
      </c>
      <c r="N458">
        <v>40</v>
      </c>
      <c r="O458" t="s">
        <v>91</v>
      </c>
      <c r="P458" t="s">
        <v>87</v>
      </c>
    </row>
    <row r="459" spans="1:16" x14ac:dyDescent="0.35">
      <c r="A459" t="s">
        <v>1079</v>
      </c>
      <c r="B459" t="s">
        <v>1078</v>
      </c>
      <c r="C459" t="s">
        <v>79</v>
      </c>
      <c r="D459" t="s">
        <v>61</v>
      </c>
      <c r="E459" t="s">
        <v>165</v>
      </c>
      <c r="F459" s="1">
        <v>44784</v>
      </c>
      <c r="G459">
        <v>2002</v>
      </c>
      <c r="H459" t="s">
        <v>63</v>
      </c>
      <c r="I459" t="s">
        <v>86</v>
      </c>
      <c r="K459">
        <v>8.5</v>
      </c>
      <c r="L459">
        <v>14248355</v>
      </c>
      <c r="M459">
        <v>4148235</v>
      </c>
      <c r="N459">
        <v>76</v>
      </c>
      <c r="O459" t="s">
        <v>49</v>
      </c>
      <c r="P459" t="s">
        <v>32</v>
      </c>
    </row>
    <row r="460" spans="1:16" x14ac:dyDescent="0.35">
      <c r="A460" t="s">
        <v>1080</v>
      </c>
      <c r="B460" t="s">
        <v>1081</v>
      </c>
      <c r="D460" t="s">
        <v>61</v>
      </c>
      <c r="E460" t="s">
        <v>80</v>
      </c>
      <c r="F460" s="1">
        <v>42882</v>
      </c>
      <c r="G460">
        <v>2011</v>
      </c>
      <c r="H460" t="s">
        <v>21</v>
      </c>
      <c r="I460" t="s">
        <v>136</v>
      </c>
      <c r="J460" t="s">
        <v>30</v>
      </c>
      <c r="K460">
        <v>7.4</v>
      </c>
      <c r="L460">
        <v>2163277</v>
      </c>
      <c r="M460">
        <v>4801067</v>
      </c>
      <c r="N460">
        <v>63</v>
      </c>
      <c r="O460" t="s">
        <v>58</v>
      </c>
      <c r="P460" t="s">
        <v>87</v>
      </c>
    </row>
    <row r="461" spans="1:16" x14ac:dyDescent="0.35">
      <c r="A461" t="s">
        <v>1082</v>
      </c>
      <c r="B461" t="s">
        <v>1083</v>
      </c>
      <c r="C461" t="s">
        <v>18</v>
      </c>
      <c r="F461" s="1">
        <v>46096</v>
      </c>
      <c r="G461">
        <v>2011</v>
      </c>
      <c r="H461" t="s">
        <v>107</v>
      </c>
      <c r="I461" t="s">
        <v>195</v>
      </c>
      <c r="J461" t="s">
        <v>153</v>
      </c>
      <c r="K461">
        <v>7.8</v>
      </c>
      <c r="L461">
        <v>5963288</v>
      </c>
      <c r="M461">
        <v>1999894</v>
      </c>
      <c r="N461">
        <v>64</v>
      </c>
    </row>
    <row r="462" spans="1:16" x14ac:dyDescent="0.35">
      <c r="A462" t="s">
        <v>1084</v>
      </c>
      <c r="B462" t="s">
        <v>1085</v>
      </c>
      <c r="C462" t="s">
        <v>79</v>
      </c>
      <c r="D462" t="s">
        <v>54</v>
      </c>
      <c r="E462" t="s">
        <v>20</v>
      </c>
      <c r="F462" s="1">
        <v>42864</v>
      </c>
      <c r="G462">
        <v>2000</v>
      </c>
      <c r="H462" t="s">
        <v>121</v>
      </c>
      <c r="I462" t="s">
        <v>312</v>
      </c>
      <c r="J462" t="s">
        <v>103</v>
      </c>
      <c r="K462">
        <v>5.7</v>
      </c>
      <c r="L462">
        <v>22291540</v>
      </c>
      <c r="M462">
        <v>3238509</v>
      </c>
      <c r="N462">
        <v>64</v>
      </c>
      <c r="O462" t="s">
        <v>58</v>
      </c>
      <c r="P462" t="s">
        <v>32</v>
      </c>
    </row>
    <row r="463" spans="1:16" x14ac:dyDescent="0.35">
      <c r="A463" t="s">
        <v>1086</v>
      </c>
      <c r="B463" t="s">
        <v>1087</v>
      </c>
      <c r="C463" t="s">
        <v>79</v>
      </c>
      <c r="D463" t="s">
        <v>90</v>
      </c>
      <c r="E463" t="s">
        <v>37</v>
      </c>
      <c r="F463" s="1">
        <v>42501</v>
      </c>
      <c r="G463">
        <v>2002</v>
      </c>
      <c r="H463" t="s">
        <v>38</v>
      </c>
      <c r="I463" t="s">
        <v>195</v>
      </c>
      <c r="J463" t="s">
        <v>103</v>
      </c>
      <c r="K463">
        <v>8.6</v>
      </c>
      <c r="L463">
        <v>12824925</v>
      </c>
      <c r="M463">
        <v>4188883</v>
      </c>
      <c r="N463">
        <v>88</v>
      </c>
      <c r="O463" t="s">
        <v>123</v>
      </c>
      <c r="P463" t="s">
        <v>87</v>
      </c>
    </row>
    <row r="464" spans="1:16" x14ac:dyDescent="0.35">
      <c r="A464" t="s">
        <v>1088</v>
      </c>
      <c r="B464" t="s">
        <v>1089</v>
      </c>
      <c r="C464" t="s">
        <v>53</v>
      </c>
      <c r="D464" t="s">
        <v>19</v>
      </c>
      <c r="E464" t="s">
        <v>80</v>
      </c>
      <c r="F464" s="1">
        <v>43517</v>
      </c>
      <c r="G464">
        <v>2001</v>
      </c>
      <c r="H464" t="s">
        <v>85</v>
      </c>
      <c r="I464" t="s">
        <v>71</v>
      </c>
      <c r="J464" t="s">
        <v>30</v>
      </c>
      <c r="K464">
        <v>6.4</v>
      </c>
      <c r="L464">
        <v>21607608</v>
      </c>
      <c r="M464">
        <v>3151384</v>
      </c>
      <c r="N464">
        <v>77</v>
      </c>
      <c r="O464" t="s">
        <v>104</v>
      </c>
    </row>
    <row r="465" spans="1:16" x14ac:dyDescent="0.35">
      <c r="A465" t="s">
        <v>1090</v>
      </c>
      <c r="B465" t="s">
        <v>1091</v>
      </c>
      <c r="C465" t="s">
        <v>35</v>
      </c>
      <c r="D465" t="s">
        <v>156</v>
      </c>
      <c r="E465" t="s">
        <v>113</v>
      </c>
      <c r="F465" s="1">
        <v>45341</v>
      </c>
      <c r="G465">
        <v>2007</v>
      </c>
      <c r="H465" t="s">
        <v>21</v>
      </c>
      <c r="I465" t="s">
        <v>71</v>
      </c>
      <c r="J465" t="s">
        <v>72</v>
      </c>
      <c r="K465">
        <v>5.3</v>
      </c>
      <c r="L465">
        <v>4433305</v>
      </c>
      <c r="M465">
        <v>4029494</v>
      </c>
      <c r="N465">
        <v>59</v>
      </c>
      <c r="O465" t="s">
        <v>31</v>
      </c>
      <c r="P465" t="s">
        <v>50</v>
      </c>
    </row>
    <row r="466" spans="1:16" x14ac:dyDescent="0.35">
      <c r="A466" t="s">
        <v>1092</v>
      </c>
      <c r="B466" t="s">
        <v>1093</v>
      </c>
      <c r="C466" t="s">
        <v>79</v>
      </c>
      <c r="E466" t="s">
        <v>131</v>
      </c>
      <c r="F466" s="1">
        <v>42526</v>
      </c>
      <c r="G466">
        <v>2020</v>
      </c>
      <c r="H466" t="s">
        <v>85</v>
      </c>
      <c r="I466" t="s">
        <v>747</v>
      </c>
      <c r="J466" t="s">
        <v>100</v>
      </c>
      <c r="K466">
        <v>6</v>
      </c>
      <c r="L466">
        <v>16722900</v>
      </c>
      <c r="M466">
        <v>881566</v>
      </c>
      <c r="N466">
        <v>43</v>
      </c>
      <c r="O466" t="s">
        <v>41</v>
      </c>
      <c r="P466" t="s">
        <v>50</v>
      </c>
    </row>
    <row r="467" spans="1:16" x14ac:dyDescent="0.35">
      <c r="A467" t="s">
        <v>1094</v>
      </c>
      <c r="B467" t="s">
        <v>1095</v>
      </c>
      <c r="C467" t="s">
        <v>53</v>
      </c>
      <c r="D467" t="s">
        <v>90</v>
      </c>
      <c r="E467" t="s">
        <v>80</v>
      </c>
      <c r="F467" s="1">
        <v>42723</v>
      </c>
      <c r="G467">
        <v>2001</v>
      </c>
      <c r="I467" t="s">
        <v>136</v>
      </c>
      <c r="J467" t="s">
        <v>40</v>
      </c>
      <c r="K467">
        <v>8</v>
      </c>
      <c r="L467">
        <v>13354192</v>
      </c>
      <c r="M467">
        <v>2525944</v>
      </c>
      <c r="N467">
        <v>76</v>
      </c>
      <c r="O467" t="s">
        <v>65</v>
      </c>
      <c r="P467" t="s">
        <v>50</v>
      </c>
    </row>
    <row r="468" spans="1:16" x14ac:dyDescent="0.35">
      <c r="A468" t="s">
        <v>1096</v>
      </c>
      <c r="B468" t="s">
        <v>1097</v>
      </c>
      <c r="C468" t="s">
        <v>53</v>
      </c>
      <c r="D468" t="s">
        <v>19</v>
      </c>
      <c r="F468" s="1">
        <v>45916</v>
      </c>
      <c r="G468">
        <v>2003</v>
      </c>
      <c r="H468" t="s">
        <v>70</v>
      </c>
      <c r="I468" t="s">
        <v>56</v>
      </c>
      <c r="J468" t="s">
        <v>23</v>
      </c>
      <c r="K468">
        <v>7.1</v>
      </c>
      <c r="L468">
        <v>21701269</v>
      </c>
      <c r="M468">
        <v>1856734</v>
      </c>
      <c r="N468">
        <v>75</v>
      </c>
      <c r="O468" t="s">
        <v>123</v>
      </c>
      <c r="P468" t="s">
        <v>50</v>
      </c>
    </row>
    <row r="469" spans="1:16" x14ac:dyDescent="0.35">
      <c r="A469" t="s">
        <v>1098</v>
      </c>
      <c r="B469" t="s">
        <v>1099</v>
      </c>
      <c r="E469" t="s">
        <v>62</v>
      </c>
      <c r="F469" s="1">
        <v>45235</v>
      </c>
      <c r="G469">
        <v>2024</v>
      </c>
      <c r="H469" t="s">
        <v>121</v>
      </c>
      <c r="I469" t="s">
        <v>162</v>
      </c>
      <c r="J469" t="s">
        <v>30</v>
      </c>
      <c r="K469">
        <v>8.1999999999999993</v>
      </c>
      <c r="L469">
        <v>24218004</v>
      </c>
      <c r="M469">
        <v>4186015</v>
      </c>
      <c r="N469">
        <v>56</v>
      </c>
      <c r="O469" t="s">
        <v>49</v>
      </c>
      <c r="P469" t="s">
        <v>50</v>
      </c>
    </row>
    <row r="470" spans="1:16" x14ac:dyDescent="0.35">
      <c r="A470" t="s">
        <v>1100</v>
      </c>
      <c r="B470" t="s">
        <v>1101</v>
      </c>
      <c r="D470" t="s">
        <v>54</v>
      </c>
      <c r="F470" s="1">
        <v>42639</v>
      </c>
      <c r="G470">
        <v>2024</v>
      </c>
      <c r="H470" t="s">
        <v>46</v>
      </c>
      <c r="I470" t="s">
        <v>64</v>
      </c>
      <c r="J470" t="s">
        <v>133</v>
      </c>
      <c r="K470">
        <v>9.6</v>
      </c>
      <c r="L470">
        <v>15314962</v>
      </c>
      <c r="M470">
        <v>3452690</v>
      </c>
      <c r="N470">
        <v>46</v>
      </c>
      <c r="P470" t="s">
        <v>50</v>
      </c>
    </row>
    <row r="471" spans="1:16" x14ac:dyDescent="0.35">
      <c r="A471" t="s">
        <v>1102</v>
      </c>
      <c r="B471" t="s">
        <v>1103</v>
      </c>
      <c r="E471" t="s">
        <v>28</v>
      </c>
      <c r="F471" s="1">
        <v>42432</v>
      </c>
      <c r="G471">
        <v>2018</v>
      </c>
      <c r="H471" t="s">
        <v>114</v>
      </c>
      <c r="I471" t="s">
        <v>56</v>
      </c>
      <c r="J471" t="s">
        <v>23</v>
      </c>
      <c r="K471">
        <v>5.3</v>
      </c>
      <c r="L471">
        <v>18681804</v>
      </c>
      <c r="M471">
        <v>968245</v>
      </c>
      <c r="N471">
        <v>79</v>
      </c>
      <c r="P471" t="s">
        <v>87</v>
      </c>
    </row>
    <row r="472" spans="1:16" x14ac:dyDescent="0.35">
      <c r="A472" t="s">
        <v>1104</v>
      </c>
      <c r="B472" t="s">
        <v>1105</v>
      </c>
      <c r="C472" t="s">
        <v>35</v>
      </c>
      <c r="D472" t="s">
        <v>61</v>
      </c>
      <c r="E472" t="s">
        <v>69</v>
      </c>
      <c r="F472" s="1">
        <v>43433</v>
      </c>
      <c r="G472">
        <v>2010</v>
      </c>
      <c r="H472" t="s">
        <v>107</v>
      </c>
      <c r="I472" t="s">
        <v>64</v>
      </c>
      <c r="J472" t="s">
        <v>103</v>
      </c>
      <c r="K472">
        <v>11.2</v>
      </c>
      <c r="L472">
        <v>8516170</v>
      </c>
      <c r="M472">
        <v>3066049</v>
      </c>
      <c r="N472">
        <v>43</v>
      </c>
      <c r="O472" t="s">
        <v>24</v>
      </c>
      <c r="P472" t="s">
        <v>42</v>
      </c>
    </row>
    <row r="473" spans="1:16" x14ac:dyDescent="0.35">
      <c r="A473" t="s">
        <v>1106</v>
      </c>
      <c r="B473" t="s">
        <v>1107</v>
      </c>
      <c r="C473" t="s">
        <v>84</v>
      </c>
      <c r="D473" t="s">
        <v>156</v>
      </c>
      <c r="E473" t="s">
        <v>45</v>
      </c>
      <c r="F473" s="1">
        <v>42694</v>
      </c>
      <c r="G473">
        <v>2026</v>
      </c>
      <c r="I473" t="s">
        <v>608</v>
      </c>
      <c r="J473" t="s">
        <v>96</v>
      </c>
      <c r="K473">
        <v>7.4</v>
      </c>
      <c r="L473">
        <v>11106099</v>
      </c>
      <c r="M473">
        <v>3661943</v>
      </c>
      <c r="N473">
        <v>71</v>
      </c>
      <c r="O473" t="s">
        <v>91</v>
      </c>
      <c r="P473" t="s">
        <v>32</v>
      </c>
    </row>
    <row r="474" spans="1:16" x14ac:dyDescent="0.35">
      <c r="A474" t="s">
        <v>1108</v>
      </c>
      <c r="B474" t="s">
        <v>1109</v>
      </c>
      <c r="C474" t="s">
        <v>18</v>
      </c>
      <c r="D474" t="s">
        <v>27</v>
      </c>
      <c r="E474" t="s">
        <v>28</v>
      </c>
      <c r="F474" s="1">
        <v>43885</v>
      </c>
      <c r="G474">
        <v>2013</v>
      </c>
      <c r="H474" t="s">
        <v>38</v>
      </c>
      <c r="I474" t="s">
        <v>661</v>
      </c>
      <c r="J474" t="s">
        <v>40</v>
      </c>
      <c r="K474">
        <v>8.5</v>
      </c>
      <c r="L474">
        <v>16901053</v>
      </c>
      <c r="M474">
        <v>2266809</v>
      </c>
      <c r="N474">
        <v>80</v>
      </c>
      <c r="O474" t="s">
        <v>123</v>
      </c>
      <c r="P474" t="s">
        <v>87</v>
      </c>
    </row>
    <row r="475" spans="1:16" x14ac:dyDescent="0.35">
      <c r="A475" t="s">
        <v>1110</v>
      </c>
      <c r="B475" t="s">
        <v>1111</v>
      </c>
      <c r="C475" t="s">
        <v>35</v>
      </c>
      <c r="D475" t="s">
        <v>19</v>
      </c>
      <c r="E475" t="s">
        <v>99</v>
      </c>
      <c r="F475" s="1">
        <v>42875</v>
      </c>
      <c r="G475">
        <v>2012</v>
      </c>
      <c r="H475" t="s">
        <v>38</v>
      </c>
      <c r="I475" t="s">
        <v>56</v>
      </c>
      <c r="J475" t="s">
        <v>76</v>
      </c>
      <c r="K475">
        <v>9.3000000000000007</v>
      </c>
      <c r="L475">
        <v>13340948</v>
      </c>
      <c r="M475">
        <v>1473180</v>
      </c>
      <c r="N475">
        <v>46</v>
      </c>
      <c r="O475" t="s">
        <v>58</v>
      </c>
      <c r="P475" t="s">
        <v>87</v>
      </c>
    </row>
    <row r="476" spans="1:16" x14ac:dyDescent="0.35">
      <c r="A476" t="s">
        <v>1112</v>
      </c>
      <c r="B476" t="s">
        <v>1113</v>
      </c>
      <c r="C476" t="s">
        <v>35</v>
      </c>
      <c r="D476" t="s">
        <v>68</v>
      </c>
      <c r="F476" s="1">
        <v>45513</v>
      </c>
      <c r="G476">
        <v>2013</v>
      </c>
      <c r="H476" t="s">
        <v>70</v>
      </c>
      <c r="I476" t="s">
        <v>136</v>
      </c>
      <c r="J476" t="s">
        <v>40</v>
      </c>
      <c r="K476">
        <v>6.2</v>
      </c>
      <c r="L476">
        <v>22313550</v>
      </c>
      <c r="M476">
        <v>2516988</v>
      </c>
      <c r="N476">
        <v>81</v>
      </c>
      <c r="O476" t="s">
        <v>91</v>
      </c>
      <c r="P476" t="s">
        <v>50</v>
      </c>
    </row>
    <row r="477" spans="1:16" x14ac:dyDescent="0.35">
      <c r="A477" t="s">
        <v>1114</v>
      </c>
      <c r="B477" t="s">
        <v>1115</v>
      </c>
      <c r="C477" t="s">
        <v>84</v>
      </c>
      <c r="D477" t="s">
        <v>27</v>
      </c>
      <c r="F477" s="1">
        <v>44512</v>
      </c>
      <c r="G477">
        <v>2019</v>
      </c>
      <c r="H477" t="s">
        <v>121</v>
      </c>
      <c r="I477" t="s">
        <v>987</v>
      </c>
      <c r="J477" t="s">
        <v>30</v>
      </c>
      <c r="K477">
        <v>9.5</v>
      </c>
      <c r="L477">
        <v>24280756</v>
      </c>
      <c r="M477">
        <v>4011363</v>
      </c>
      <c r="N477">
        <v>100</v>
      </c>
      <c r="O477" t="s">
        <v>123</v>
      </c>
      <c r="P477" t="s">
        <v>42</v>
      </c>
    </row>
    <row r="478" spans="1:16" x14ac:dyDescent="0.35">
      <c r="A478" t="s">
        <v>1116</v>
      </c>
      <c r="B478" t="s">
        <v>1117</v>
      </c>
      <c r="C478" t="s">
        <v>84</v>
      </c>
      <c r="D478" t="s">
        <v>90</v>
      </c>
      <c r="E478" t="s">
        <v>69</v>
      </c>
      <c r="F478" s="1">
        <v>44847</v>
      </c>
      <c r="G478">
        <v>2000</v>
      </c>
      <c r="H478" t="s">
        <v>21</v>
      </c>
      <c r="I478" t="s">
        <v>204</v>
      </c>
      <c r="J478" t="s">
        <v>76</v>
      </c>
      <c r="K478">
        <v>7.2</v>
      </c>
      <c r="L478">
        <v>22941048</v>
      </c>
      <c r="M478">
        <v>662911</v>
      </c>
      <c r="N478">
        <v>88</v>
      </c>
      <c r="O478" t="s">
        <v>24</v>
      </c>
      <c r="P478" t="s">
        <v>87</v>
      </c>
    </row>
    <row r="479" spans="1:16" x14ac:dyDescent="0.35">
      <c r="A479" t="s">
        <v>1118</v>
      </c>
      <c r="B479" t="s">
        <v>1119</v>
      </c>
      <c r="C479" t="s">
        <v>84</v>
      </c>
      <c r="D479" t="s">
        <v>27</v>
      </c>
      <c r="E479" t="s">
        <v>165</v>
      </c>
      <c r="F479" s="1">
        <v>44357</v>
      </c>
      <c r="G479">
        <v>2026</v>
      </c>
      <c r="H479" t="s">
        <v>38</v>
      </c>
      <c r="I479" t="s">
        <v>1120</v>
      </c>
      <c r="J479" t="s">
        <v>76</v>
      </c>
      <c r="K479">
        <v>7.2</v>
      </c>
      <c r="L479">
        <v>4345725</v>
      </c>
      <c r="M479">
        <v>3070335</v>
      </c>
      <c r="N479">
        <v>82</v>
      </c>
      <c r="O479" t="s">
        <v>49</v>
      </c>
      <c r="P479" t="s">
        <v>42</v>
      </c>
    </row>
    <row r="480" spans="1:16" x14ac:dyDescent="0.35">
      <c r="A480" t="s">
        <v>1121</v>
      </c>
      <c r="B480" t="s">
        <v>1122</v>
      </c>
      <c r="C480" t="s">
        <v>84</v>
      </c>
      <c r="D480" t="s">
        <v>90</v>
      </c>
      <c r="E480" t="s">
        <v>80</v>
      </c>
      <c r="F480" s="1">
        <v>43609</v>
      </c>
      <c r="G480">
        <v>2020</v>
      </c>
      <c r="H480" t="s">
        <v>38</v>
      </c>
      <c r="I480" t="s">
        <v>402</v>
      </c>
      <c r="J480" t="s">
        <v>30</v>
      </c>
      <c r="K480">
        <v>7.8</v>
      </c>
      <c r="L480">
        <v>20751890</v>
      </c>
      <c r="M480">
        <v>2045511</v>
      </c>
      <c r="N480">
        <v>64</v>
      </c>
      <c r="O480" t="s">
        <v>24</v>
      </c>
    </row>
    <row r="481" spans="1:16" x14ac:dyDescent="0.35">
      <c r="A481" t="s">
        <v>1123</v>
      </c>
      <c r="B481" t="s">
        <v>1124</v>
      </c>
      <c r="C481" t="s">
        <v>84</v>
      </c>
      <c r="D481" t="s">
        <v>94</v>
      </c>
      <c r="F481" s="1">
        <v>44394</v>
      </c>
      <c r="G481">
        <v>2015</v>
      </c>
      <c r="H481" t="s">
        <v>114</v>
      </c>
      <c r="I481" t="s">
        <v>150</v>
      </c>
      <c r="J481" t="s">
        <v>153</v>
      </c>
      <c r="K481">
        <v>5.5</v>
      </c>
      <c r="L481">
        <v>2582685</v>
      </c>
      <c r="M481">
        <v>2176901</v>
      </c>
      <c r="N481">
        <v>73</v>
      </c>
      <c r="O481" t="s">
        <v>65</v>
      </c>
    </row>
    <row r="482" spans="1:16" x14ac:dyDescent="0.35">
      <c r="A482" t="s">
        <v>1125</v>
      </c>
      <c r="B482" t="s">
        <v>1126</v>
      </c>
      <c r="C482" t="s">
        <v>84</v>
      </c>
      <c r="D482" t="s">
        <v>27</v>
      </c>
      <c r="E482" t="s">
        <v>80</v>
      </c>
      <c r="F482" s="1">
        <v>43072</v>
      </c>
      <c r="G482">
        <v>2024</v>
      </c>
      <c r="H482" t="s">
        <v>114</v>
      </c>
      <c r="I482" t="s">
        <v>571</v>
      </c>
      <c r="K482">
        <v>6.7</v>
      </c>
      <c r="L482">
        <v>20014024</v>
      </c>
      <c r="M482">
        <v>2547365</v>
      </c>
      <c r="N482">
        <v>61</v>
      </c>
      <c r="O482" t="s">
        <v>104</v>
      </c>
      <c r="P482" t="s">
        <v>50</v>
      </c>
    </row>
    <row r="483" spans="1:16" x14ac:dyDescent="0.35">
      <c r="A483" t="s">
        <v>1127</v>
      </c>
      <c r="B483" t="s">
        <v>1128</v>
      </c>
      <c r="C483" t="s">
        <v>53</v>
      </c>
      <c r="D483" t="s">
        <v>36</v>
      </c>
      <c r="E483" t="s">
        <v>131</v>
      </c>
      <c r="F483" s="1">
        <v>42212</v>
      </c>
      <c r="G483">
        <v>2018</v>
      </c>
      <c r="H483" t="s">
        <v>107</v>
      </c>
      <c r="I483" t="s">
        <v>162</v>
      </c>
      <c r="J483" t="s">
        <v>133</v>
      </c>
      <c r="K483">
        <v>6.8</v>
      </c>
      <c r="L483">
        <v>19434219</v>
      </c>
      <c r="M483">
        <v>3897593</v>
      </c>
      <c r="N483">
        <v>49</v>
      </c>
      <c r="P483" t="s">
        <v>42</v>
      </c>
    </row>
    <row r="484" spans="1:16" x14ac:dyDescent="0.35">
      <c r="A484" t="s">
        <v>1129</v>
      </c>
      <c r="B484" t="s">
        <v>1130</v>
      </c>
      <c r="C484" t="s">
        <v>79</v>
      </c>
      <c r="D484" t="s">
        <v>19</v>
      </c>
      <c r="E484" t="s">
        <v>165</v>
      </c>
      <c r="F484" s="1">
        <v>42711</v>
      </c>
      <c r="G484">
        <v>2020</v>
      </c>
      <c r="I484" t="s">
        <v>608</v>
      </c>
      <c r="J484" t="s">
        <v>57</v>
      </c>
      <c r="K484">
        <v>5.9</v>
      </c>
      <c r="L484">
        <v>4412040</v>
      </c>
      <c r="M484">
        <v>1530449</v>
      </c>
      <c r="N484">
        <v>73</v>
      </c>
      <c r="O484" t="s">
        <v>91</v>
      </c>
      <c r="P484" t="s">
        <v>42</v>
      </c>
    </row>
    <row r="485" spans="1:16" x14ac:dyDescent="0.35">
      <c r="A485" t="s">
        <v>1131</v>
      </c>
      <c r="B485" t="s">
        <v>1132</v>
      </c>
      <c r="C485" t="s">
        <v>18</v>
      </c>
      <c r="D485" t="s">
        <v>90</v>
      </c>
      <c r="E485" t="s">
        <v>165</v>
      </c>
      <c r="F485" s="1">
        <v>42704</v>
      </c>
      <c r="G485">
        <v>2000</v>
      </c>
      <c r="H485" t="s">
        <v>63</v>
      </c>
      <c r="I485" t="s">
        <v>294</v>
      </c>
      <c r="J485" t="s">
        <v>40</v>
      </c>
      <c r="K485">
        <v>7.7</v>
      </c>
      <c r="L485">
        <v>22577279</v>
      </c>
      <c r="M485">
        <v>4064248</v>
      </c>
      <c r="N485">
        <v>93</v>
      </c>
      <c r="O485" t="s">
        <v>104</v>
      </c>
    </row>
    <row r="486" spans="1:16" x14ac:dyDescent="0.35">
      <c r="A486" t="s">
        <v>1133</v>
      </c>
      <c r="B486" t="s">
        <v>1134</v>
      </c>
      <c r="C486" t="s">
        <v>35</v>
      </c>
      <c r="D486" t="s">
        <v>19</v>
      </c>
      <c r="E486" t="s">
        <v>99</v>
      </c>
      <c r="F486" s="1">
        <v>44540</v>
      </c>
      <c r="G486">
        <v>2019</v>
      </c>
      <c r="I486" t="s">
        <v>118</v>
      </c>
      <c r="J486" t="s">
        <v>72</v>
      </c>
      <c r="K486">
        <v>6.5</v>
      </c>
      <c r="L486">
        <v>24024067</v>
      </c>
      <c r="M486">
        <v>3731116</v>
      </c>
      <c r="N486">
        <v>85</v>
      </c>
      <c r="P486" t="s">
        <v>87</v>
      </c>
    </row>
    <row r="487" spans="1:16" x14ac:dyDescent="0.35">
      <c r="A487" t="s">
        <v>1135</v>
      </c>
      <c r="B487" t="s">
        <v>1136</v>
      </c>
      <c r="C487" t="s">
        <v>84</v>
      </c>
      <c r="D487" t="s">
        <v>75</v>
      </c>
      <c r="E487" t="s">
        <v>37</v>
      </c>
      <c r="F487" s="1">
        <v>43873</v>
      </c>
      <c r="G487">
        <v>2019</v>
      </c>
      <c r="H487" t="s">
        <v>114</v>
      </c>
      <c r="I487" t="s">
        <v>115</v>
      </c>
      <c r="J487" t="s">
        <v>30</v>
      </c>
      <c r="K487">
        <v>9.1999999999999993</v>
      </c>
      <c r="L487">
        <v>8616792</v>
      </c>
      <c r="M487">
        <v>3921652</v>
      </c>
      <c r="N487">
        <v>66</v>
      </c>
      <c r="P487" t="s">
        <v>42</v>
      </c>
    </row>
    <row r="488" spans="1:16" x14ac:dyDescent="0.35">
      <c r="A488" t="s">
        <v>1137</v>
      </c>
      <c r="B488" t="s">
        <v>1138</v>
      </c>
      <c r="C488" t="s">
        <v>35</v>
      </c>
      <c r="E488" t="s">
        <v>80</v>
      </c>
      <c r="F488" s="1">
        <v>42462</v>
      </c>
      <c r="G488">
        <v>2018</v>
      </c>
      <c r="H488" t="s">
        <v>114</v>
      </c>
      <c r="I488" t="s">
        <v>118</v>
      </c>
      <c r="J488" t="s">
        <v>153</v>
      </c>
      <c r="K488">
        <v>4.7</v>
      </c>
      <c r="L488">
        <v>23664092</v>
      </c>
      <c r="M488">
        <v>1308636</v>
      </c>
      <c r="N488">
        <v>98</v>
      </c>
      <c r="O488" t="s">
        <v>31</v>
      </c>
      <c r="P488" t="s">
        <v>87</v>
      </c>
    </row>
    <row r="489" spans="1:16" x14ac:dyDescent="0.35">
      <c r="A489" t="s">
        <v>1139</v>
      </c>
      <c r="B489" t="s">
        <v>1140</v>
      </c>
      <c r="C489" t="s">
        <v>53</v>
      </c>
      <c r="D489" t="s">
        <v>61</v>
      </c>
      <c r="E489" t="s">
        <v>45</v>
      </c>
      <c r="F489" s="1">
        <v>44867</v>
      </c>
      <c r="G489">
        <v>2010</v>
      </c>
      <c r="H489" t="s">
        <v>70</v>
      </c>
      <c r="I489" t="s">
        <v>39</v>
      </c>
      <c r="J489" t="s">
        <v>30</v>
      </c>
      <c r="K489">
        <v>6.1</v>
      </c>
      <c r="L489">
        <v>22549545</v>
      </c>
      <c r="M489">
        <v>3915701</v>
      </c>
      <c r="N489">
        <v>69</v>
      </c>
      <c r="O489" t="s">
        <v>104</v>
      </c>
      <c r="P489" t="s">
        <v>50</v>
      </c>
    </row>
    <row r="490" spans="1:16" x14ac:dyDescent="0.35">
      <c r="A490" t="s">
        <v>1141</v>
      </c>
      <c r="B490" t="s">
        <v>1142</v>
      </c>
      <c r="C490" t="s">
        <v>79</v>
      </c>
      <c r="E490" t="s">
        <v>113</v>
      </c>
      <c r="F490" s="1">
        <v>45507</v>
      </c>
      <c r="G490">
        <v>2002</v>
      </c>
      <c r="H490" t="s">
        <v>85</v>
      </c>
      <c r="I490" t="s">
        <v>747</v>
      </c>
      <c r="J490" t="s">
        <v>48</v>
      </c>
      <c r="K490">
        <v>6.8</v>
      </c>
      <c r="L490">
        <v>1040860</v>
      </c>
      <c r="M490">
        <v>1903981</v>
      </c>
      <c r="N490">
        <v>120</v>
      </c>
      <c r="O490" t="s">
        <v>58</v>
      </c>
      <c r="P490" t="s">
        <v>32</v>
      </c>
    </row>
    <row r="491" spans="1:16" x14ac:dyDescent="0.35">
      <c r="A491" t="s">
        <v>1143</v>
      </c>
      <c r="B491" t="s">
        <v>1144</v>
      </c>
      <c r="C491" t="s">
        <v>79</v>
      </c>
      <c r="D491" t="s">
        <v>94</v>
      </c>
      <c r="E491" t="s">
        <v>99</v>
      </c>
      <c r="F491" s="1">
        <v>42330</v>
      </c>
      <c r="G491">
        <v>2004</v>
      </c>
      <c r="H491" t="s">
        <v>46</v>
      </c>
      <c r="I491" t="s">
        <v>115</v>
      </c>
      <c r="J491" t="s">
        <v>48</v>
      </c>
      <c r="K491">
        <v>8.5</v>
      </c>
      <c r="L491">
        <v>14784019</v>
      </c>
      <c r="M491">
        <v>1437567</v>
      </c>
      <c r="N491">
        <v>93</v>
      </c>
      <c r="O491" t="s">
        <v>104</v>
      </c>
      <c r="P491" t="s">
        <v>87</v>
      </c>
    </row>
    <row r="492" spans="1:16" x14ac:dyDescent="0.35">
      <c r="A492" t="s">
        <v>1145</v>
      </c>
      <c r="B492" t="s">
        <v>1144</v>
      </c>
      <c r="C492" t="s">
        <v>84</v>
      </c>
      <c r="E492" t="s">
        <v>62</v>
      </c>
      <c r="F492" s="1">
        <v>44825</v>
      </c>
      <c r="G492">
        <v>2018</v>
      </c>
      <c r="H492" t="s">
        <v>46</v>
      </c>
      <c r="I492" t="s">
        <v>696</v>
      </c>
      <c r="J492" t="s">
        <v>48</v>
      </c>
      <c r="K492">
        <v>4.9000000000000004</v>
      </c>
      <c r="L492">
        <v>24653950</v>
      </c>
      <c r="M492">
        <v>834890</v>
      </c>
      <c r="N492">
        <v>44</v>
      </c>
      <c r="O492" t="s">
        <v>31</v>
      </c>
      <c r="P492" t="s">
        <v>50</v>
      </c>
    </row>
    <row r="493" spans="1:16" x14ac:dyDescent="0.35">
      <c r="A493" t="s">
        <v>1146</v>
      </c>
      <c r="B493" t="s">
        <v>1147</v>
      </c>
      <c r="D493" t="s">
        <v>61</v>
      </c>
      <c r="F493" s="1">
        <v>42928</v>
      </c>
      <c r="G493">
        <v>2021</v>
      </c>
      <c r="H493" t="s">
        <v>85</v>
      </c>
      <c r="I493" t="s">
        <v>56</v>
      </c>
      <c r="J493" t="s">
        <v>103</v>
      </c>
      <c r="K493">
        <v>8.1</v>
      </c>
      <c r="L493">
        <v>12344054</v>
      </c>
      <c r="M493">
        <v>2888132</v>
      </c>
      <c r="N493">
        <v>79</v>
      </c>
      <c r="O493" t="s">
        <v>49</v>
      </c>
      <c r="P493" t="s">
        <v>50</v>
      </c>
    </row>
    <row r="494" spans="1:16" x14ac:dyDescent="0.35">
      <c r="A494" t="s">
        <v>1148</v>
      </c>
      <c r="B494" t="s">
        <v>1149</v>
      </c>
      <c r="E494" t="s">
        <v>165</v>
      </c>
      <c r="F494" s="1">
        <v>45521</v>
      </c>
      <c r="G494">
        <v>2008</v>
      </c>
      <c r="H494" t="s">
        <v>85</v>
      </c>
      <c r="I494" t="s">
        <v>39</v>
      </c>
      <c r="J494" t="s">
        <v>96</v>
      </c>
      <c r="K494">
        <v>6.3</v>
      </c>
      <c r="L494">
        <v>23279895</v>
      </c>
      <c r="M494">
        <v>1868863</v>
      </c>
      <c r="N494">
        <v>76</v>
      </c>
      <c r="O494" t="s">
        <v>58</v>
      </c>
    </row>
    <row r="495" spans="1:16" x14ac:dyDescent="0.35">
      <c r="A495" t="s">
        <v>1150</v>
      </c>
      <c r="B495" t="s">
        <v>1151</v>
      </c>
      <c r="D495" t="s">
        <v>36</v>
      </c>
      <c r="E495" t="s">
        <v>113</v>
      </c>
      <c r="F495" s="1">
        <v>44629</v>
      </c>
      <c r="G495">
        <v>2016</v>
      </c>
      <c r="I495" t="s">
        <v>71</v>
      </c>
      <c r="K495">
        <v>6.5</v>
      </c>
      <c r="L495">
        <v>13643465</v>
      </c>
      <c r="M495">
        <v>3648546</v>
      </c>
      <c r="N495">
        <v>59</v>
      </c>
      <c r="O495" t="s">
        <v>24</v>
      </c>
      <c r="P495" t="s">
        <v>50</v>
      </c>
    </row>
    <row r="496" spans="1:16" x14ac:dyDescent="0.35">
      <c r="A496" t="s">
        <v>1152</v>
      </c>
      <c r="B496" t="s">
        <v>1153</v>
      </c>
      <c r="C496" t="s">
        <v>53</v>
      </c>
      <c r="D496" t="s">
        <v>54</v>
      </c>
      <c r="E496" t="s">
        <v>113</v>
      </c>
      <c r="F496" s="1">
        <v>45548</v>
      </c>
      <c r="G496">
        <v>2011</v>
      </c>
      <c r="H496" t="s">
        <v>121</v>
      </c>
      <c r="I496" t="s">
        <v>71</v>
      </c>
      <c r="J496" t="s">
        <v>153</v>
      </c>
      <c r="K496">
        <v>5.0999999999999996</v>
      </c>
      <c r="L496">
        <v>-856</v>
      </c>
      <c r="M496">
        <v>4001447</v>
      </c>
      <c r="N496">
        <v>68</v>
      </c>
      <c r="O496" t="s">
        <v>123</v>
      </c>
      <c r="P496" t="s">
        <v>87</v>
      </c>
    </row>
    <row r="497" spans="1:16" x14ac:dyDescent="0.35">
      <c r="A497" t="s">
        <v>1154</v>
      </c>
      <c r="B497" t="s">
        <v>1155</v>
      </c>
      <c r="C497" t="s">
        <v>35</v>
      </c>
      <c r="E497" t="s">
        <v>62</v>
      </c>
      <c r="F497" s="1">
        <v>43826</v>
      </c>
      <c r="G497">
        <v>2009</v>
      </c>
      <c r="I497" t="s">
        <v>39</v>
      </c>
      <c r="J497" t="s">
        <v>153</v>
      </c>
      <c r="K497">
        <v>6.1</v>
      </c>
      <c r="L497">
        <v>9728485</v>
      </c>
      <c r="M497">
        <v>1953228</v>
      </c>
      <c r="N497">
        <v>41</v>
      </c>
      <c r="O497" t="s">
        <v>123</v>
      </c>
      <c r="P497" t="s">
        <v>50</v>
      </c>
    </row>
    <row r="498" spans="1:16" x14ac:dyDescent="0.35">
      <c r="A498" t="s">
        <v>1156</v>
      </c>
      <c r="B498" t="s">
        <v>1155</v>
      </c>
      <c r="C498" t="s">
        <v>18</v>
      </c>
      <c r="D498" t="s">
        <v>54</v>
      </c>
      <c r="E498" t="s">
        <v>165</v>
      </c>
      <c r="F498" s="1">
        <v>45490</v>
      </c>
      <c r="G498">
        <v>2002</v>
      </c>
      <c r="H498" t="s">
        <v>38</v>
      </c>
      <c r="I498" t="s">
        <v>817</v>
      </c>
      <c r="J498" t="s">
        <v>40</v>
      </c>
      <c r="K498">
        <v>7</v>
      </c>
      <c r="L498">
        <v>22581731</v>
      </c>
      <c r="M498">
        <v>701346</v>
      </c>
      <c r="N498">
        <v>81</v>
      </c>
      <c r="O498" t="s">
        <v>24</v>
      </c>
      <c r="P498" t="s">
        <v>87</v>
      </c>
    </row>
    <row r="499" spans="1:16" x14ac:dyDescent="0.35">
      <c r="A499" t="s">
        <v>1157</v>
      </c>
      <c r="B499" t="s">
        <v>1158</v>
      </c>
      <c r="C499" t="s">
        <v>18</v>
      </c>
      <c r="F499" s="1">
        <v>44712</v>
      </c>
      <c r="G499">
        <v>2022</v>
      </c>
      <c r="H499" t="s">
        <v>63</v>
      </c>
      <c r="I499" t="s">
        <v>720</v>
      </c>
      <c r="J499" t="s">
        <v>30</v>
      </c>
      <c r="K499">
        <v>6</v>
      </c>
      <c r="L499">
        <v>16921348</v>
      </c>
      <c r="M499">
        <v>299249</v>
      </c>
      <c r="N499">
        <v>95</v>
      </c>
      <c r="O499" t="s">
        <v>91</v>
      </c>
    </row>
    <row r="500" spans="1:16" x14ac:dyDescent="0.35">
      <c r="A500" t="s">
        <v>1159</v>
      </c>
      <c r="B500" t="s">
        <v>1160</v>
      </c>
      <c r="C500" t="s">
        <v>35</v>
      </c>
      <c r="D500" t="s">
        <v>75</v>
      </c>
      <c r="E500" t="s">
        <v>62</v>
      </c>
      <c r="F500" s="1">
        <v>43245</v>
      </c>
      <c r="G500">
        <v>2011</v>
      </c>
      <c r="H500" t="s">
        <v>85</v>
      </c>
      <c r="I500" t="s">
        <v>162</v>
      </c>
      <c r="J500" t="s">
        <v>23</v>
      </c>
      <c r="K500">
        <v>5.2</v>
      </c>
      <c r="L500">
        <v>8084787</v>
      </c>
      <c r="M500">
        <v>1598777</v>
      </c>
      <c r="N500">
        <v>52</v>
      </c>
      <c r="O500" t="s">
        <v>104</v>
      </c>
      <c r="P500" t="s">
        <v>42</v>
      </c>
    </row>
    <row r="501" spans="1:16" x14ac:dyDescent="0.35">
      <c r="A501" t="s">
        <v>1161</v>
      </c>
      <c r="B501" t="s">
        <v>1162</v>
      </c>
      <c r="C501" t="s">
        <v>53</v>
      </c>
      <c r="D501" t="s">
        <v>156</v>
      </c>
      <c r="E501" t="s">
        <v>113</v>
      </c>
      <c r="F501" s="1">
        <v>45162</v>
      </c>
      <c r="G501">
        <v>2026</v>
      </c>
      <c r="H501" t="s">
        <v>38</v>
      </c>
      <c r="I501" t="s">
        <v>118</v>
      </c>
      <c r="J501" t="s">
        <v>30</v>
      </c>
      <c r="K501">
        <v>8.1999999999999993</v>
      </c>
      <c r="L501">
        <v>21232828</v>
      </c>
      <c r="M501">
        <v>4295022</v>
      </c>
      <c r="N501">
        <v>62</v>
      </c>
      <c r="O501" t="s">
        <v>58</v>
      </c>
      <c r="P501" t="s">
        <v>87</v>
      </c>
    </row>
    <row r="502" spans="1:16" x14ac:dyDescent="0.35">
      <c r="A502" t="s">
        <v>1163</v>
      </c>
      <c r="B502" t="s">
        <v>1164</v>
      </c>
      <c r="C502" t="s">
        <v>53</v>
      </c>
      <c r="D502" t="s">
        <v>27</v>
      </c>
      <c r="E502" t="s">
        <v>62</v>
      </c>
      <c r="F502" s="1">
        <v>44356</v>
      </c>
      <c r="G502">
        <v>2006</v>
      </c>
      <c r="H502" t="s">
        <v>81</v>
      </c>
      <c r="I502" t="s">
        <v>162</v>
      </c>
      <c r="J502" t="s">
        <v>100</v>
      </c>
      <c r="K502">
        <v>8.3000000000000007</v>
      </c>
      <c r="L502">
        <v>13737676</v>
      </c>
      <c r="M502">
        <v>3006528</v>
      </c>
      <c r="N502">
        <v>55</v>
      </c>
      <c r="O502" t="s">
        <v>41</v>
      </c>
      <c r="P502" t="s">
        <v>50</v>
      </c>
    </row>
    <row r="503" spans="1:16" x14ac:dyDescent="0.35">
      <c r="A503" t="s">
        <v>1165</v>
      </c>
      <c r="B503" t="s">
        <v>1166</v>
      </c>
      <c r="C503" t="s">
        <v>18</v>
      </c>
      <c r="D503" t="s">
        <v>156</v>
      </c>
      <c r="F503" s="1">
        <v>44016</v>
      </c>
      <c r="G503">
        <v>2008</v>
      </c>
      <c r="H503" t="s">
        <v>38</v>
      </c>
      <c r="I503" t="s">
        <v>608</v>
      </c>
      <c r="J503" t="s">
        <v>133</v>
      </c>
      <c r="K503">
        <v>6.7</v>
      </c>
      <c r="L503">
        <v>6220247</v>
      </c>
      <c r="M503">
        <v>4520357</v>
      </c>
      <c r="N503">
        <v>81</v>
      </c>
      <c r="O503" t="s">
        <v>104</v>
      </c>
    </row>
    <row r="504" spans="1:16" x14ac:dyDescent="0.35">
      <c r="A504" t="s">
        <v>1167</v>
      </c>
      <c r="B504" t="s">
        <v>1168</v>
      </c>
      <c r="C504" t="s">
        <v>35</v>
      </c>
      <c r="D504" t="s">
        <v>27</v>
      </c>
      <c r="E504" t="s">
        <v>28</v>
      </c>
      <c r="F504" s="1">
        <v>42880</v>
      </c>
      <c r="G504">
        <v>2017</v>
      </c>
      <c r="H504" t="s">
        <v>114</v>
      </c>
      <c r="I504" t="s">
        <v>162</v>
      </c>
      <c r="J504" t="s">
        <v>40</v>
      </c>
      <c r="K504">
        <v>6.4</v>
      </c>
      <c r="L504">
        <v>24184811</v>
      </c>
      <c r="M504">
        <v>4671368</v>
      </c>
      <c r="N504">
        <v>87</v>
      </c>
    </row>
    <row r="505" spans="1:16" x14ac:dyDescent="0.35">
      <c r="A505" t="s">
        <v>1169</v>
      </c>
      <c r="B505" t="s">
        <v>1170</v>
      </c>
      <c r="C505" t="s">
        <v>79</v>
      </c>
      <c r="D505" t="s">
        <v>61</v>
      </c>
      <c r="E505" t="s">
        <v>62</v>
      </c>
      <c r="F505" s="1">
        <v>45938</v>
      </c>
      <c r="G505">
        <v>2000</v>
      </c>
      <c r="H505" t="s">
        <v>46</v>
      </c>
      <c r="I505" t="s">
        <v>1171</v>
      </c>
      <c r="J505" t="s">
        <v>30</v>
      </c>
      <c r="K505">
        <v>4.7</v>
      </c>
      <c r="L505">
        <v>17057603</v>
      </c>
      <c r="M505">
        <v>3598382</v>
      </c>
      <c r="N505">
        <v>94</v>
      </c>
      <c r="O505" t="s">
        <v>31</v>
      </c>
      <c r="P505" t="s">
        <v>32</v>
      </c>
    </row>
    <row r="506" spans="1:16" x14ac:dyDescent="0.35">
      <c r="A506" t="s">
        <v>1172</v>
      </c>
      <c r="B506" t="s">
        <v>1173</v>
      </c>
      <c r="C506" t="s">
        <v>53</v>
      </c>
      <c r="E506" t="s">
        <v>80</v>
      </c>
      <c r="F506" s="1">
        <v>42199</v>
      </c>
      <c r="G506">
        <v>2016</v>
      </c>
      <c r="H506" t="s">
        <v>85</v>
      </c>
      <c r="I506" t="s">
        <v>162</v>
      </c>
      <c r="J506" t="s">
        <v>57</v>
      </c>
      <c r="K506">
        <v>5.7</v>
      </c>
      <c r="L506">
        <v>19069893</v>
      </c>
      <c r="M506">
        <v>4687025</v>
      </c>
      <c r="N506">
        <v>86</v>
      </c>
      <c r="P506" t="s">
        <v>42</v>
      </c>
    </row>
    <row r="507" spans="1:16" x14ac:dyDescent="0.35">
      <c r="A507" t="s">
        <v>1174</v>
      </c>
      <c r="B507" t="s">
        <v>1175</v>
      </c>
      <c r="C507" t="s">
        <v>79</v>
      </c>
      <c r="D507" t="s">
        <v>156</v>
      </c>
      <c r="F507" s="1">
        <v>42189</v>
      </c>
      <c r="G507">
        <v>2016</v>
      </c>
      <c r="H507" t="s">
        <v>70</v>
      </c>
      <c r="I507" t="s">
        <v>1005</v>
      </c>
      <c r="J507" t="s">
        <v>48</v>
      </c>
      <c r="K507">
        <v>5.5</v>
      </c>
      <c r="L507">
        <v>13804259</v>
      </c>
      <c r="M507">
        <v>589672</v>
      </c>
      <c r="N507">
        <v>93</v>
      </c>
      <c r="O507" t="s">
        <v>41</v>
      </c>
      <c r="P507" t="s">
        <v>32</v>
      </c>
    </row>
    <row r="508" spans="1:16" x14ac:dyDescent="0.35">
      <c r="A508" t="s">
        <v>1176</v>
      </c>
      <c r="B508" t="s">
        <v>1177</v>
      </c>
      <c r="C508" t="s">
        <v>18</v>
      </c>
      <c r="D508" t="s">
        <v>27</v>
      </c>
      <c r="E508" t="s">
        <v>113</v>
      </c>
      <c r="F508" s="1">
        <v>44467</v>
      </c>
      <c r="G508">
        <v>2021</v>
      </c>
      <c r="H508" t="s">
        <v>81</v>
      </c>
      <c r="I508" t="s">
        <v>275</v>
      </c>
      <c r="J508" t="s">
        <v>103</v>
      </c>
      <c r="K508">
        <v>9.4</v>
      </c>
      <c r="L508">
        <v>7210603</v>
      </c>
      <c r="M508">
        <v>1935927</v>
      </c>
      <c r="N508">
        <v>79</v>
      </c>
      <c r="O508" t="s">
        <v>58</v>
      </c>
      <c r="P508" t="s">
        <v>87</v>
      </c>
    </row>
    <row r="509" spans="1:16" x14ac:dyDescent="0.35">
      <c r="A509" t="s">
        <v>1178</v>
      </c>
      <c r="B509" t="s">
        <v>1179</v>
      </c>
      <c r="C509" t="s">
        <v>79</v>
      </c>
      <c r="D509" t="s">
        <v>75</v>
      </c>
      <c r="E509" t="s">
        <v>37</v>
      </c>
      <c r="F509" s="1">
        <v>44827</v>
      </c>
      <c r="G509">
        <v>2017</v>
      </c>
      <c r="H509" t="s">
        <v>81</v>
      </c>
      <c r="I509" t="s">
        <v>594</v>
      </c>
      <c r="J509" t="s">
        <v>57</v>
      </c>
      <c r="K509">
        <v>5.8</v>
      </c>
      <c r="L509">
        <v>636155</v>
      </c>
      <c r="M509">
        <v>3616678</v>
      </c>
      <c r="N509">
        <v>66</v>
      </c>
      <c r="O509" t="s">
        <v>58</v>
      </c>
      <c r="P509" t="s">
        <v>50</v>
      </c>
    </row>
    <row r="510" spans="1:16" x14ac:dyDescent="0.35">
      <c r="A510" t="s">
        <v>1180</v>
      </c>
      <c r="B510" t="s">
        <v>1181</v>
      </c>
      <c r="C510" t="s">
        <v>84</v>
      </c>
      <c r="D510" t="s">
        <v>19</v>
      </c>
      <c r="E510" t="s">
        <v>45</v>
      </c>
      <c r="F510" s="1">
        <v>45508</v>
      </c>
      <c r="G510">
        <v>2017</v>
      </c>
      <c r="H510" t="s">
        <v>81</v>
      </c>
      <c r="I510" t="s">
        <v>122</v>
      </c>
      <c r="J510" t="s">
        <v>153</v>
      </c>
      <c r="K510">
        <v>8.1999999999999993</v>
      </c>
      <c r="L510">
        <v>13996877</v>
      </c>
      <c r="M510">
        <v>1937156</v>
      </c>
      <c r="N510">
        <v>54</v>
      </c>
      <c r="O510" t="s">
        <v>91</v>
      </c>
      <c r="P510" t="s">
        <v>32</v>
      </c>
    </row>
    <row r="511" spans="1:16" x14ac:dyDescent="0.35">
      <c r="A511" t="s">
        <v>1182</v>
      </c>
      <c r="B511" t="s">
        <v>1183</v>
      </c>
      <c r="C511" t="s">
        <v>53</v>
      </c>
      <c r="D511" t="s">
        <v>90</v>
      </c>
      <c r="E511" t="s">
        <v>55</v>
      </c>
      <c r="F511" s="1">
        <v>43398</v>
      </c>
      <c r="G511">
        <v>2025</v>
      </c>
      <c r="H511" t="s">
        <v>63</v>
      </c>
      <c r="I511" t="s">
        <v>162</v>
      </c>
      <c r="J511" t="s">
        <v>153</v>
      </c>
      <c r="K511">
        <v>4.8</v>
      </c>
      <c r="L511">
        <v>10752868</v>
      </c>
      <c r="M511">
        <v>3836741</v>
      </c>
      <c r="N511">
        <v>76</v>
      </c>
      <c r="O511" t="s">
        <v>24</v>
      </c>
      <c r="P511" t="s">
        <v>50</v>
      </c>
    </row>
    <row r="512" spans="1:16" x14ac:dyDescent="0.35">
      <c r="A512" t="s">
        <v>1184</v>
      </c>
      <c r="B512" t="s">
        <v>1185</v>
      </c>
      <c r="C512" t="s">
        <v>35</v>
      </c>
      <c r="D512" t="s">
        <v>61</v>
      </c>
      <c r="F512" s="1">
        <v>44837</v>
      </c>
      <c r="G512">
        <v>2005</v>
      </c>
      <c r="H512" t="s">
        <v>38</v>
      </c>
      <c r="I512" t="s">
        <v>95</v>
      </c>
      <c r="J512" t="s">
        <v>96</v>
      </c>
      <c r="K512">
        <v>9.4</v>
      </c>
      <c r="L512">
        <v>14651746</v>
      </c>
      <c r="M512">
        <v>3539775</v>
      </c>
      <c r="N512">
        <v>61</v>
      </c>
      <c r="O512" t="s">
        <v>104</v>
      </c>
      <c r="P512" t="s">
        <v>42</v>
      </c>
    </row>
    <row r="513" spans="1:16" x14ac:dyDescent="0.35">
      <c r="A513" t="s">
        <v>1186</v>
      </c>
      <c r="B513" t="s">
        <v>1187</v>
      </c>
      <c r="D513" t="s">
        <v>90</v>
      </c>
      <c r="E513" t="s">
        <v>131</v>
      </c>
      <c r="F513" s="1">
        <v>44555</v>
      </c>
      <c r="G513">
        <v>2016</v>
      </c>
      <c r="H513" t="s">
        <v>114</v>
      </c>
      <c r="I513" t="s">
        <v>95</v>
      </c>
      <c r="J513" t="s">
        <v>76</v>
      </c>
      <c r="K513">
        <v>5.6</v>
      </c>
      <c r="L513">
        <v>21247248</v>
      </c>
      <c r="M513">
        <v>2118251</v>
      </c>
      <c r="N513">
        <v>90</v>
      </c>
      <c r="O513" t="s">
        <v>49</v>
      </c>
      <c r="P513" t="s">
        <v>50</v>
      </c>
    </row>
    <row r="514" spans="1:16" x14ac:dyDescent="0.35">
      <c r="A514" t="s">
        <v>1188</v>
      </c>
      <c r="B514" t="s">
        <v>1189</v>
      </c>
      <c r="D514" t="s">
        <v>75</v>
      </c>
      <c r="E514" t="s">
        <v>80</v>
      </c>
      <c r="F514" s="1">
        <v>45249</v>
      </c>
      <c r="G514">
        <v>2007</v>
      </c>
      <c r="I514" t="s">
        <v>56</v>
      </c>
      <c r="J514" t="s">
        <v>133</v>
      </c>
      <c r="K514">
        <v>7.6</v>
      </c>
      <c r="L514">
        <v>15618814</v>
      </c>
      <c r="M514">
        <v>4870095</v>
      </c>
      <c r="N514">
        <v>83</v>
      </c>
      <c r="P514" t="s">
        <v>87</v>
      </c>
    </row>
    <row r="515" spans="1:16" x14ac:dyDescent="0.35">
      <c r="A515" t="s">
        <v>1190</v>
      </c>
      <c r="B515" t="s">
        <v>1191</v>
      </c>
      <c r="C515" t="s">
        <v>53</v>
      </c>
      <c r="D515" t="s">
        <v>94</v>
      </c>
      <c r="E515" t="s">
        <v>165</v>
      </c>
      <c r="F515" s="1">
        <v>44647</v>
      </c>
      <c r="G515">
        <v>2024</v>
      </c>
      <c r="H515" t="s">
        <v>21</v>
      </c>
      <c r="I515" t="s">
        <v>162</v>
      </c>
      <c r="J515" t="s">
        <v>30</v>
      </c>
      <c r="K515">
        <v>7.6</v>
      </c>
      <c r="L515">
        <v>18465299</v>
      </c>
      <c r="M515">
        <v>2557238</v>
      </c>
      <c r="N515">
        <v>50</v>
      </c>
      <c r="P515" t="s">
        <v>32</v>
      </c>
    </row>
    <row r="516" spans="1:16" x14ac:dyDescent="0.35">
      <c r="A516" t="s">
        <v>1192</v>
      </c>
      <c r="B516" t="s">
        <v>1193</v>
      </c>
      <c r="C516" t="s">
        <v>79</v>
      </c>
      <c r="E516" t="s">
        <v>55</v>
      </c>
      <c r="F516" s="1">
        <v>45399</v>
      </c>
      <c r="G516">
        <v>2007</v>
      </c>
      <c r="H516" t="s">
        <v>38</v>
      </c>
      <c r="J516" t="s">
        <v>76</v>
      </c>
      <c r="K516">
        <v>8.1</v>
      </c>
      <c r="L516">
        <v>10989631</v>
      </c>
      <c r="M516">
        <v>1140403</v>
      </c>
      <c r="N516">
        <v>74</v>
      </c>
      <c r="O516" t="s">
        <v>31</v>
      </c>
      <c r="P516" t="s">
        <v>32</v>
      </c>
    </row>
    <row r="517" spans="1:16" x14ac:dyDescent="0.35">
      <c r="A517" t="s">
        <v>1194</v>
      </c>
      <c r="B517" t="s">
        <v>1195</v>
      </c>
      <c r="D517" t="s">
        <v>94</v>
      </c>
      <c r="E517" t="s">
        <v>131</v>
      </c>
      <c r="F517" s="1">
        <v>43654</v>
      </c>
      <c r="G517">
        <v>2011</v>
      </c>
      <c r="H517" t="s">
        <v>38</v>
      </c>
      <c r="I517" t="s">
        <v>136</v>
      </c>
      <c r="J517" t="s">
        <v>100</v>
      </c>
      <c r="K517">
        <v>6.6</v>
      </c>
      <c r="L517">
        <v>9582240</v>
      </c>
      <c r="M517">
        <v>4861559</v>
      </c>
      <c r="N517">
        <v>76</v>
      </c>
      <c r="O517" t="s">
        <v>41</v>
      </c>
      <c r="P517" t="s">
        <v>50</v>
      </c>
    </row>
    <row r="518" spans="1:16" x14ac:dyDescent="0.35">
      <c r="A518" t="s">
        <v>1196</v>
      </c>
      <c r="B518" t="s">
        <v>1197</v>
      </c>
      <c r="C518" t="s">
        <v>35</v>
      </c>
      <c r="D518" t="s">
        <v>19</v>
      </c>
      <c r="E518" t="s">
        <v>165</v>
      </c>
      <c r="F518" s="1">
        <v>44768</v>
      </c>
      <c r="G518">
        <v>2001</v>
      </c>
      <c r="I518" t="s">
        <v>71</v>
      </c>
      <c r="J518" t="s">
        <v>133</v>
      </c>
      <c r="K518">
        <v>8.8000000000000007</v>
      </c>
      <c r="L518">
        <v>2942965</v>
      </c>
      <c r="M518">
        <v>1872071</v>
      </c>
      <c r="N518">
        <v>70</v>
      </c>
      <c r="O518" t="s">
        <v>104</v>
      </c>
      <c r="P518" t="s">
        <v>50</v>
      </c>
    </row>
    <row r="519" spans="1:16" x14ac:dyDescent="0.35">
      <c r="A519" t="s">
        <v>1198</v>
      </c>
      <c r="B519" t="s">
        <v>1197</v>
      </c>
      <c r="C519" t="s">
        <v>18</v>
      </c>
      <c r="D519" t="s">
        <v>54</v>
      </c>
      <c r="E519" t="s">
        <v>80</v>
      </c>
      <c r="F519" s="1">
        <v>45069</v>
      </c>
      <c r="G519">
        <v>2018</v>
      </c>
      <c r="H519" t="s">
        <v>46</v>
      </c>
      <c r="I519" t="s">
        <v>397</v>
      </c>
      <c r="K519">
        <v>9.5</v>
      </c>
      <c r="L519">
        <v>15445067</v>
      </c>
      <c r="M519">
        <v>4812617</v>
      </c>
      <c r="N519">
        <v>67</v>
      </c>
      <c r="O519" t="s">
        <v>41</v>
      </c>
      <c r="P519" t="s">
        <v>32</v>
      </c>
    </row>
    <row r="520" spans="1:16" x14ac:dyDescent="0.35">
      <c r="A520" t="s">
        <v>1199</v>
      </c>
      <c r="B520" t="s">
        <v>1200</v>
      </c>
      <c r="C520" t="s">
        <v>79</v>
      </c>
      <c r="D520" t="s">
        <v>27</v>
      </c>
      <c r="F520" s="1">
        <v>45553</v>
      </c>
      <c r="G520">
        <v>2000</v>
      </c>
      <c r="H520" t="s">
        <v>38</v>
      </c>
      <c r="I520" t="s">
        <v>1032</v>
      </c>
      <c r="J520" t="s">
        <v>57</v>
      </c>
      <c r="K520">
        <v>9.6</v>
      </c>
      <c r="L520">
        <v>14783449</v>
      </c>
      <c r="M520">
        <v>4370763</v>
      </c>
      <c r="N520">
        <v>98</v>
      </c>
      <c r="O520" t="s">
        <v>123</v>
      </c>
      <c r="P520" t="s">
        <v>50</v>
      </c>
    </row>
    <row r="521" spans="1:16" x14ac:dyDescent="0.35">
      <c r="A521" t="s">
        <v>1201</v>
      </c>
      <c r="B521" t="s">
        <v>1202</v>
      </c>
      <c r="D521" t="s">
        <v>94</v>
      </c>
      <c r="E521" t="s">
        <v>113</v>
      </c>
      <c r="F521" s="1">
        <v>43770</v>
      </c>
      <c r="G521">
        <v>2011</v>
      </c>
      <c r="H521" t="s">
        <v>38</v>
      </c>
      <c r="J521" t="s">
        <v>72</v>
      </c>
      <c r="K521">
        <v>9.1999999999999993</v>
      </c>
      <c r="L521">
        <v>14082232</v>
      </c>
      <c r="M521">
        <v>215815</v>
      </c>
      <c r="N521">
        <v>60</v>
      </c>
      <c r="P521" t="s">
        <v>87</v>
      </c>
    </row>
    <row r="522" spans="1:16" x14ac:dyDescent="0.35">
      <c r="A522" t="s">
        <v>1203</v>
      </c>
      <c r="B522" t="s">
        <v>1204</v>
      </c>
      <c r="C522" t="s">
        <v>53</v>
      </c>
      <c r="D522" t="s">
        <v>54</v>
      </c>
      <c r="E522" t="s">
        <v>45</v>
      </c>
      <c r="F522" s="1">
        <v>43821</v>
      </c>
      <c r="G522">
        <v>2025</v>
      </c>
      <c r="H522" t="s">
        <v>46</v>
      </c>
      <c r="I522" t="s">
        <v>71</v>
      </c>
      <c r="J522" t="s">
        <v>23</v>
      </c>
      <c r="K522">
        <v>9.4</v>
      </c>
      <c r="L522">
        <v>11281098</v>
      </c>
      <c r="M522">
        <v>2792648</v>
      </c>
      <c r="N522">
        <v>120</v>
      </c>
      <c r="O522" t="s">
        <v>58</v>
      </c>
      <c r="P522" t="s">
        <v>87</v>
      </c>
    </row>
    <row r="523" spans="1:16" x14ac:dyDescent="0.35">
      <c r="A523" t="s">
        <v>1205</v>
      </c>
      <c r="B523" t="s">
        <v>1206</v>
      </c>
      <c r="C523" t="s">
        <v>79</v>
      </c>
      <c r="D523" t="s">
        <v>94</v>
      </c>
      <c r="E523" t="s">
        <v>113</v>
      </c>
      <c r="F523" s="1">
        <v>45409</v>
      </c>
      <c r="G523">
        <v>2020</v>
      </c>
      <c r="H523" t="s">
        <v>85</v>
      </c>
      <c r="I523" t="s">
        <v>1065</v>
      </c>
      <c r="J523" t="s">
        <v>100</v>
      </c>
      <c r="K523">
        <v>5.5</v>
      </c>
      <c r="L523">
        <v>14178833</v>
      </c>
      <c r="M523">
        <v>2950936</v>
      </c>
      <c r="N523">
        <v>73</v>
      </c>
      <c r="O523" t="s">
        <v>104</v>
      </c>
      <c r="P523" t="s">
        <v>87</v>
      </c>
    </row>
    <row r="524" spans="1:16" x14ac:dyDescent="0.35">
      <c r="A524" t="s">
        <v>1207</v>
      </c>
      <c r="B524" t="s">
        <v>1208</v>
      </c>
      <c r="C524" t="s">
        <v>79</v>
      </c>
      <c r="D524" t="s">
        <v>19</v>
      </c>
      <c r="E524" t="s">
        <v>99</v>
      </c>
      <c r="F524" s="1">
        <v>46093</v>
      </c>
      <c r="G524">
        <v>2017</v>
      </c>
      <c r="H524" t="s">
        <v>70</v>
      </c>
      <c r="I524" t="s">
        <v>223</v>
      </c>
      <c r="J524" t="s">
        <v>103</v>
      </c>
      <c r="K524">
        <v>8</v>
      </c>
      <c r="L524">
        <v>20349939</v>
      </c>
      <c r="M524">
        <v>2946127</v>
      </c>
      <c r="N524">
        <v>84</v>
      </c>
      <c r="O524" t="s">
        <v>31</v>
      </c>
      <c r="P524" t="s">
        <v>42</v>
      </c>
    </row>
    <row r="525" spans="1:16" x14ac:dyDescent="0.35">
      <c r="A525" t="s">
        <v>1209</v>
      </c>
      <c r="B525" t="s">
        <v>1210</v>
      </c>
      <c r="C525" t="s">
        <v>35</v>
      </c>
      <c r="D525" t="s">
        <v>94</v>
      </c>
      <c r="E525" t="s">
        <v>69</v>
      </c>
      <c r="F525" s="1">
        <v>46122</v>
      </c>
      <c r="G525">
        <v>2019</v>
      </c>
      <c r="H525" t="s">
        <v>114</v>
      </c>
      <c r="I525" t="s">
        <v>56</v>
      </c>
      <c r="K525">
        <v>7.8</v>
      </c>
      <c r="L525">
        <v>8892738</v>
      </c>
      <c r="M525">
        <v>1166034</v>
      </c>
      <c r="N525">
        <v>63</v>
      </c>
      <c r="O525" t="s">
        <v>31</v>
      </c>
      <c r="P525" t="s">
        <v>50</v>
      </c>
    </row>
    <row r="526" spans="1:16" x14ac:dyDescent="0.35">
      <c r="A526" t="s">
        <v>1211</v>
      </c>
      <c r="B526" t="s">
        <v>1212</v>
      </c>
      <c r="C526" t="s">
        <v>35</v>
      </c>
      <c r="D526" t="s">
        <v>90</v>
      </c>
      <c r="E526" t="s">
        <v>28</v>
      </c>
      <c r="F526" s="1">
        <v>44049</v>
      </c>
      <c r="G526">
        <v>2010</v>
      </c>
      <c r="H526" t="s">
        <v>46</v>
      </c>
      <c r="I526" t="s">
        <v>71</v>
      </c>
      <c r="J526" t="s">
        <v>40</v>
      </c>
      <c r="K526">
        <v>11.2</v>
      </c>
      <c r="L526">
        <v>20823281</v>
      </c>
      <c r="M526">
        <v>1220596</v>
      </c>
      <c r="N526">
        <v>46</v>
      </c>
      <c r="O526" t="s">
        <v>31</v>
      </c>
      <c r="P526" t="s">
        <v>50</v>
      </c>
    </row>
    <row r="527" spans="1:16" x14ac:dyDescent="0.35">
      <c r="A527" t="s">
        <v>1213</v>
      </c>
      <c r="B527" t="s">
        <v>1214</v>
      </c>
      <c r="C527" t="s">
        <v>53</v>
      </c>
      <c r="E527" t="s">
        <v>37</v>
      </c>
      <c r="F527" s="1">
        <v>42479</v>
      </c>
      <c r="G527">
        <v>2018</v>
      </c>
      <c r="H527" t="s">
        <v>70</v>
      </c>
      <c r="J527" t="s">
        <v>48</v>
      </c>
      <c r="K527">
        <v>7.6</v>
      </c>
      <c r="L527">
        <v>22779744</v>
      </c>
      <c r="M527">
        <v>4077421</v>
      </c>
      <c r="N527">
        <v>61</v>
      </c>
      <c r="O527" t="s">
        <v>104</v>
      </c>
      <c r="P527" t="s">
        <v>50</v>
      </c>
    </row>
    <row r="528" spans="1:16" x14ac:dyDescent="0.35">
      <c r="A528" t="s">
        <v>1215</v>
      </c>
      <c r="B528" t="s">
        <v>1216</v>
      </c>
      <c r="D528" t="s">
        <v>54</v>
      </c>
      <c r="E528" t="s">
        <v>62</v>
      </c>
      <c r="F528" s="1">
        <v>43926</v>
      </c>
      <c r="G528">
        <v>2009</v>
      </c>
      <c r="H528" t="s">
        <v>85</v>
      </c>
      <c r="I528" t="s">
        <v>39</v>
      </c>
      <c r="J528" t="s">
        <v>23</v>
      </c>
      <c r="K528">
        <v>6.1</v>
      </c>
      <c r="L528">
        <v>13965993</v>
      </c>
      <c r="M528">
        <v>3577819</v>
      </c>
      <c r="N528">
        <v>48</v>
      </c>
      <c r="O528" t="s">
        <v>123</v>
      </c>
      <c r="P528" t="s">
        <v>32</v>
      </c>
    </row>
    <row r="529" spans="1:16" x14ac:dyDescent="0.35">
      <c r="A529" t="s">
        <v>1217</v>
      </c>
      <c r="B529" t="s">
        <v>1218</v>
      </c>
      <c r="D529" t="s">
        <v>68</v>
      </c>
      <c r="E529" t="s">
        <v>55</v>
      </c>
      <c r="G529">
        <v>2021</v>
      </c>
      <c r="H529" t="s">
        <v>38</v>
      </c>
      <c r="I529" t="s">
        <v>64</v>
      </c>
      <c r="J529" t="s">
        <v>30</v>
      </c>
      <c r="K529">
        <v>9.5</v>
      </c>
      <c r="L529">
        <v>17025152</v>
      </c>
      <c r="M529">
        <v>4741221</v>
      </c>
      <c r="N529">
        <v>85</v>
      </c>
      <c r="P529" t="s">
        <v>32</v>
      </c>
    </row>
    <row r="530" spans="1:16" x14ac:dyDescent="0.35">
      <c r="A530" t="s">
        <v>1219</v>
      </c>
      <c r="B530" t="s">
        <v>1220</v>
      </c>
      <c r="C530" t="s">
        <v>18</v>
      </c>
      <c r="D530" t="s">
        <v>19</v>
      </c>
      <c r="E530" t="s">
        <v>69</v>
      </c>
      <c r="F530" s="1">
        <v>43840</v>
      </c>
      <c r="G530">
        <v>2024</v>
      </c>
      <c r="H530" t="s">
        <v>114</v>
      </c>
      <c r="I530" t="s">
        <v>508</v>
      </c>
      <c r="J530" t="s">
        <v>48</v>
      </c>
      <c r="K530">
        <v>4.5999999999999996</v>
      </c>
      <c r="L530">
        <v>17847598</v>
      </c>
      <c r="M530">
        <v>1921577</v>
      </c>
      <c r="N530">
        <v>58</v>
      </c>
      <c r="O530" t="s">
        <v>58</v>
      </c>
      <c r="P530" t="s">
        <v>32</v>
      </c>
    </row>
    <row r="531" spans="1:16" x14ac:dyDescent="0.35">
      <c r="A531" t="s">
        <v>1221</v>
      </c>
      <c r="B531" t="s">
        <v>1222</v>
      </c>
      <c r="C531" t="s">
        <v>35</v>
      </c>
      <c r="D531" t="s">
        <v>27</v>
      </c>
      <c r="E531" t="s">
        <v>55</v>
      </c>
      <c r="F531" s="1">
        <v>46187</v>
      </c>
      <c r="G531">
        <v>2001</v>
      </c>
      <c r="H531" t="s">
        <v>63</v>
      </c>
      <c r="I531" t="s">
        <v>118</v>
      </c>
      <c r="J531" t="s">
        <v>30</v>
      </c>
      <c r="K531">
        <v>7.8</v>
      </c>
      <c r="L531">
        <v>5352461</v>
      </c>
      <c r="M531">
        <v>2805990</v>
      </c>
      <c r="N531">
        <v>59</v>
      </c>
      <c r="O531" t="s">
        <v>123</v>
      </c>
      <c r="P531" t="s">
        <v>32</v>
      </c>
    </row>
    <row r="532" spans="1:16" x14ac:dyDescent="0.35">
      <c r="A532" t="s">
        <v>1223</v>
      </c>
      <c r="B532" t="s">
        <v>1224</v>
      </c>
      <c r="C532" t="s">
        <v>84</v>
      </c>
      <c r="D532" t="s">
        <v>90</v>
      </c>
      <c r="F532" s="1">
        <v>44638</v>
      </c>
      <c r="G532">
        <v>2013</v>
      </c>
      <c r="H532" t="s">
        <v>38</v>
      </c>
      <c r="I532" t="s">
        <v>1225</v>
      </c>
      <c r="J532" t="s">
        <v>57</v>
      </c>
      <c r="K532">
        <v>7.2</v>
      </c>
      <c r="L532">
        <v>4170125</v>
      </c>
      <c r="M532">
        <v>2328227</v>
      </c>
      <c r="N532">
        <v>58</v>
      </c>
      <c r="O532" t="s">
        <v>65</v>
      </c>
      <c r="P532" t="s">
        <v>50</v>
      </c>
    </row>
    <row r="533" spans="1:16" x14ac:dyDescent="0.35">
      <c r="A533" t="s">
        <v>1226</v>
      </c>
      <c r="B533" t="s">
        <v>1227</v>
      </c>
      <c r="C533" t="s">
        <v>84</v>
      </c>
      <c r="D533" t="s">
        <v>36</v>
      </c>
      <c r="E533" t="s">
        <v>99</v>
      </c>
      <c r="F533" s="1">
        <v>46133</v>
      </c>
      <c r="G533">
        <v>2020</v>
      </c>
      <c r="I533" t="s">
        <v>204</v>
      </c>
      <c r="J533" t="s">
        <v>57</v>
      </c>
      <c r="K533">
        <v>5.2</v>
      </c>
      <c r="L533">
        <v>11546451</v>
      </c>
      <c r="M533">
        <v>1114370</v>
      </c>
      <c r="N533">
        <v>82</v>
      </c>
      <c r="O533" t="s">
        <v>123</v>
      </c>
      <c r="P533" t="s">
        <v>42</v>
      </c>
    </row>
    <row r="534" spans="1:16" x14ac:dyDescent="0.35">
      <c r="A534" t="s">
        <v>1228</v>
      </c>
      <c r="B534" t="s">
        <v>1229</v>
      </c>
      <c r="C534" t="s">
        <v>84</v>
      </c>
      <c r="D534" t="s">
        <v>156</v>
      </c>
      <c r="E534" t="s">
        <v>37</v>
      </c>
      <c r="F534" s="1">
        <v>42916</v>
      </c>
      <c r="G534">
        <v>2007</v>
      </c>
      <c r="H534" t="s">
        <v>107</v>
      </c>
      <c r="I534" t="s">
        <v>275</v>
      </c>
      <c r="J534" t="s">
        <v>72</v>
      </c>
      <c r="K534">
        <v>6.6</v>
      </c>
      <c r="L534">
        <v>18330849</v>
      </c>
      <c r="M534">
        <v>3751764</v>
      </c>
      <c r="N534">
        <v>51</v>
      </c>
      <c r="O534" t="s">
        <v>65</v>
      </c>
      <c r="P534" t="s">
        <v>50</v>
      </c>
    </row>
    <row r="535" spans="1:16" x14ac:dyDescent="0.35">
      <c r="A535" t="s">
        <v>1230</v>
      </c>
      <c r="B535" t="s">
        <v>1231</v>
      </c>
      <c r="C535" t="s">
        <v>79</v>
      </c>
      <c r="D535" t="s">
        <v>156</v>
      </c>
      <c r="F535" s="1">
        <v>45899</v>
      </c>
      <c r="G535">
        <v>2025</v>
      </c>
      <c r="H535" t="s">
        <v>81</v>
      </c>
      <c r="I535" t="s">
        <v>594</v>
      </c>
      <c r="J535" t="s">
        <v>72</v>
      </c>
      <c r="K535">
        <v>8.8000000000000007</v>
      </c>
      <c r="L535">
        <v>19199649</v>
      </c>
      <c r="M535">
        <v>827338</v>
      </c>
      <c r="N535">
        <v>98</v>
      </c>
      <c r="O535" t="s">
        <v>104</v>
      </c>
      <c r="P535" t="s">
        <v>50</v>
      </c>
    </row>
    <row r="536" spans="1:16" x14ac:dyDescent="0.35">
      <c r="A536" t="s">
        <v>1232</v>
      </c>
      <c r="B536" t="s">
        <v>1233</v>
      </c>
      <c r="D536" t="s">
        <v>36</v>
      </c>
      <c r="E536" t="s">
        <v>113</v>
      </c>
      <c r="F536" s="1">
        <v>43523</v>
      </c>
      <c r="G536">
        <v>2017</v>
      </c>
      <c r="H536" t="s">
        <v>70</v>
      </c>
      <c r="I536" t="s">
        <v>39</v>
      </c>
      <c r="J536" t="s">
        <v>48</v>
      </c>
      <c r="K536">
        <v>9.6999999999999993</v>
      </c>
      <c r="L536">
        <v>15575061</v>
      </c>
      <c r="M536">
        <v>3704060</v>
      </c>
      <c r="N536">
        <v>76</v>
      </c>
      <c r="O536" t="s">
        <v>123</v>
      </c>
      <c r="P536" t="s">
        <v>42</v>
      </c>
    </row>
    <row r="537" spans="1:16" x14ac:dyDescent="0.35">
      <c r="A537" t="s">
        <v>1234</v>
      </c>
      <c r="B537" t="s">
        <v>1235</v>
      </c>
      <c r="D537" t="s">
        <v>90</v>
      </c>
      <c r="F537" s="1">
        <v>43890</v>
      </c>
      <c r="G537">
        <v>2023</v>
      </c>
      <c r="H537" t="s">
        <v>121</v>
      </c>
      <c r="I537" t="s">
        <v>136</v>
      </c>
      <c r="J537" t="s">
        <v>48</v>
      </c>
      <c r="K537">
        <v>9.3000000000000007</v>
      </c>
      <c r="L537">
        <v>797706</v>
      </c>
      <c r="M537">
        <v>3308782</v>
      </c>
      <c r="N537">
        <v>73</v>
      </c>
      <c r="O537" t="s">
        <v>49</v>
      </c>
      <c r="P537" t="s">
        <v>87</v>
      </c>
    </row>
    <row r="538" spans="1:16" x14ac:dyDescent="0.35">
      <c r="A538" t="s">
        <v>1236</v>
      </c>
      <c r="B538" t="s">
        <v>1237</v>
      </c>
      <c r="D538" t="s">
        <v>94</v>
      </c>
      <c r="E538" t="s">
        <v>131</v>
      </c>
      <c r="F538" s="1">
        <v>45841</v>
      </c>
      <c r="G538">
        <v>2003</v>
      </c>
      <c r="H538" t="s">
        <v>70</v>
      </c>
      <c r="I538" t="s">
        <v>136</v>
      </c>
      <c r="J538" t="s">
        <v>133</v>
      </c>
      <c r="K538">
        <v>5.3</v>
      </c>
      <c r="L538">
        <v>15556621</v>
      </c>
      <c r="M538">
        <v>1802353</v>
      </c>
      <c r="N538">
        <v>95</v>
      </c>
      <c r="O538" t="s">
        <v>31</v>
      </c>
      <c r="P538" t="s">
        <v>32</v>
      </c>
    </row>
    <row r="539" spans="1:16" x14ac:dyDescent="0.35">
      <c r="A539" t="s">
        <v>1238</v>
      </c>
      <c r="B539" t="s">
        <v>1239</v>
      </c>
      <c r="C539" t="s">
        <v>35</v>
      </c>
      <c r="D539" t="s">
        <v>36</v>
      </c>
      <c r="E539" t="s">
        <v>80</v>
      </c>
      <c r="F539" s="1">
        <v>43900</v>
      </c>
      <c r="G539">
        <v>2012</v>
      </c>
      <c r="I539" t="s">
        <v>64</v>
      </c>
      <c r="J539" t="s">
        <v>153</v>
      </c>
      <c r="K539">
        <v>6.6</v>
      </c>
      <c r="L539">
        <v>24205427</v>
      </c>
      <c r="M539">
        <v>2847362</v>
      </c>
      <c r="N539">
        <v>65</v>
      </c>
      <c r="O539" t="s">
        <v>31</v>
      </c>
      <c r="P539" t="s">
        <v>42</v>
      </c>
    </row>
    <row r="540" spans="1:16" x14ac:dyDescent="0.35">
      <c r="A540" t="s">
        <v>1240</v>
      </c>
      <c r="B540" t="s">
        <v>1241</v>
      </c>
      <c r="C540" t="s">
        <v>84</v>
      </c>
      <c r="D540" t="s">
        <v>75</v>
      </c>
      <c r="E540" t="s">
        <v>131</v>
      </c>
      <c r="F540" s="1">
        <v>46128</v>
      </c>
      <c r="G540">
        <v>2021</v>
      </c>
      <c r="H540" t="s">
        <v>46</v>
      </c>
      <c r="I540" t="s">
        <v>1242</v>
      </c>
      <c r="J540" t="s">
        <v>153</v>
      </c>
      <c r="K540">
        <v>7.8</v>
      </c>
      <c r="L540">
        <v>20868099</v>
      </c>
      <c r="M540">
        <v>2874201</v>
      </c>
      <c r="N540">
        <v>48</v>
      </c>
      <c r="P540" t="s">
        <v>32</v>
      </c>
    </row>
    <row r="541" spans="1:16" x14ac:dyDescent="0.35">
      <c r="A541" t="s">
        <v>1243</v>
      </c>
      <c r="B541" t="s">
        <v>1244</v>
      </c>
      <c r="C541" t="s">
        <v>18</v>
      </c>
      <c r="E541" t="s">
        <v>45</v>
      </c>
      <c r="F541" s="1">
        <v>45786</v>
      </c>
      <c r="G541">
        <v>2013</v>
      </c>
      <c r="H541" t="s">
        <v>21</v>
      </c>
      <c r="I541" t="s">
        <v>179</v>
      </c>
      <c r="J541" t="s">
        <v>133</v>
      </c>
      <c r="K541">
        <v>11.2</v>
      </c>
      <c r="L541">
        <v>19024405</v>
      </c>
      <c r="M541">
        <v>1403941</v>
      </c>
      <c r="N541">
        <v>82</v>
      </c>
      <c r="O541" t="s">
        <v>65</v>
      </c>
    </row>
    <row r="542" spans="1:16" x14ac:dyDescent="0.35">
      <c r="A542" t="s">
        <v>1245</v>
      </c>
      <c r="B542" t="s">
        <v>1246</v>
      </c>
      <c r="C542" t="s">
        <v>53</v>
      </c>
      <c r="D542" t="s">
        <v>61</v>
      </c>
      <c r="E542" t="s">
        <v>80</v>
      </c>
      <c r="F542" s="1">
        <v>45138</v>
      </c>
      <c r="G542">
        <v>2014</v>
      </c>
      <c r="H542" t="s">
        <v>85</v>
      </c>
      <c r="I542" t="s">
        <v>64</v>
      </c>
      <c r="J542" t="s">
        <v>133</v>
      </c>
      <c r="K542">
        <v>9.1</v>
      </c>
      <c r="L542">
        <v>18953253</v>
      </c>
      <c r="M542">
        <v>3654939</v>
      </c>
      <c r="N542">
        <v>48</v>
      </c>
      <c r="O542" t="s">
        <v>65</v>
      </c>
    </row>
    <row r="543" spans="1:16" x14ac:dyDescent="0.35">
      <c r="A543" t="s">
        <v>1247</v>
      </c>
      <c r="B543" t="s">
        <v>1248</v>
      </c>
      <c r="C543" t="s">
        <v>79</v>
      </c>
      <c r="D543" t="s">
        <v>75</v>
      </c>
      <c r="E543" t="s">
        <v>45</v>
      </c>
      <c r="F543" s="1">
        <v>42891</v>
      </c>
      <c r="G543">
        <v>2017</v>
      </c>
      <c r="H543" t="s">
        <v>63</v>
      </c>
      <c r="I543" t="s">
        <v>366</v>
      </c>
      <c r="J543" t="s">
        <v>48</v>
      </c>
      <c r="K543">
        <v>5</v>
      </c>
      <c r="L543">
        <v>17305863</v>
      </c>
      <c r="M543">
        <v>1768708</v>
      </c>
      <c r="N543">
        <v>90</v>
      </c>
      <c r="P543" t="s">
        <v>42</v>
      </c>
    </row>
    <row r="544" spans="1:16" x14ac:dyDescent="0.35">
      <c r="A544" t="s">
        <v>1249</v>
      </c>
      <c r="B544" t="s">
        <v>1250</v>
      </c>
      <c r="C544" t="s">
        <v>79</v>
      </c>
      <c r="D544" t="s">
        <v>68</v>
      </c>
      <c r="E544" t="s">
        <v>45</v>
      </c>
      <c r="F544" s="1">
        <v>44239</v>
      </c>
      <c r="G544">
        <v>2009</v>
      </c>
      <c r="H544" t="s">
        <v>121</v>
      </c>
      <c r="I544" t="s">
        <v>958</v>
      </c>
      <c r="J544" t="s">
        <v>103</v>
      </c>
      <c r="K544">
        <v>9.4</v>
      </c>
      <c r="L544">
        <v>17485512</v>
      </c>
      <c r="M544">
        <v>3724949</v>
      </c>
      <c r="N544">
        <v>93</v>
      </c>
      <c r="O544" t="s">
        <v>91</v>
      </c>
      <c r="P544" t="s">
        <v>87</v>
      </c>
    </row>
    <row r="545" spans="1:16" x14ac:dyDescent="0.35">
      <c r="A545" t="s">
        <v>1251</v>
      </c>
      <c r="B545" t="s">
        <v>1252</v>
      </c>
      <c r="D545" t="s">
        <v>75</v>
      </c>
      <c r="E545" t="s">
        <v>45</v>
      </c>
      <c r="F545" s="1">
        <v>42025</v>
      </c>
      <c r="G545">
        <v>2004</v>
      </c>
      <c r="H545" t="s">
        <v>46</v>
      </c>
      <c r="I545" t="s">
        <v>71</v>
      </c>
      <c r="J545" t="s">
        <v>57</v>
      </c>
      <c r="K545">
        <v>9.6999999999999993</v>
      </c>
      <c r="L545">
        <v>14472973</v>
      </c>
      <c r="M545">
        <v>1876016</v>
      </c>
      <c r="N545">
        <v>76</v>
      </c>
      <c r="O545" t="s">
        <v>65</v>
      </c>
      <c r="P545" t="s">
        <v>32</v>
      </c>
    </row>
    <row r="546" spans="1:16" x14ac:dyDescent="0.35">
      <c r="A546" t="s">
        <v>1253</v>
      </c>
      <c r="B546" t="s">
        <v>1254</v>
      </c>
      <c r="C546" t="s">
        <v>53</v>
      </c>
      <c r="D546" t="s">
        <v>36</v>
      </c>
      <c r="E546" t="s">
        <v>62</v>
      </c>
      <c r="F546" s="1">
        <v>45691</v>
      </c>
      <c r="G546">
        <v>2021</v>
      </c>
      <c r="H546" t="s">
        <v>38</v>
      </c>
      <c r="J546" t="s">
        <v>133</v>
      </c>
      <c r="K546">
        <v>8.4</v>
      </c>
      <c r="L546">
        <v>1449031</v>
      </c>
      <c r="M546">
        <v>4199311</v>
      </c>
      <c r="N546">
        <v>51</v>
      </c>
      <c r="O546" t="s">
        <v>123</v>
      </c>
      <c r="P546" t="s">
        <v>87</v>
      </c>
    </row>
    <row r="547" spans="1:16" x14ac:dyDescent="0.35">
      <c r="A547" t="s">
        <v>1255</v>
      </c>
      <c r="B547" t="s">
        <v>1256</v>
      </c>
      <c r="C547" t="s">
        <v>18</v>
      </c>
      <c r="D547" t="s">
        <v>36</v>
      </c>
      <c r="E547" t="s">
        <v>165</v>
      </c>
      <c r="F547" s="1">
        <v>44655</v>
      </c>
      <c r="G547">
        <v>2018</v>
      </c>
      <c r="H547" t="s">
        <v>21</v>
      </c>
      <c r="I547" t="s">
        <v>411</v>
      </c>
      <c r="J547" t="s">
        <v>30</v>
      </c>
      <c r="K547">
        <v>8.8000000000000007</v>
      </c>
      <c r="L547">
        <v>12918627</v>
      </c>
      <c r="M547">
        <v>4651475</v>
      </c>
      <c r="N547">
        <v>73</v>
      </c>
      <c r="O547" t="s">
        <v>49</v>
      </c>
      <c r="P547" t="s">
        <v>87</v>
      </c>
    </row>
    <row r="548" spans="1:16" x14ac:dyDescent="0.35">
      <c r="A548" t="s">
        <v>1257</v>
      </c>
      <c r="B548" t="s">
        <v>1258</v>
      </c>
      <c r="C548" t="s">
        <v>84</v>
      </c>
      <c r="D548" t="s">
        <v>156</v>
      </c>
      <c r="E548" t="s">
        <v>113</v>
      </c>
      <c r="F548" s="1">
        <v>44365</v>
      </c>
      <c r="G548">
        <v>2013</v>
      </c>
      <c r="H548" t="s">
        <v>114</v>
      </c>
      <c r="I548" t="s">
        <v>738</v>
      </c>
      <c r="J548" t="s">
        <v>153</v>
      </c>
      <c r="K548">
        <v>7.7</v>
      </c>
      <c r="L548">
        <v>24130323</v>
      </c>
      <c r="M548">
        <v>667714</v>
      </c>
      <c r="N548">
        <v>59</v>
      </c>
      <c r="O548" t="s">
        <v>31</v>
      </c>
      <c r="P548" t="s">
        <v>32</v>
      </c>
    </row>
    <row r="549" spans="1:16" x14ac:dyDescent="0.35">
      <c r="A549" t="s">
        <v>1259</v>
      </c>
      <c r="B549" t="s">
        <v>1260</v>
      </c>
      <c r="C549" t="s">
        <v>35</v>
      </c>
      <c r="D549" t="s">
        <v>61</v>
      </c>
      <c r="E549" t="s">
        <v>20</v>
      </c>
      <c r="F549" s="1">
        <v>43697</v>
      </c>
      <c r="G549">
        <v>2025</v>
      </c>
      <c r="H549" t="s">
        <v>21</v>
      </c>
      <c r="I549" t="s">
        <v>71</v>
      </c>
      <c r="J549" t="s">
        <v>153</v>
      </c>
      <c r="K549">
        <v>5</v>
      </c>
      <c r="L549">
        <v>10663172</v>
      </c>
      <c r="M549">
        <v>4933045</v>
      </c>
      <c r="N549">
        <v>48</v>
      </c>
      <c r="O549" t="s">
        <v>91</v>
      </c>
      <c r="P549" t="s">
        <v>32</v>
      </c>
    </row>
    <row r="550" spans="1:16" x14ac:dyDescent="0.35">
      <c r="A550" t="s">
        <v>1261</v>
      </c>
      <c r="B550" t="s">
        <v>1262</v>
      </c>
      <c r="C550" t="s">
        <v>84</v>
      </c>
      <c r="D550" t="s">
        <v>94</v>
      </c>
      <c r="E550" t="s">
        <v>69</v>
      </c>
      <c r="F550" s="1">
        <v>43339</v>
      </c>
      <c r="G550">
        <v>2003</v>
      </c>
      <c r="H550" t="s">
        <v>70</v>
      </c>
      <c r="I550" t="s">
        <v>150</v>
      </c>
      <c r="J550" t="s">
        <v>76</v>
      </c>
      <c r="K550">
        <v>7.5</v>
      </c>
      <c r="L550">
        <v>2133281</v>
      </c>
      <c r="M550">
        <v>3176146</v>
      </c>
      <c r="N550">
        <v>65</v>
      </c>
    </row>
    <row r="551" spans="1:16" x14ac:dyDescent="0.35">
      <c r="A551" t="s">
        <v>1263</v>
      </c>
      <c r="B551" t="s">
        <v>1264</v>
      </c>
      <c r="C551" t="s">
        <v>18</v>
      </c>
      <c r="D551" t="s">
        <v>90</v>
      </c>
      <c r="F551" s="1">
        <v>43222</v>
      </c>
      <c r="G551">
        <v>2007</v>
      </c>
      <c r="H551" t="s">
        <v>81</v>
      </c>
      <c r="I551" t="s">
        <v>1023</v>
      </c>
      <c r="J551" t="s">
        <v>40</v>
      </c>
      <c r="K551">
        <v>9.3000000000000007</v>
      </c>
      <c r="L551">
        <v>828861</v>
      </c>
      <c r="M551">
        <v>1236332</v>
      </c>
      <c r="N551">
        <v>98</v>
      </c>
      <c r="O551" t="s">
        <v>123</v>
      </c>
      <c r="P551" t="s">
        <v>50</v>
      </c>
    </row>
    <row r="552" spans="1:16" x14ac:dyDescent="0.35">
      <c r="A552" t="s">
        <v>1265</v>
      </c>
      <c r="B552" t="s">
        <v>1266</v>
      </c>
      <c r="D552" t="s">
        <v>68</v>
      </c>
      <c r="E552" t="s">
        <v>131</v>
      </c>
      <c r="F552" s="1">
        <v>44001</v>
      </c>
      <c r="G552">
        <v>2005</v>
      </c>
      <c r="I552" t="s">
        <v>136</v>
      </c>
      <c r="J552" t="s">
        <v>23</v>
      </c>
      <c r="K552">
        <v>7.3</v>
      </c>
      <c r="L552">
        <v>3197895</v>
      </c>
      <c r="M552">
        <v>4993437</v>
      </c>
      <c r="N552">
        <v>70</v>
      </c>
      <c r="O552" t="s">
        <v>91</v>
      </c>
      <c r="P552" t="s">
        <v>87</v>
      </c>
    </row>
    <row r="553" spans="1:16" x14ac:dyDescent="0.35">
      <c r="A553" t="s">
        <v>1267</v>
      </c>
      <c r="B553" t="s">
        <v>1268</v>
      </c>
      <c r="C553" t="s">
        <v>53</v>
      </c>
      <c r="D553" t="s">
        <v>94</v>
      </c>
      <c r="E553" t="s">
        <v>131</v>
      </c>
      <c r="F553" s="1">
        <v>45013</v>
      </c>
      <c r="G553">
        <v>2022</v>
      </c>
      <c r="I553" t="s">
        <v>162</v>
      </c>
      <c r="J553" t="s">
        <v>133</v>
      </c>
      <c r="K553">
        <v>9.6999999999999993</v>
      </c>
      <c r="L553">
        <v>17216173</v>
      </c>
      <c r="M553">
        <v>4323371</v>
      </c>
      <c r="N553">
        <v>58</v>
      </c>
      <c r="O553" t="s">
        <v>49</v>
      </c>
    </row>
    <row r="554" spans="1:16" x14ac:dyDescent="0.35">
      <c r="A554" t="s">
        <v>1269</v>
      </c>
      <c r="B554" t="s">
        <v>1270</v>
      </c>
      <c r="C554" t="s">
        <v>53</v>
      </c>
      <c r="E554" t="s">
        <v>62</v>
      </c>
      <c r="F554" s="1">
        <v>42988</v>
      </c>
      <c r="G554">
        <v>2014</v>
      </c>
      <c r="H554" t="s">
        <v>107</v>
      </c>
      <c r="I554" t="s">
        <v>64</v>
      </c>
      <c r="J554" t="s">
        <v>48</v>
      </c>
      <c r="K554">
        <v>7.4</v>
      </c>
      <c r="L554">
        <v>7960583</v>
      </c>
      <c r="M554">
        <v>4107246</v>
      </c>
      <c r="N554">
        <v>44</v>
      </c>
      <c r="O554" t="s">
        <v>58</v>
      </c>
      <c r="P554" t="s">
        <v>32</v>
      </c>
    </row>
    <row r="555" spans="1:16" x14ac:dyDescent="0.35">
      <c r="A555" t="s">
        <v>1271</v>
      </c>
      <c r="B555" t="s">
        <v>1272</v>
      </c>
      <c r="C555" t="s">
        <v>53</v>
      </c>
      <c r="E555" t="s">
        <v>131</v>
      </c>
      <c r="F555" s="1">
        <v>44083</v>
      </c>
      <c r="G555">
        <v>2000</v>
      </c>
      <c r="H555" t="s">
        <v>85</v>
      </c>
      <c r="I555" t="s">
        <v>136</v>
      </c>
      <c r="J555" t="s">
        <v>40</v>
      </c>
      <c r="K555">
        <v>6</v>
      </c>
      <c r="L555">
        <v>2269119</v>
      </c>
      <c r="M555">
        <v>2771445</v>
      </c>
      <c r="N555">
        <v>67</v>
      </c>
      <c r="O555" t="s">
        <v>49</v>
      </c>
      <c r="P555" t="s">
        <v>42</v>
      </c>
    </row>
    <row r="556" spans="1:16" x14ac:dyDescent="0.35">
      <c r="A556" t="s">
        <v>1273</v>
      </c>
      <c r="B556" t="s">
        <v>1274</v>
      </c>
      <c r="C556" t="s">
        <v>35</v>
      </c>
      <c r="D556" t="s">
        <v>75</v>
      </c>
      <c r="E556" t="s">
        <v>45</v>
      </c>
      <c r="F556" s="1">
        <v>46145</v>
      </c>
      <c r="G556">
        <v>2000</v>
      </c>
      <c r="H556" t="s">
        <v>38</v>
      </c>
      <c r="I556" t="s">
        <v>118</v>
      </c>
      <c r="J556" t="s">
        <v>153</v>
      </c>
      <c r="K556">
        <v>5.2</v>
      </c>
      <c r="L556">
        <v>2788484</v>
      </c>
      <c r="M556">
        <v>701541</v>
      </c>
      <c r="N556">
        <v>40</v>
      </c>
      <c r="O556" t="s">
        <v>123</v>
      </c>
    </row>
    <row r="557" spans="1:16" x14ac:dyDescent="0.35">
      <c r="A557" t="s">
        <v>1275</v>
      </c>
      <c r="B557" t="s">
        <v>1276</v>
      </c>
      <c r="C557" t="s">
        <v>53</v>
      </c>
      <c r="D557" t="s">
        <v>68</v>
      </c>
      <c r="E557" t="s">
        <v>165</v>
      </c>
      <c r="F557" s="1">
        <v>45686</v>
      </c>
      <c r="G557">
        <v>2002</v>
      </c>
      <c r="H557" t="s">
        <v>85</v>
      </c>
      <c r="I557" t="s">
        <v>95</v>
      </c>
      <c r="J557" t="s">
        <v>40</v>
      </c>
      <c r="K557">
        <v>4.9000000000000004</v>
      </c>
      <c r="L557">
        <v>4731789</v>
      </c>
      <c r="M557">
        <v>4035909</v>
      </c>
      <c r="N557">
        <v>87</v>
      </c>
      <c r="O557" t="s">
        <v>49</v>
      </c>
    </row>
    <row r="558" spans="1:16" x14ac:dyDescent="0.35">
      <c r="A558" t="s">
        <v>1277</v>
      </c>
      <c r="B558" t="s">
        <v>1278</v>
      </c>
      <c r="C558" t="s">
        <v>79</v>
      </c>
      <c r="D558" t="s">
        <v>94</v>
      </c>
      <c r="E558" t="s">
        <v>113</v>
      </c>
      <c r="F558" s="1">
        <v>43549</v>
      </c>
      <c r="G558">
        <v>2023</v>
      </c>
      <c r="H558" t="s">
        <v>107</v>
      </c>
      <c r="I558" t="s">
        <v>1279</v>
      </c>
      <c r="J558" t="s">
        <v>96</v>
      </c>
      <c r="K558">
        <v>8.1</v>
      </c>
      <c r="L558">
        <v>17045086</v>
      </c>
      <c r="M558">
        <v>2781079</v>
      </c>
      <c r="N558">
        <v>40</v>
      </c>
      <c r="O558" t="s">
        <v>65</v>
      </c>
      <c r="P558" t="s">
        <v>87</v>
      </c>
    </row>
    <row r="559" spans="1:16" x14ac:dyDescent="0.35">
      <c r="A559" t="s">
        <v>1280</v>
      </c>
      <c r="B559" t="s">
        <v>1281</v>
      </c>
      <c r="D559" t="s">
        <v>94</v>
      </c>
      <c r="E559" t="s">
        <v>131</v>
      </c>
      <c r="F559" s="1">
        <v>42256</v>
      </c>
      <c r="G559">
        <v>2009</v>
      </c>
      <c r="H559" t="s">
        <v>70</v>
      </c>
      <c r="I559" t="s">
        <v>95</v>
      </c>
      <c r="J559" t="s">
        <v>72</v>
      </c>
      <c r="K559">
        <v>7.9</v>
      </c>
      <c r="L559">
        <v>814836</v>
      </c>
      <c r="M559">
        <v>759202</v>
      </c>
      <c r="N559">
        <v>94</v>
      </c>
      <c r="O559" t="s">
        <v>58</v>
      </c>
      <c r="P559" t="s">
        <v>87</v>
      </c>
    </row>
    <row r="560" spans="1:16" x14ac:dyDescent="0.35">
      <c r="A560" t="s">
        <v>1282</v>
      </c>
      <c r="B560" t="s">
        <v>1283</v>
      </c>
      <c r="C560" t="s">
        <v>79</v>
      </c>
      <c r="D560" t="s">
        <v>75</v>
      </c>
      <c r="E560" t="s">
        <v>37</v>
      </c>
      <c r="F560" s="1">
        <v>45631</v>
      </c>
      <c r="G560">
        <v>2008</v>
      </c>
      <c r="H560" t="s">
        <v>46</v>
      </c>
      <c r="I560" t="s">
        <v>361</v>
      </c>
      <c r="J560" t="s">
        <v>23</v>
      </c>
      <c r="K560">
        <v>6.8</v>
      </c>
      <c r="L560">
        <v>19869096</v>
      </c>
      <c r="M560">
        <v>195165</v>
      </c>
      <c r="N560">
        <v>47</v>
      </c>
      <c r="O560" t="s">
        <v>58</v>
      </c>
      <c r="P560" t="s">
        <v>32</v>
      </c>
    </row>
    <row r="561" spans="1:16" x14ac:dyDescent="0.35">
      <c r="A561" t="s">
        <v>1284</v>
      </c>
      <c r="B561" t="s">
        <v>1285</v>
      </c>
      <c r="C561" t="s">
        <v>79</v>
      </c>
      <c r="D561" t="s">
        <v>61</v>
      </c>
      <c r="F561" s="1">
        <v>43822</v>
      </c>
      <c r="G561">
        <v>2023</v>
      </c>
      <c r="H561" t="s">
        <v>63</v>
      </c>
      <c r="I561" t="s">
        <v>249</v>
      </c>
      <c r="J561" t="s">
        <v>103</v>
      </c>
      <c r="K561">
        <v>4.5999999999999996</v>
      </c>
      <c r="L561">
        <v>20181782</v>
      </c>
      <c r="M561">
        <v>1512474</v>
      </c>
      <c r="N561">
        <v>53</v>
      </c>
      <c r="O561" t="s">
        <v>49</v>
      </c>
      <c r="P561" t="s">
        <v>42</v>
      </c>
    </row>
    <row r="562" spans="1:16" x14ac:dyDescent="0.35">
      <c r="A562" t="s">
        <v>1286</v>
      </c>
      <c r="B562" t="s">
        <v>1287</v>
      </c>
      <c r="C562" t="s">
        <v>53</v>
      </c>
      <c r="D562" t="s">
        <v>90</v>
      </c>
      <c r="E562" t="s">
        <v>165</v>
      </c>
      <c r="F562" s="1">
        <v>43177</v>
      </c>
      <c r="G562">
        <v>2021</v>
      </c>
      <c r="I562" t="s">
        <v>95</v>
      </c>
      <c r="J562" t="s">
        <v>133</v>
      </c>
      <c r="K562">
        <v>9</v>
      </c>
      <c r="L562">
        <v>18550535</v>
      </c>
      <c r="M562">
        <v>1613932</v>
      </c>
      <c r="N562">
        <v>61</v>
      </c>
      <c r="O562" t="s">
        <v>123</v>
      </c>
      <c r="P562" t="s">
        <v>50</v>
      </c>
    </row>
    <row r="563" spans="1:16" x14ac:dyDescent="0.35">
      <c r="A563" t="s">
        <v>1288</v>
      </c>
      <c r="B563" t="s">
        <v>1289</v>
      </c>
      <c r="C563" t="s">
        <v>53</v>
      </c>
      <c r="D563" t="s">
        <v>90</v>
      </c>
      <c r="E563" t="s">
        <v>37</v>
      </c>
      <c r="F563" s="1">
        <v>44758</v>
      </c>
      <c r="G563">
        <v>2018</v>
      </c>
      <c r="H563" t="s">
        <v>121</v>
      </c>
      <c r="I563" t="s">
        <v>162</v>
      </c>
      <c r="J563" t="s">
        <v>153</v>
      </c>
      <c r="K563">
        <v>8.1</v>
      </c>
      <c r="L563">
        <v>11047295</v>
      </c>
      <c r="M563">
        <v>4629577</v>
      </c>
      <c r="N563">
        <v>41</v>
      </c>
      <c r="O563" t="s">
        <v>31</v>
      </c>
    </row>
    <row r="564" spans="1:16" x14ac:dyDescent="0.35">
      <c r="A564" t="s">
        <v>1290</v>
      </c>
      <c r="B564" t="s">
        <v>1291</v>
      </c>
      <c r="D564" t="s">
        <v>61</v>
      </c>
      <c r="E564" t="s">
        <v>165</v>
      </c>
      <c r="G564">
        <v>2020</v>
      </c>
      <c r="H564" t="s">
        <v>21</v>
      </c>
      <c r="I564" t="s">
        <v>64</v>
      </c>
      <c r="J564" t="s">
        <v>23</v>
      </c>
      <c r="K564">
        <v>9.6</v>
      </c>
      <c r="L564">
        <v>18763012</v>
      </c>
      <c r="M564">
        <v>2244951</v>
      </c>
      <c r="N564">
        <v>56</v>
      </c>
      <c r="O564" t="s">
        <v>123</v>
      </c>
      <c r="P564" t="s">
        <v>50</v>
      </c>
    </row>
    <row r="565" spans="1:16" x14ac:dyDescent="0.35">
      <c r="A565" t="s">
        <v>1292</v>
      </c>
      <c r="B565" t="s">
        <v>1293</v>
      </c>
      <c r="C565" t="s">
        <v>18</v>
      </c>
      <c r="D565" t="s">
        <v>156</v>
      </c>
      <c r="E565" t="s">
        <v>20</v>
      </c>
      <c r="F565" s="1">
        <v>42709</v>
      </c>
      <c r="G565">
        <v>2023</v>
      </c>
      <c r="H565" t="s">
        <v>114</v>
      </c>
      <c r="I565" t="s">
        <v>373</v>
      </c>
      <c r="J565" t="s">
        <v>48</v>
      </c>
      <c r="K565">
        <v>9.6999999999999993</v>
      </c>
      <c r="L565">
        <v>24119823</v>
      </c>
      <c r="M565">
        <v>2860525</v>
      </c>
      <c r="N565">
        <v>41</v>
      </c>
      <c r="O565" t="s">
        <v>58</v>
      </c>
      <c r="P565" t="s">
        <v>32</v>
      </c>
    </row>
    <row r="566" spans="1:16" x14ac:dyDescent="0.35">
      <c r="A566" t="s">
        <v>1294</v>
      </c>
      <c r="B566" t="s">
        <v>1295</v>
      </c>
      <c r="C566" t="s">
        <v>84</v>
      </c>
      <c r="E566" t="s">
        <v>99</v>
      </c>
      <c r="F566" s="1">
        <v>42332</v>
      </c>
      <c r="G566">
        <v>2006</v>
      </c>
      <c r="H566" t="s">
        <v>21</v>
      </c>
      <c r="I566" t="s">
        <v>817</v>
      </c>
      <c r="J566" t="s">
        <v>72</v>
      </c>
      <c r="K566">
        <v>8</v>
      </c>
      <c r="L566">
        <v>4633503</v>
      </c>
      <c r="M566">
        <v>4556829</v>
      </c>
      <c r="N566">
        <v>68</v>
      </c>
      <c r="O566" t="s">
        <v>24</v>
      </c>
    </row>
    <row r="567" spans="1:16" x14ac:dyDescent="0.35">
      <c r="A567" t="s">
        <v>1296</v>
      </c>
      <c r="B567" t="s">
        <v>1297</v>
      </c>
      <c r="C567" t="s">
        <v>53</v>
      </c>
      <c r="D567" t="s">
        <v>75</v>
      </c>
      <c r="E567" t="s">
        <v>45</v>
      </c>
      <c r="F567" s="1">
        <v>43464</v>
      </c>
      <c r="G567">
        <v>2023</v>
      </c>
      <c r="H567" t="s">
        <v>63</v>
      </c>
      <c r="I567" t="s">
        <v>39</v>
      </c>
      <c r="J567" t="s">
        <v>153</v>
      </c>
      <c r="K567">
        <v>5.0999999999999996</v>
      </c>
      <c r="L567">
        <v>23676704</v>
      </c>
      <c r="M567">
        <v>1453114</v>
      </c>
      <c r="N567">
        <v>76</v>
      </c>
    </row>
    <row r="568" spans="1:16" x14ac:dyDescent="0.35">
      <c r="A568" t="s">
        <v>1298</v>
      </c>
      <c r="B568" t="s">
        <v>1299</v>
      </c>
      <c r="D568" t="s">
        <v>94</v>
      </c>
      <c r="E568" t="s">
        <v>20</v>
      </c>
      <c r="F568" s="1">
        <v>44733</v>
      </c>
      <c r="G568">
        <v>2014</v>
      </c>
      <c r="H568" t="s">
        <v>121</v>
      </c>
      <c r="I568" t="s">
        <v>39</v>
      </c>
      <c r="J568" t="s">
        <v>23</v>
      </c>
      <c r="K568">
        <v>7.6</v>
      </c>
      <c r="L568">
        <v>3550425</v>
      </c>
      <c r="M568">
        <v>1181033</v>
      </c>
      <c r="N568">
        <v>92</v>
      </c>
      <c r="O568" t="s">
        <v>104</v>
      </c>
      <c r="P568" t="s">
        <v>87</v>
      </c>
    </row>
    <row r="569" spans="1:16" x14ac:dyDescent="0.35">
      <c r="A569" t="s">
        <v>1300</v>
      </c>
      <c r="B569" t="s">
        <v>1301</v>
      </c>
      <c r="C569" t="s">
        <v>53</v>
      </c>
      <c r="D569" t="s">
        <v>68</v>
      </c>
      <c r="E569" t="s">
        <v>20</v>
      </c>
      <c r="F569" s="1">
        <v>42915</v>
      </c>
      <c r="G569">
        <v>2018</v>
      </c>
      <c r="H569" t="s">
        <v>121</v>
      </c>
      <c r="I569" t="s">
        <v>39</v>
      </c>
      <c r="J569" t="s">
        <v>153</v>
      </c>
      <c r="K569">
        <v>5.9</v>
      </c>
      <c r="L569">
        <v>9396362</v>
      </c>
      <c r="M569">
        <v>1612390</v>
      </c>
      <c r="N569">
        <v>40</v>
      </c>
      <c r="O569" t="s">
        <v>31</v>
      </c>
      <c r="P569" t="s">
        <v>32</v>
      </c>
    </row>
    <row r="570" spans="1:16" x14ac:dyDescent="0.35">
      <c r="A570" t="s">
        <v>1302</v>
      </c>
      <c r="B570" t="s">
        <v>1303</v>
      </c>
      <c r="C570" t="s">
        <v>84</v>
      </c>
      <c r="D570" t="s">
        <v>61</v>
      </c>
      <c r="E570" t="s">
        <v>20</v>
      </c>
      <c r="F570" s="1">
        <v>42606</v>
      </c>
      <c r="G570">
        <v>2001</v>
      </c>
      <c r="H570" t="s">
        <v>81</v>
      </c>
      <c r="I570" t="s">
        <v>336</v>
      </c>
      <c r="J570" t="s">
        <v>40</v>
      </c>
      <c r="K570">
        <v>5.6</v>
      </c>
      <c r="L570">
        <v>1318341</v>
      </c>
      <c r="M570">
        <v>1260129</v>
      </c>
      <c r="N570">
        <v>85</v>
      </c>
      <c r="O570" t="s">
        <v>31</v>
      </c>
      <c r="P570" t="s">
        <v>87</v>
      </c>
    </row>
    <row r="571" spans="1:16" x14ac:dyDescent="0.35">
      <c r="A571" t="s">
        <v>1304</v>
      </c>
      <c r="B571" t="s">
        <v>1305</v>
      </c>
      <c r="C571" t="s">
        <v>84</v>
      </c>
      <c r="D571" t="s">
        <v>19</v>
      </c>
      <c r="E571" t="s">
        <v>99</v>
      </c>
      <c r="F571" s="1">
        <v>42964</v>
      </c>
      <c r="G571">
        <v>2005</v>
      </c>
      <c r="H571" t="s">
        <v>63</v>
      </c>
      <c r="I571" t="s">
        <v>294</v>
      </c>
      <c r="J571" t="s">
        <v>103</v>
      </c>
      <c r="K571">
        <v>7.5</v>
      </c>
      <c r="L571">
        <v>9530995</v>
      </c>
      <c r="M571">
        <v>4253393</v>
      </c>
      <c r="N571">
        <v>59</v>
      </c>
      <c r="O571" t="s">
        <v>49</v>
      </c>
    </row>
    <row r="572" spans="1:16" x14ac:dyDescent="0.35">
      <c r="A572" t="s">
        <v>1306</v>
      </c>
      <c r="B572" t="s">
        <v>1307</v>
      </c>
      <c r="C572" t="s">
        <v>18</v>
      </c>
      <c r="D572" t="s">
        <v>156</v>
      </c>
      <c r="E572" t="s">
        <v>37</v>
      </c>
      <c r="F572" s="1">
        <v>44898</v>
      </c>
      <c r="G572">
        <v>2014</v>
      </c>
      <c r="H572" t="s">
        <v>63</v>
      </c>
      <c r="I572" t="s">
        <v>1008</v>
      </c>
      <c r="J572" t="s">
        <v>76</v>
      </c>
      <c r="K572">
        <v>9.6999999999999993</v>
      </c>
      <c r="L572">
        <v>12821897</v>
      </c>
      <c r="M572">
        <v>3811250</v>
      </c>
      <c r="N572">
        <v>51</v>
      </c>
      <c r="O572" t="s">
        <v>31</v>
      </c>
      <c r="P572" t="s">
        <v>87</v>
      </c>
    </row>
    <row r="573" spans="1:16" x14ac:dyDescent="0.35">
      <c r="A573" t="s">
        <v>1308</v>
      </c>
      <c r="B573" t="s">
        <v>1309</v>
      </c>
      <c r="C573" t="s">
        <v>84</v>
      </c>
      <c r="D573" t="s">
        <v>90</v>
      </c>
      <c r="E573" t="s">
        <v>20</v>
      </c>
      <c r="F573" s="1">
        <v>45486</v>
      </c>
      <c r="G573">
        <v>2009</v>
      </c>
      <c r="H573" t="s">
        <v>107</v>
      </c>
      <c r="I573" t="s">
        <v>259</v>
      </c>
      <c r="J573" t="s">
        <v>48</v>
      </c>
      <c r="K573">
        <v>7.7</v>
      </c>
      <c r="L573">
        <v>24645271</v>
      </c>
      <c r="M573">
        <v>2541604</v>
      </c>
      <c r="N573">
        <v>89</v>
      </c>
      <c r="O573" t="s">
        <v>91</v>
      </c>
      <c r="P573" t="s">
        <v>87</v>
      </c>
    </row>
    <row r="574" spans="1:16" x14ac:dyDescent="0.35">
      <c r="A574" t="s">
        <v>1310</v>
      </c>
      <c r="B574" t="s">
        <v>1311</v>
      </c>
      <c r="C574" t="s">
        <v>84</v>
      </c>
      <c r="D574" t="s">
        <v>19</v>
      </c>
      <c r="F574" s="1">
        <v>43402</v>
      </c>
      <c r="G574">
        <v>2004</v>
      </c>
      <c r="H574" t="s">
        <v>114</v>
      </c>
      <c r="I574" t="s">
        <v>450</v>
      </c>
      <c r="J574" t="s">
        <v>96</v>
      </c>
      <c r="K574">
        <v>8.1999999999999993</v>
      </c>
      <c r="L574">
        <v>8327306</v>
      </c>
      <c r="M574">
        <v>191315</v>
      </c>
      <c r="N574">
        <v>55</v>
      </c>
      <c r="P574" t="s">
        <v>87</v>
      </c>
    </row>
    <row r="575" spans="1:16" x14ac:dyDescent="0.35">
      <c r="A575" t="s">
        <v>1312</v>
      </c>
      <c r="B575" t="s">
        <v>1311</v>
      </c>
      <c r="C575" t="s">
        <v>18</v>
      </c>
      <c r="D575" t="s">
        <v>54</v>
      </c>
      <c r="E575" t="s">
        <v>131</v>
      </c>
      <c r="F575" s="1">
        <v>44416</v>
      </c>
      <c r="G575">
        <v>2024</v>
      </c>
      <c r="H575" t="s">
        <v>81</v>
      </c>
      <c r="I575" t="s">
        <v>661</v>
      </c>
      <c r="J575" t="s">
        <v>48</v>
      </c>
      <c r="K575">
        <v>7.3</v>
      </c>
      <c r="L575">
        <v>19188423</v>
      </c>
      <c r="M575">
        <v>2172149</v>
      </c>
      <c r="N575">
        <v>54</v>
      </c>
      <c r="O575" t="s">
        <v>49</v>
      </c>
      <c r="P575" t="s">
        <v>42</v>
      </c>
    </row>
    <row r="576" spans="1:16" x14ac:dyDescent="0.35">
      <c r="A576" t="s">
        <v>1313</v>
      </c>
      <c r="B576" t="s">
        <v>1314</v>
      </c>
      <c r="C576" t="s">
        <v>79</v>
      </c>
      <c r="D576" t="s">
        <v>156</v>
      </c>
      <c r="E576" t="s">
        <v>69</v>
      </c>
      <c r="F576" s="1">
        <v>42249</v>
      </c>
      <c r="G576">
        <v>2022</v>
      </c>
      <c r="I576" t="s">
        <v>1120</v>
      </c>
      <c r="J576" t="s">
        <v>103</v>
      </c>
      <c r="K576">
        <v>5.2</v>
      </c>
      <c r="L576">
        <v>15380493</v>
      </c>
      <c r="M576">
        <v>3618379</v>
      </c>
      <c r="N576">
        <v>64</v>
      </c>
      <c r="O576" t="s">
        <v>65</v>
      </c>
      <c r="P576" t="s">
        <v>32</v>
      </c>
    </row>
    <row r="577" spans="1:16" x14ac:dyDescent="0.35">
      <c r="A577" t="s">
        <v>1315</v>
      </c>
      <c r="B577" t="s">
        <v>1316</v>
      </c>
      <c r="C577" t="s">
        <v>79</v>
      </c>
      <c r="D577" t="s">
        <v>68</v>
      </c>
      <c r="E577" t="s">
        <v>62</v>
      </c>
      <c r="F577" s="1">
        <v>45252</v>
      </c>
      <c r="G577">
        <v>2012</v>
      </c>
      <c r="H577" t="s">
        <v>21</v>
      </c>
      <c r="I577" t="s">
        <v>254</v>
      </c>
      <c r="J577" t="s">
        <v>96</v>
      </c>
      <c r="K577">
        <v>11.2</v>
      </c>
      <c r="L577">
        <v>17823847</v>
      </c>
      <c r="M577">
        <v>3312506</v>
      </c>
      <c r="N577">
        <v>48</v>
      </c>
    </row>
    <row r="578" spans="1:16" x14ac:dyDescent="0.35">
      <c r="A578" t="s">
        <v>1317</v>
      </c>
      <c r="B578" t="s">
        <v>1318</v>
      </c>
      <c r="C578" t="s">
        <v>84</v>
      </c>
      <c r="D578" t="s">
        <v>36</v>
      </c>
      <c r="E578" t="s">
        <v>62</v>
      </c>
      <c r="F578" s="1">
        <v>42694</v>
      </c>
      <c r="G578">
        <v>2013</v>
      </c>
      <c r="H578" t="s">
        <v>81</v>
      </c>
      <c r="I578" t="s">
        <v>366</v>
      </c>
      <c r="J578" t="s">
        <v>23</v>
      </c>
      <c r="K578">
        <v>6.1</v>
      </c>
      <c r="L578">
        <v>12862522</v>
      </c>
      <c r="M578">
        <v>3861486</v>
      </c>
      <c r="N578">
        <v>92</v>
      </c>
      <c r="O578" t="s">
        <v>41</v>
      </c>
      <c r="P578" t="s">
        <v>50</v>
      </c>
    </row>
    <row r="579" spans="1:16" x14ac:dyDescent="0.35">
      <c r="A579" t="s">
        <v>1319</v>
      </c>
      <c r="B579" t="s">
        <v>1320</v>
      </c>
      <c r="C579" t="s">
        <v>35</v>
      </c>
      <c r="D579" t="s">
        <v>54</v>
      </c>
      <c r="E579" t="s">
        <v>20</v>
      </c>
      <c r="G579">
        <v>2018</v>
      </c>
      <c r="H579" t="s">
        <v>85</v>
      </c>
      <c r="I579" t="s">
        <v>162</v>
      </c>
      <c r="J579" t="s">
        <v>40</v>
      </c>
      <c r="K579">
        <v>6.9</v>
      </c>
      <c r="L579">
        <v>8455798</v>
      </c>
      <c r="M579">
        <v>3926665</v>
      </c>
      <c r="N579">
        <v>78</v>
      </c>
      <c r="O579" t="s">
        <v>65</v>
      </c>
      <c r="P579" t="s">
        <v>42</v>
      </c>
    </row>
    <row r="580" spans="1:16" x14ac:dyDescent="0.35">
      <c r="A580" t="s">
        <v>1321</v>
      </c>
      <c r="B580" t="s">
        <v>1322</v>
      </c>
      <c r="C580" t="s">
        <v>79</v>
      </c>
      <c r="D580" t="s">
        <v>90</v>
      </c>
      <c r="F580" s="1">
        <v>44232</v>
      </c>
      <c r="G580">
        <v>2002</v>
      </c>
      <c r="H580" t="s">
        <v>107</v>
      </c>
      <c r="I580" t="s">
        <v>1008</v>
      </c>
      <c r="J580" t="s">
        <v>96</v>
      </c>
      <c r="K580">
        <v>11.2</v>
      </c>
      <c r="L580">
        <v>12781066</v>
      </c>
      <c r="M580">
        <v>801597</v>
      </c>
      <c r="N580">
        <v>40</v>
      </c>
      <c r="O580" t="s">
        <v>91</v>
      </c>
    </row>
    <row r="581" spans="1:16" x14ac:dyDescent="0.35">
      <c r="A581" t="s">
        <v>1323</v>
      </c>
      <c r="B581" t="s">
        <v>1324</v>
      </c>
      <c r="D581" t="s">
        <v>61</v>
      </c>
      <c r="E581" t="s">
        <v>69</v>
      </c>
      <c r="F581" s="1">
        <v>44440</v>
      </c>
      <c r="G581">
        <v>2012</v>
      </c>
      <c r="I581" t="s">
        <v>136</v>
      </c>
      <c r="K581">
        <v>9.8000000000000007</v>
      </c>
      <c r="L581">
        <v>6992578</v>
      </c>
      <c r="M581">
        <v>1530951</v>
      </c>
      <c r="N581">
        <v>73</v>
      </c>
      <c r="O581" t="s">
        <v>31</v>
      </c>
      <c r="P581" t="s">
        <v>42</v>
      </c>
    </row>
    <row r="582" spans="1:16" x14ac:dyDescent="0.35">
      <c r="A582" t="s">
        <v>1325</v>
      </c>
      <c r="B582" t="s">
        <v>1326</v>
      </c>
      <c r="C582" t="s">
        <v>35</v>
      </c>
      <c r="D582" t="s">
        <v>68</v>
      </c>
      <c r="E582" t="s">
        <v>62</v>
      </c>
      <c r="F582" s="1">
        <v>43969</v>
      </c>
      <c r="G582">
        <v>2013</v>
      </c>
      <c r="H582" t="s">
        <v>21</v>
      </c>
      <c r="I582" t="s">
        <v>71</v>
      </c>
      <c r="J582" t="s">
        <v>40</v>
      </c>
      <c r="K582">
        <v>5</v>
      </c>
      <c r="L582">
        <v>-691</v>
      </c>
      <c r="M582">
        <v>2159609</v>
      </c>
      <c r="N582">
        <v>70</v>
      </c>
      <c r="O582" t="s">
        <v>31</v>
      </c>
    </row>
    <row r="583" spans="1:16" x14ac:dyDescent="0.35">
      <c r="A583" t="s">
        <v>1327</v>
      </c>
      <c r="B583" t="s">
        <v>1328</v>
      </c>
      <c r="C583" t="s">
        <v>18</v>
      </c>
      <c r="D583" t="s">
        <v>19</v>
      </c>
      <c r="E583" t="s">
        <v>131</v>
      </c>
      <c r="F583" s="1">
        <v>43708</v>
      </c>
      <c r="G583">
        <v>2012</v>
      </c>
      <c r="H583" t="s">
        <v>46</v>
      </c>
      <c r="I583" t="s">
        <v>817</v>
      </c>
      <c r="J583" t="s">
        <v>96</v>
      </c>
      <c r="K583">
        <v>7.2</v>
      </c>
      <c r="L583">
        <v>16692343</v>
      </c>
      <c r="M583">
        <v>4902655</v>
      </c>
      <c r="N583">
        <v>68</v>
      </c>
      <c r="O583" t="s">
        <v>41</v>
      </c>
      <c r="P583" t="s">
        <v>42</v>
      </c>
    </row>
    <row r="584" spans="1:16" x14ac:dyDescent="0.35">
      <c r="A584" t="s">
        <v>1329</v>
      </c>
      <c r="B584" t="s">
        <v>1330</v>
      </c>
      <c r="D584" t="s">
        <v>36</v>
      </c>
      <c r="E584" t="s">
        <v>69</v>
      </c>
      <c r="F584" s="1">
        <v>44058</v>
      </c>
      <c r="G584">
        <v>2001</v>
      </c>
      <c r="H584" t="s">
        <v>107</v>
      </c>
      <c r="I584" t="s">
        <v>118</v>
      </c>
      <c r="J584" t="s">
        <v>23</v>
      </c>
      <c r="K584">
        <v>8.6999999999999993</v>
      </c>
      <c r="L584">
        <v>15637843</v>
      </c>
      <c r="M584">
        <v>2283755</v>
      </c>
      <c r="N584">
        <v>66</v>
      </c>
      <c r="O584" t="s">
        <v>123</v>
      </c>
      <c r="P584" t="s">
        <v>42</v>
      </c>
    </row>
    <row r="585" spans="1:16" x14ac:dyDescent="0.35">
      <c r="A585" t="s">
        <v>1331</v>
      </c>
      <c r="B585" t="s">
        <v>1332</v>
      </c>
      <c r="C585" t="s">
        <v>18</v>
      </c>
      <c r="D585" t="s">
        <v>27</v>
      </c>
      <c r="F585" s="1">
        <v>45328</v>
      </c>
      <c r="G585">
        <v>2005</v>
      </c>
      <c r="H585" t="s">
        <v>70</v>
      </c>
      <c r="I585" t="s">
        <v>1333</v>
      </c>
      <c r="J585" t="s">
        <v>76</v>
      </c>
      <c r="K585">
        <v>6.4</v>
      </c>
      <c r="L585">
        <v>6242580</v>
      </c>
      <c r="M585">
        <v>4058149</v>
      </c>
      <c r="N585">
        <v>63</v>
      </c>
      <c r="O585" t="s">
        <v>31</v>
      </c>
    </row>
    <row r="586" spans="1:16" x14ac:dyDescent="0.35">
      <c r="A586" t="s">
        <v>1334</v>
      </c>
      <c r="B586" t="s">
        <v>1335</v>
      </c>
      <c r="C586" t="s">
        <v>53</v>
      </c>
      <c r="D586" t="s">
        <v>68</v>
      </c>
      <c r="E586" t="s">
        <v>20</v>
      </c>
      <c r="F586" s="1">
        <v>45065</v>
      </c>
      <c r="G586">
        <v>2014</v>
      </c>
      <c r="H586" t="s">
        <v>21</v>
      </c>
      <c r="I586" t="s">
        <v>64</v>
      </c>
      <c r="J586" t="s">
        <v>57</v>
      </c>
      <c r="K586">
        <v>7.8</v>
      </c>
      <c r="L586">
        <v>12696500</v>
      </c>
      <c r="M586">
        <v>2106790</v>
      </c>
      <c r="N586">
        <v>83</v>
      </c>
      <c r="O586" t="s">
        <v>65</v>
      </c>
      <c r="P586" t="s">
        <v>42</v>
      </c>
    </row>
    <row r="587" spans="1:16" x14ac:dyDescent="0.35">
      <c r="A587" t="s">
        <v>1336</v>
      </c>
      <c r="B587" t="s">
        <v>1337</v>
      </c>
      <c r="C587" t="s">
        <v>79</v>
      </c>
      <c r="D587" t="s">
        <v>156</v>
      </c>
      <c r="E587" t="s">
        <v>55</v>
      </c>
      <c r="F587" s="1">
        <v>43165</v>
      </c>
      <c r="G587">
        <v>2008</v>
      </c>
      <c r="H587" t="s">
        <v>85</v>
      </c>
      <c r="I587" t="s">
        <v>1171</v>
      </c>
      <c r="J587" t="s">
        <v>153</v>
      </c>
      <c r="K587">
        <v>7.8</v>
      </c>
      <c r="L587">
        <v>9095945</v>
      </c>
      <c r="M587">
        <v>2910702</v>
      </c>
      <c r="N587">
        <v>86</v>
      </c>
      <c r="O587" t="s">
        <v>58</v>
      </c>
      <c r="P587" t="s">
        <v>32</v>
      </c>
    </row>
    <row r="588" spans="1:16" x14ac:dyDescent="0.35">
      <c r="A588" t="s">
        <v>1338</v>
      </c>
      <c r="B588" t="s">
        <v>1339</v>
      </c>
      <c r="D588" t="s">
        <v>54</v>
      </c>
      <c r="E588" t="s">
        <v>20</v>
      </c>
      <c r="F588" s="1">
        <v>44128</v>
      </c>
      <c r="G588">
        <v>2004</v>
      </c>
      <c r="H588" t="s">
        <v>81</v>
      </c>
      <c r="J588" t="s">
        <v>76</v>
      </c>
      <c r="K588">
        <v>7.1</v>
      </c>
      <c r="L588">
        <v>12640337</v>
      </c>
      <c r="M588">
        <v>1205763</v>
      </c>
      <c r="N588">
        <v>42</v>
      </c>
    </row>
    <row r="589" spans="1:16" x14ac:dyDescent="0.35">
      <c r="A589" t="s">
        <v>1340</v>
      </c>
      <c r="B589" t="s">
        <v>1341</v>
      </c>
      <c r="C589" t="s">
        <v>18</v>
      </c>
      <c r="D589" t="s">
        <v>19</v>
      </c>
      <c r="E589" t="s">
        <v>28</v>
      </c>
      <c r="F589" s="1">
        <v>44745</v>
      </c>
      <c r="G589">
        <v>2032</v>
      </c>
      <c r="I589" t="s">
        <v>147</v>
      </c>
      <c r="J589" t="s">
        <v>100</v>
      </c>
      <c r="K589">
        <v>8.1999999999999993</v>
      </c>
      <c r="L589">
        <v>830899</v>
      </c>
      <c r="M589">
        <v>1554565</v>
      </c>
      <c r="N589">
        <v>77</v>
      </c>
      <c r="O589" t="s">
        <v>123</v>
      </c>
      <c r="P589" t="s">
        <v>50</v>
      </c>
    </row>
    <row r="590" spans="1:16" x14ac:dyDescent="0.35">
      <c r="A590" t="s">
        <v>1342</v>
      </c>
      <c r="B590" t="s">
        <v>1343</v>
      </c>
      <c r="C590" t="s">
        <v>18</v>
      </c>
      <c r="F590" s="1">
        <v>44055</v>
      </c>
      <c r="G590">
        <v>2003</v>
      </c>
      <c r="H590" t="s">
        <v>81</v>
      </c>
      <c r="I590" t="s">
        <v>1065</v>
      </c>
      <c r="J590" t="s">
        <v>103</v>
      </c>
      <c r="K590">
        <v>9.5</v>
      </c>
      <c r="L590">
        <v>10372910</v>
      </c>
      <c r="M590">
        <v>1491785</v>
      </c>
      <c r="N590">
        <v>88</v>
      </c>
      <c r="P590" t="s">
        <v>50</v>
      </c>
    </row>
    <row r="591" spans="1:16" x14ac:dyDescent="0.35">
      <c r="A591" t="s">
        <v>1344</v>
      </c>
      <c r="B591" t="s">
        <v>1345</v>
      </c>
      <c r="C591" t="s">
        <v>79</v>
      </c>
      <c r="D591" t="s">
        <v>68</v>
      </c>
      <c r="F591" s="1">
        <v>46001</v>
      </c>
      <c r="G591">
        <v>2005</v>
      </c>
      <c r="H591" t="s">
        <v>85</v>
      </c>
      <c r="I591" t="s">
        <v>323</v>
      </c>
      <c r="J591" t="s">
        <v>133</v>
      </c>
      <c r="K591">
        <v>9.5</v>
      </c>
      <c r="L591">
        <v>18674939</v>
      </c>
      <c r="M591">
        <v>821406</v>
      </c>
      <c r="N591">
        <v>52</v>
      </c>
      <c r="O591" t="s">
        <v>91</v>
      </c>
      <c r="P591" t="s">
        <v>42</v>
      </c>
    </row>
    <row r="592" spans="1:16" x14ac:dyDescent="0.35">
      <c r="A592" t="s">
        <v>1346</v>
      </c>
      <c r="B592" t="s">
        <v>1347</v>
      </c>
      <c r="C592" t="s">
        <v>53</v>
      </c>
      <c r="D592" t="s">
        <v>36</v>
      </c>
      <c r="E592" t="s">
        <v>80</v>
      </c>
      <c r="F592" s="1">
        <v>43654</v>
      </c>
      <c r="G592">
        <v>2002</v>
      </c>
      <c r="H592" t="s">
        <v>63</v>
      </c>
      <c r="I592" t="s">
        <v>71</v>
      </c>
      <c r="J592" t="s">
        <v>133</v>
      </c>
      <c r="K592">
        <v>7.7</v>
      </c>
      <c r="L592">
        <v>23858823</v>
      </c>
      <c r="M592">
        <v>3658880</v>
      </c>
      <c r="N592">
        <v>61</v>
      </c>
      <c r="O592" t="s">
        <v>104</v>
      </c>
      <c r="P592" t="s">
        <v>42</v>
      </c>
    </row>
    <row r="593" spans="1:16" x14ac:dyDescent="0.35">
      <c r="A593" t="s">
        <v>1348</v>
      </c>
      <c r="B593" t="s">
        <v>1349</v>
      </c>
      <c r="C593" t="s">
        <v>84</v>
      </c>
      <c r="D593" t="s">
        <v>19</v>
      </c>
      <c r="E593" t="s">
        <v>69</v>
      </c>
      <c r="F593" s="1">
        <v>43089</v>
      </c>
      <c r="G593">
        <v>2010</v>
      </c>
      <c r="H593" t="s">
        <v>107</v>
      </c>
      <c r="I593" t="s">
        <v>339</v>
      </c>
      <c r="J593" t="s">
        <v>100</v>
      </c>
      <c r="K593">
        <v>8.6999999999999993</v>
      </c>
      <c r="L593">
        <v>22985488</v>
      </c>
      <c r="M593">
        <v>2778123</v>
      </c>
      <c r="N593">
        <v>45</v>
      </c>
      <c r="O593" t="s">
        <v>104</v>
      </c>
      <c r="P593" t="s">
        <v>50</v>
      </c>
    </row>
    <row r="594" spans="1:16" x14ac:dyDescent="0.35">
      <c r="A594" t="s">
        <v>1350</v>
      </c>
      <c r="B594" t="s">
        <v>1351</v>
      </c>
      <c r="C594" t="s">
        <v>53</v>
      </c>
      <c r="D594" t="s">
        <v>75</v>
      </c>
      <c r="E594" t="s">
        <v>99</v>
      </c>
      <c r="F594" s="1">
        <v>44617</v>
      </c>
      <c r="G594">
        <v>2020</v>
      </c>
      <c r="H594" t="s">
        <v>114</v>
      </c>
      <c r="I594" t="s">
        <v>64</v>
      </c>
      <c r="J594" t="s">
        <v>23</v>
      </c>
      <c r="K594">
        <v>5.4</v>
      </c>
      <c r="L594">
        <v>15772046</v>
      </c>
      <c r="M594">
        <v>2854448</v>
      </c>
      <c r="N594">
        <v>84</v>
      </c>
      <c r="O594" t="s">
        <v>41</v>
      </c>
      <c r="P594" t="s">
        <v>42</v>
      </c>
    </row>
    <row r="595" spans="1:16" x14ac:dyDescent="0.35">
      <c r="A595" t="s">
        <v>1352</v>
      </c>
      <c r="B595" t="s">
        <v>1353</v>
      </c>
      <c r="C595" t="s">
        <v>53</v>
      </c>
      <c r="D595" t="s">
        <v>75</v>
      </c>
      <c r="F595" s="1">
        <v>42997</v>
      </c>
      <c r="G595">
        <v>2010</v>
      </c>
      <c r="H595" t="s">
        <v>21</v>
      </c>
      <c r="I595" t="s">
        <v>56</v>
      </c>
      <c r="J595" t="s">
        <v>23</v>
      </c>
      <c r="K595">
        <v>6.8</v>
      </c>
      <c r="L595">
        <v>13795239</v>
      </c>
      <c r="M595">
        <v>3212357</v>
      </c>
      <c r="N595">
        <v>55</v>
      </c>
      <c r="O595" t="s">
        <v>24</v>
      </c>
      <c r="P595" t="s">
        <v>32</v>
      </c>
    </row>
    <row r="596" spans="1:16" x14ac:dyDescent="0.35">
      <c r="A596" t="s">
        <v>1354</v>
      </c>
      <c r="B596" t="s">
        <v>1355</v>
      </c>
      <c r="C596" t="s">
        <v>35</v>
      </c>
      <c r="D596" t="s">
        <v>90</v>
      </c>
      <c r="E596" t="s">
        <v>80</v>
      </c>
      <c r="F596" s="1">
        <v>43992</v>
      </c>
      <c r="G596">
        <v>2018</v>
      </c>
      <c r="I596" t="s">
        <v>71</v>
      </c>
      <c r="J596" t="s">
        <v>103</v>
      </c>
      <c r="K596">
        <v>6.7</v>
      </c>
      <c r="L596">
        <v>1390657</v>
      </c>
      <c r="M596">
        <v>3610902</v>
      </c>
      <c r="N596">
        <v>97</v>
      </c>
      <c r="O596" t="s">
        <v>58</v>
      </c>
      <c r="P596" t="s">
        <v>50</v>
      </c>
    </row>
    <row r="597" spans="1:16" x14ac:dyDescent="0.35">
      <c r="A597" t="s">
        <v>1356</v>
      </c>
      <c r="B597" t="s">
        <v>1357</v>
      </c>
      <c r="C597" t="s">
        <v>53</v>
      </c>
      <c r="D597" t="s">
        <v>54</v>
      </c>
      <c r="E597" t="s">
        <v>20</v>
      </c>
      <c r="G597">
        <v>2014</v>
      </c>
      <c r="H597" t="s">
        <v>114</v>
      </c>
      <c r="I597" t="s">
        <v>162</v>
      </c>
      <c r="J597" t="s">
        <v>96</v>
      </c>
      <c r="K597">
        <v>7</v>
      </c>
      <c r="L597">
        <v>1825019</v>
      </c>
      <c r="M597">
        <v>2720374</v>
      </c>
      <c r="N597">
        <v>96</v>
      </c>
      <c r="O597" t="s">
        <v>104</v>
      </c>
      <c r="P597" t="s">
        <v>42</v>
      </c>
    </row>
    <row r="598" spans="1:16" x14ac:dyDescent="0.35">
      <c r="A598" t="s">
        <v>1358</v>
      </c>
      <c r="B598" t="s">
        <v>1359</v>
      </c>
      <c r="D598" t="s">
        <v>61</v>
      </c>
      <c r="F598" s="1">
        <v>45290</v>
      </c>
      <c r="G598">
        <v>2026</v>
      </c>
      <c r="H598" t="s">
        <v>81</v>
      </c>
      <c r="I598" t="s">
        <v>56</v>
      </c>
      <c r="J598" t="s">
        <v>23</v>
      </c>
      <c r="K598">
        <v>7</v>
      </c>
      <c r="L598">
        <v>1646549</v>
      </c>
      <c r="M598">
        <v>1785636</v>
      </c>
      <c r="N598">
        <v>74</v>
      </c>
      <c r="O598" t="s">
        <v>65</v>
      </c>
      <c r="P598" t="s">
        <v>42</v>
      </c>
    </row>
    <row r="599" spans="1:16" x14ac:dyDescent="0.35">
      <c r="A599" t="s">
        <v>1360</v>
      </c>
      <c r="B599" t="s">
        <v>1361</v>
      </c>
      <c r="C599" t="s">
        <v>18</v>
      </c>
      <c r="D599" t="s">
        <v>54</v>
      </c>
      <c r="E599" t="s">
        <v>113</v>
      </c>
      <c r="F599" s="1">
        <v>46156</v>
      </c>
      <c r="G599">
        <v>2009</v>
      </c>
      <c r="H599" t="s">
        <v>121</v>
      </c>
      <c r="I599" t="s">
        <v>1362</v>
      </c>
      <c r="J599" t="s">
        <v>133</v>
      </c>
      <c r="K599">
        <v>7.6</v>
      </c>
      <c r="L599">
        <v>19250022</v>
      </c>
      <c r="M599">
        <v>4903150</v>
      </c>
      <c r="N599">
        <v>73</v>
      </c>
      <c r="O599" t="s">
        <v>24</v>
      </c>
    </row>
    <row r="600" spans="1:16" x14ac:dyDescent="0.35">
      <c r="A600" t="s">
        <v>1363</v>
      </c>
      <c r="B600" t="s">
        <v>1364</v>
      </c>
      <c r="C600" t="s">
        <v>53</v>
      </c>
      <c r="D600" t="s">
        <v>94</v>
      </c>
      <c r="E600" t="s">
        <v>62</v>
      </c>
      <c r="F600" s="1">
        <v>44015</v>
      </c>
      <c r="G600">
        <v>2019</v>
      </c>
      <c r="H600" t="s">
        <v>70</v>
      </c>
      <c r="I600" t="s">
        <v>39</v>
      </c>
      <c r="J600" t="s">
        <v>40</v>
      </c>
      <c r="K600">
        <v>6.7</v>
      </c>
      <c r="L600">
        <v>16423820</v>
      </c>
      <c r="M600">
        <v>1325879</v>
      </c>
      <c r="N600">
        <v>81</v>
      </c>
      <c r="O600" t="s">
        <v>123</v>
      </c>
      <c r="P600" t="s">
        <v>32</v>
      </c>
    </row>
    <row r="601" spans="1:16" x14ac:dyDescent="0.35">
      <c r="A601" t="s">
        <v>1365</v>
      </c>
      <c r="B601" t="s">
        <v>1366</v>
      </c>
      <c r="D601" t="s">
        <v>19</v>
      </c>
      <c r="E601" t="s">
        <v>62</v>
      </c>
      <c r="F601" s="1">
        <v>42177</v>
      </c>
      <c r="G601">
        <v>2003</v>
      </c>
      <c r="H601" t="s">
        <v>21</v>
      </c>
      <c r="I601" t="s">
        <v>71</v>
      </c>
      <c r="J601" t="s">
        <v>103</v>
      </c>
      <c r="K601">
        <v>8.6</v>
      </c>
      <c r="L601">
        <v>13670383</v>
      </c>
      <c r="M601">
        <v>24283</v>
      </c>
      <c r="N601">
        <v>49</v>
      </c>
      <c r="O601" t="s">
        <v>58</v>
      </c>
      <c r="P601" t="s">
        <v>50</v>
      </c>
    </row>
    <row r="602" spans="1:16" x14ac:dyDescent="0.35">
      <c r="A602" t="s">
        <v>1367</v>
      </c>
      <c r="B602" t="s">
        <v>1368</v>
      </c>
      <c r="D602" t="s">
        <v>19</v>
      </c>
      <c r="E602" t="s">
        <v>131</v>
      </c>
      <c r="F602" s="1">
        <v>44580</v>
      </c>
      <c r="G602">
        <v>2010</v>
      </c>
      <c r="H602" t="s">
        <v>63</v>
      </c>
      <c r="I602" t="s">
        <v>136</v>
      </c>
      <c r="J602" t="s">
        <v>153</v>
      </c>
      <c r="K602">
        <v>6.9</v>
      </c>
      <c r="L602">
        <v>22444884</v>
      </c>
      <c r="M602">
        <v>2382364</v>
      </c>
      <c r="N602">
        <v>42</v>
      </c>
      <c r="O602" t="s">
        <v>58</v>
      </c>
      <c r="P602" t="s">
        <v>50</v>
      </c>
    </row>
    <row r="603" spans="1:16" x14ac:dyDescent="0.35">
      <c r="A603" t="s">
        <v>1369</v>
      </c>
      <c r="B603" t="s">
        <v>1370</v>
      </c>
      <c r="C603" t="s">
        <v>35</v>
      </c>
      <c r="D603" t="s">
        <v>68</v>
      </c>
      <c r="F603" s="1">
        <v>43510</v>
      </c>
      <c r="G603">
        <v>2026</v>
      </c>
      <c r="H603" t="s">
        <v>63</v>
      </c>
      <c r="I603" t="s">
        <v>136</v>
      </c>
      <c r="J603" t="s">
        <v>103</v>
      </c>
      <c r="K603">
        <v>6.7</v>
      </c>
      <c r="L603">
        <v>9847219</v>
      </c>
      <c r="M603">
        <v>534353</v>
      </c>
      <c r="N603">
        <v>96</v>
      </c>
      <c r="O603" t="s">
        <v>104</v>
      </c>
      <c r="P603" t="s">
        <v>87</v>
      </c>
    </row>
    <row r="604" spans="1:16" x14ac:dyDescent="0.35">
      <c r="A604" t="s">
        <v>1371</v>
      </c>
      <c r="B604" t="s">
        <v>1372</v>
      </c>
      <c r="C604" t="s">
        <v>53</v>
      </c>
      <c r="D604" t="s">
        <v>156</v>
      </c>
      <c r="E604" t="s">
        <v>28</v>
      </c>
      <c r="F604" s="1">
        <v>43409</v>
      </c>
      <c r="G604">
        <v>2002</v>
      </c>
      <c r="H604" t="s">
        <v>107</v>
      </c>
      <c r="I604" t="s">
        <v>136</v>
      </c>
      <c r="J604" t="s">
        <v>30</v>
      </c>
      <c r="K604">
        <v>6.5</v>
      </c>
      <c r="L604">
        <v>6520356</v>
      </c>
      <c r="M604">
        <v>1142289</v>
      </c>
      <c r="N604">
        <v>73</v>
      </c>
      <c r="O604" t="s">
        <v>31</v>
      </c>
      <c r="P604" t="s">
        <v>42</v>
      </c>
    </row>
    <row r="605" spans="1:16" x14ac:dyDescent="0.35">
      <c r="A605" t="s">
        <v>1373</v>
      </c>
      <c r="B605" t="s">
        <v>1374</v>
      </c>
      <c r="C605" t="s">
        <v>18</v>
      </c>
      <c r="D605" t="s">
        <v>19</v>
      </c>
      <c r="E605" t="s">
        <v>69</v>
      </c>
      <c r="F605" s="1">
        <v>45889</v>
      </c>
      <c r="G605">
        <v>2011</v>
      </c>
      <c r="H605" t="s">
        <v>70</v>
      </c>
      <c r="I605" t="s">
        <v>794</v>
      </c>
      <c r="J605" t="s">
        <v>100</v>
      </c>
      <c r="K605">
        <v>7.9</v>
      </c>
      <c r="L605">
        <v>14993651</v>
      </c>
      <c r="M605">
        <v>2762697</v>
      </c>
      <c r="N605">
        <v>54</v>
      </c>
      <c r="O605" t="s">
        <v>65</v>
      </c>
      <c r="P605" t="s">
        <v>50</v>
      </c>
    </row>
    <row r="606" spans="1:16" x14ac:dyDescent="0.35">
      <c r="A606" t="s">
        <v>1375</v>
      </c>
      <c r="B606" t="s">
        <v>1376</v>
      </c>
      <c r="C606" t="s">
        <v>18</v>
      </c>
      <c r="D606" t="s">
        <v>54</v>
      </c>
      <c r="E606" t="s">
        <v>62</v>
      </c>
      <c r="F606" s="1">
        <v>42482</v>
      </c>
      <c r="G606">
        <v>2006</v>
      </c>
      <c r="H606" t="s">
        <v>70</v>
      </c>
      <c r="I606" t="s">
        <v>386</v>
      </c>
      <c r="J606" t="s">
        <v>57</v>
      </c>
      <c r="K606">
        <v>5.0999999999999996</v>
      </c>
      <c r="L606">
        <v>15023223</v>
      </c>
      <c r="M606">
        <v>2709873</v>
      </c>
      <c r="N606">
        <v>78</v>
      </c>
      <c r="P606" t="s">
        <v>42</v>
      </c>
    </row>
    <row r="607" spans="1:16" x14ac:dyDescent="0.35">
      <c r="A607" t="s">
        <v>1377</v>
      </c>
      <c r="B607" t="s">
        <v>1378</v>
      </c>
      <c r="D607" t="s">
        <v>27</v>
      </c>
      <c r="E607" t="s">
        <v>113</v>
      </c>
      <c r="F607" s="1">
        <v>44146</v>
      </c>
      <c r="G607">
        <v>2012</v>
      </c>
      <c r="H607" t="s">
        <v>114</v>
      </c>
      <c r="I607" t="s">
        <v>39</v>
      </c>
      <c r="J607" t="s">
        <v>100</v>
      </c>
      <c r="K607">
        <v>5.7</v>
      </c>
      <c r="L607">
        <v>21513108</v>
      </c>
      <c r="M607">
        <v>4572155</v>
      </c>
      <c r="N607">
        <v>54</v>
      </c>
      <c r="P607" t="s">
        <v>50</v>
      </c>
    </row>
    <row r="608" spans="1:16" x14ac:dyDescent="0.35">
      <c r="A608" t="s">
        <v>1379</v>
      </c>
      <c r="B608" t="s">
        <v>1380</v>
      </c>
      <c r="C608" t="s">
        <v>53</v>
      </c>
      <c r="D608" t="s">
        <v>19</v>
      </c>
      <c r="E608" t="s">
        <v>28</v>
      </c>
      <c r="F608" s="1">
        <v>45040</v>
      </c>
      <c r="G608">
        <v>2019</v>
      </c>
      <c r="H608" t="s">
        <v>70</v>
      </c>
      <c r="I608" t="s">
        <v>162</v>
      </c>
      <c r="J608" t="s">
        <v>72</v>
      </c>
      <c r="K608">
        <v>5.0999999999999996</v>
      </c>
      <c r="L608">
        <v>17719041</v>
      </c>
      <c r="M608">
        <v>2382412</v>
      </c>
      <c r="N608">
        <v>83</v>
      </c>
      <c r="O608" t="s">
        <v>49</v>
      </c>
      <c r="P608" t="s">
        <v>87</v>
      </c>
    </row>
    <row r="609" spans="1:16" x14ac:dyDescent="0.35">
      <c r="A609" t="s">
        <v>1381</v>
      </c>
      <c r="B609" t="s">
        <v>1380</v>
      </c>
      <c r="C609" t="s">
        <v>53</v>
      </c>
      <c r="D609" t="s">
        <v>61</v>
      </c>
      <c r="E609" t="s">
        <v>62</v>
      </c>
      <c r="F609" s="1">
        <v>44031</v>
      </c>
      <c r="G609">
        <v>2019</v>
      </c>
      <c r="H609" t="s">
        <v>46</v>
      </c>
      <c r="I609" t="s">
        <v>71</v>
      </c>
      <c r="J609" t="s">
        <v>153</v>
      </c>
      <c r="K609">
        <v>8.1999999999999993</v>
      </c>
      <c r="L609">
        <v>12920132</v>
      </c>
      <c r="M609">
        <v>3105600</v>
      </c>
      <c r="N609">
        <v>57</v>
      </c>
      <c r="O609" t="s">
        <v>49</v>
      </c>
      <c r="P609" t="s">
        <v>42</v>
      </c>
    </row>
    <row r="610" spans="1:16" x14ac:dyDescent="0.35">
      <c r="A610" t="s">
        <v>1382</v>
      </c>
      <c r="B610" t="s">
        <v>1383</v>
      </c>
      <c r="C610" t="s">
        <v>53</v>
      </c>
      <c r="D610" t="s">
        <v>54</v>
      </c>
      <c r="E610" t="s">
        <v>99</v>
      </c>
      <c r="F610" s="1">
        <v>44478</v>
      </c>
      <c r="G610">
        <v>2000</v>
      </c>
      <c r="H610" t="s">
        <v>63</v>
      </c>
      <c r="I610" t="s">
        <v>64</v>
      </c>
      <c r="J610" t="s">
        <v>103</v>
      </c>
      <c r="K610">
        <v>9.1999999999999993</v>
      </c>
      <c r="L610">
        <v>6786313</v>
      </c>
      <c r="M610">
        <v>2369069</v>
      </c>
      <c r="N610">
        <v>62</v>
      </c>
      <c r="O610" t="s">
        <v>104</v>
      </c>
      <c r="P610" t="s">
        <v>87</v>
      </c>
    </row>
    <row r="611" spans="1:16" x14ac:dyDescent="0.35">
      <c r="A611" t="s">
        <v>1384</v>
      </c>
      <c r="B611" t="s">
        <v>1385</v>
      </c>
      <c r="C611" t="s">
        <v>79</v>
      </c>
      <c r="D611" t="s">
        <v>54</v>
      </c>
      <c r="E611" t="s">
        <v>45</v>
      </c>
      <c r="G611">
        <v>2022</v>
      </c>
      <c r="H611" t="s">
        <v>38</v>
      </c>
      <c r="I611" t="s">
        <v>1242</v>
      </c>
      <c r="J611" t="s">
        <v>103</v>
      </c>
      <c r="K611">
        <v>9.4</v>
      </c>
      <c r="L611">
        <v>21551083</v>
      </c>
      <c r="M611">
        <v>3508327</v>
      </c>
      <c r="N611">
        <v>70</v>
      </c>
      <c r="O611" t="s">
        <v>31</v>
      </c>
    </row>
    <row r="612" spans="1:16" x14ac:dyDescent="0.35">
      <c r="A612" t="s">
        <v>1386</v>
      </c>
      <c r="B612" t="s">
        <v>1387</v>
      </c>
      <c r="D612" t="s">
        <v>36</v>
      </c>
      <c r="E612" t="s">
        <v>131</v>
      </c>
      <c r="F612" s="1">
        <v>42448</v>
      </c>
      <c r="G612">
        <v>2032</v>
      </c>
      <c r="H612" t="s">
        <v>46</v>
      </c>
      <c r="I612" t="s">
        <v>64</v>
      </c>
      <c r="J612" t="s">
        <v>103</v>
      </c>
      <c r="K612">
        <v>9</v>
      </c>
      <c r="L612">
        <v>18091310</v>
      </c>
      <c r="M612">
        <v>1996107</v>
      </c>
      <c r="N612">
        <v>98</v>
      </c>
      <c r="O612" t="s">
        <v>65</v>
      </c>
      <c r="P612" t="s">
        <v>42</v>
      </c>
    </row>
    <row r="613" spans="1:16" x14ac:dyDescent="0.35">
      <c r="A613" t="s">
        <v>1388</v>
      </c>
      <c r="B613" t="s">
        <v>1389</v>
      </c>
      <c r="C613" t="s">
        <v>35</v>
      </c>
      <c r="D613" t="s">
        <v>75</v>
      </c>
      <c r="E613" t="s">
        <v>62</v>
      </c>
      <c r="F613" s="1">
        <v>45485</v>
      </c>
      <c r="G613">
        <v>2018</v>
      </c>
      <c r="H613" t="s">
        <v>114</v>
      </c>
      <c r="I613" t="s">
        <v>39</v>
      </c>
      <c r="J613" t="s">
        <v>57</v>
      </c>
      <c r="K613">
        <v>5.5</v>
      </c>
      <c r="L613">
        <v>19638211</v>
      </c>
      <c r="M613">
        <v>98107</v>
      </c>
      <c r="N613">
        <v>57</v>
      </c>
      <c r="O613" t="s">
        <v>104</v>
      </c>
      <c r="P613" t="s">
        <v>50</v>
      </c>
    </row>
    <row r="614" spans="1:16" x14ac:dyDescent="0.35">
      <c r="A614" t="s">
        <v>1390</v>
      </c>
      <c r="B614" t="s">
        <v>1391</v>
      </c>
      <c r="C614" t="s">
        <v>84</v>
      </c>
      <c r="D614" t="s">
        <v>94</v>
      </c>
      <c r="E614" t="s">
        <v>62</v>
      </c>
      <c r="F614" s="1">
        <v>44719</v>
      </c>
      <c r="G614">
        <v>2017</v>
      </c>
      <c r="H614" t="s">
        <v>63</v>
      </c>
      <c r="I614" t="s">
        <v>1362</v>
      </c>
      <c r="J614" t="s">
        <v>30</v>
      </c>
      <c r="K614">
        <v>8.9</v>
      </c>
      <c r="L614">
        <v>6373219</v>
      </c>
      <c r="M614">
        <v>3777998</v>
      </c>
      <c r="N614">
        <v>99</v>
      </c>
      <c r="O614" t="s">
        <v>58</v>
      </c>
      <c r="P614" t="s">
        <v>87</v>
      </c>
    </row>
    <row r="615" spans="1:16" x14ac:dyDescent="0.35">
      <c r="A615" t="s">
        <v>1392</v>
      </c>
      <c r="B615" t="s">
        <v>1393</v>
      </c>
      <c r="C615" t="s">
        <v>84</v>
      </c>
      <c r="E615" t="s">
        <v>45</v>
      </c>
      <c r="F615" s="1">
        <v>45152</v>
      </c>
      <c r="G615">
        <v>2004</v>
      </c>
      <c r="I615" t="s">
        <v>1171</v>
      </c>
      <c r="J615" t="s">
        <v>30</v>
      </c>
      <c r="K615">
        <v>6.5</v>
      </c>
      <c r="L615">
        <v>21012225</v>
      </c>
      <c r="M615">
        <v>1826283</v>
      </c>
      <c r="N615">
        <v>52</v>
      </c>
      <c r="O615" t="s">
        <v>104</v>
      </c>
      <c r="P615" t="s">
        <v>50</v>
      </c>
    </row>
    <row r="616" spans="1:16" x14ac:dyDescent="0.35">
      <c r="A616" t="s">
        <v>1394</v>
      </c>
      <c r="B616" t="s">
        <v>1395</v>
      </c>
      <c r="C616" t="s">
        <v>35</v>
      </c>
      <c r="E616" t="s">
        <v>45</v>
      </c>
      <c r="F616" s="1">
        <v>42923</v>
      </c>
      <c r="G616">
        <v>2021</v>
      </c>
      <c r="H616" t="s">
        <v>81</v>
      </c>
      <c r="I616" t="s">
        <v>71</v>
      </c>
      <c r="J616" t="s">
        <v>40</v>
      </c>
      <c r="K616">
        <v>7.2</v>
      </c>
      <c r="L616">
        <v>8658920</v>
      </c>
      <c r="M616">
        <v>4108080</v>
      </c>
      <c r="N616">
        <v>120</v>
      </c>
      <c r="O616" t="s">
        <v>49</v>
      </c>
      <c r="P616" t="s">
        <v>50</v>
      </c>
    </row>
    <row r="617" spans="1:16" x14ac:dyDescent="0.35">
      <c r="A617" t="s">
        <v>1396</v>
      </c>
      <c r="B617" t="s">
        <v>1397</v>
      </c>
      <c r="C617" t="s">
        <v>84</v>
      </c>
      <c r="D617" t="s">
        <v>94</v>
      </c>
      <c r="E617" t="s">
        <v>45</v>
      </c>
      <c r="F617" s="1">
        <v>43868</v>
      </c>
      <c r="G617">
        <v>2015</v>
      </c>
      <c r="H617" t="s">
        <v>38</v>
      </c>
      <c r="I617" t="s">
        <v>1398</v>
      </c>
      <c r="J617" t="s">
        <v>57</v>
      </c>
      <c r="K617">
        <v>5.7</v>
      </c>
      <c r="L617">
        <v>4535966</v>
      </c>
      <c r="M617">
        <v>3643119</v>
      </c>
      <c r="N617">
        <v>87</v>
      </c>
      <c r="O617" t="s">
        <v>41</v>
      </c>
      <c r="P617" t="s">
        <v>42</v>
      </c>
    </row>
    <row r="618" spans="1:16" x14ac:dyDescent="0.35">
      <c r="A618" t="s">
        <v>1399</v>
      </c>
      <c r="B618" t="s">
        <v>1400</v>
      </c>
      <c r="C618" t="s">
        <v>84</v>
      </c>
      <c r="E618" t="s">
        <v>99</v>
      </c>
      <c r="F618" s="1">
        <v>44203</v>
      </c>
      <c r="G618">
        <v>2013</v>
      </c>
      <c r="H618" t="s">
        <v>107</v>
      </c>
      <c r="J618" t="s">
        <v>30</v>
      </c>
      <c r="K618">
        <v>7.4</v>
      </c>
      <c r="L618">
        <v>8004412</v>
      </c>
      <c r="M618">
        <v>2799130</v>
      </c>
      <c r="N618">
        <v>79</v>
      </c>
      <c r="P618" t="s">
        <v>42</v>
      </c>
    </row>
    <row r="619" spans="1:16" x14ac:dyDescent="0.35">
      <c r="A619" t="s">
        <v>1401</v>
      </c>
      <c r="B619" t="s">
        <v>1402</v>
      </c>
      <c r="C619" t="s">
        <v>84</v>
      </c>
      <c r="D619" t="s">
        <v>36</v>
      </c>
      <c r="E619" t="s">
        <v>55</v>
      </c>
      <c r="F619" s="1">
        <v>42061</v>
      </c>
      <c r="G619">
        <v>2024</v>
      </c>
      <c r="H619" t="s">
        <v>38</v>
      </c>
      <c r="I619" t="s">
        <v>231</v>
      </c>
      <c r="J619" t="s">
        <v>40</v>
      </c>
      <c r="K619">
        <v>5.6</v>
      </c>
      <c r="L619">
        <v>5696166</v>
      </c>
      <c r="M619">
        <v>1686969</v>
      </c>
      <c r="N619">
        <v>46</v>
      </c>
      <c r="O619" t="s">
        <v>91</v>
      </c>
      <c r="P619" t="s">
        <v>42</v>
      </c>
    </row>
    <row r="620" spans="1:16" x14ac:dyDescent="0.35">
      <c r="A620" t="s">
        <v>1403</v>
      </c>
      <c r="B620" t="s">
        <v>1404</v>
      </c>
      <c r="C620" t="s">
        <v>79</v>
      </c>
      <c r="D620" t="s">
        <v>90</v>
      </c>
      <c r="E620" t="s">
        <v>99</v>
      </c>
      <c r="F620" s="1">
        <v>42610</v>
      </c>
      <c r="G620">
        <v>2003</v>
      </c>
      <c r="H620" t="s">
        <v>85</v>
      </c>
      <c r="I620" t="s">
        <v>1171</v>
      </c>
      <c r="J620" t="s">
        <v>103</v>
      </c>
      <c r="K620">
        <v>8.4</v>
      </c>
      <c r="L620">
        <v>13391081</v>
      </c>
      <c r="M620">
        <v>4071579</v>
      </c>
      <c r="N620">
        <v>69</v>
      </c>
      <c r="O620" t="s">
        <v>31</v>
      </c>
    </row>
    <row r="621" spans="1:16" x14ac:dyDescent="0.35">
      <c r="A621" t="s">
        <v>1405</v>
      </c>
      <c r="B621" t="s">
        <v>1406</v>
      </c>
      <c r="C621" t="s">
        <v>84</v>
      </c>
      <c r="D621" t="s">
        <v>68</v>
      </c>
      <c r="E621" t="s">
        <v>113</v>
      </c>
      <c r="F621" s="1">
        <v>42811</v>
      </c>
      <c r="G621">
        <v>2018</v>
      </c>
      <c r="H621" t="s">
        <v>70</v>
      </c>
      <c r="I621" t="s">
        <v>775</v>
      </c>
      <c r="J621" t="s">
        <v>100</v>
      </c>
      <c r="K621">
        <v>5.6</v>
      </c>
      <c r="L621">
        <v>5303183</v>
      </c>
      <c r="M621">
        <v>126236</v>
      </c>
      <c r="N621">
        <v>43</v>
      </c>
      <c r="O621" t="s">
        <v>31</v>
      </c>
      <c r="P621" t="s">
        <v>87</v>
      </c>
    </row>
    <row r="622" spans="1:16" x14ac:dyDescent="0.35">
      <c r="A622" t="s">
        <v>1407</v>
      </c>
      <c r="B622" t="s">
        <v>1408</v>
      </c>
      <c r="E622" t="s">
        <v>131</v>
      </c>
      <c r="F622" s="1">
        <v>42315</v>
      </c>
      <c r="G622">
        <v>2010</v>
      </c>
      <c r="H622" t="s">
        <v>46</v>
      </c>
      <c r="I622" t="s">
        <v>118</v>
      </c>
      <c r="J622" t="s">
        <v>133</v>
      </c>
      <c r="K622">
        <v>4.9000000000000004</v>
      </c>
      <c r="L622">
        <v>10057534</v>
      </c>
      <c r="M622">
        <v>1290302</v>
      </c>
      <c r="N622">
        <v>97</v>
      </c>
      <c r="O622" t="s">
        <v>41</v>
      </c>
    </row>
    <row r="623" spans="1:16" x14ac:dyDescent="0.35">
      <c r="A623" t="s">
        <v>1409</v>
      </c>
      <c r="B623" t="s">
        <v>1410</v>
      </c>
      <c r="C623" t="s">
        <v>35</v>
      </c>
      <c r="D623" t="s">
        <v>36</v>
      </c>
      <c r="F623" s="1">
        <v>44504</v>
      </c>
      <c r="G623">
        <v>2011</v>
      </c>
      <c r="H623" t="s">
        <v>81</v>
      </c>
      <c r="I623" t="s">
        <v>162</v>
      </c>
      <c r="J623" t="s">
        <v>100</v>
      </c>
      <c r="K623">
        <v>8.4</v>
      </c>
      <c r="L623">
        <v>12669414</v>
      </c>
      <c r="M623">
        <v>2506874</v>
      </c>
      <c r="N623">
        <v>71</v>
      </c>
      <c r="O623" t="s">
        <v>49</v>
      </c>
      <c r="P623" t="s">
        <v>87</v>
      </c>
    </row>
    <row r="624" spans="1:16" x14ac:dyDescent="0.35">
      <c r="A624" t="s">
        <v>1411</v>
      </c>
      <c r="B624" t="s">
        <v>1412</v>
      </c>
      <c r="D624" t="s">
        <v>54</v>
      </c>
      <c r="E624" t="s">
        <v>28</v>
      </c>
      <c r="F624" s="1">
        <v>42276</v>
      </c>
      <c r="G624">
        <v>2004</v>
      </c>
      <c r="H624" t="s">
        <v>38</v>
      </c>
      <c r="I624" t="s">
        <v>39</v>
      </c>
      <c r="J624" t="s">
        <v>23</v>
      </c>
      <c r="K624">
        <v>7.6</v>
      </c>
      <c r="L624">
        <v>5907024</v>
      </c>
      <c r="M624">
        <v>25698</v>
      </c>
      <c r="N624">
        <v>54</v>
      </c>
      <c r="O624" t="s">
        <v>31</v>
      </c>
    </row>
    <row r="625" spans="1:16" x14ac:dyDescent="0.35">
      <c r="A625" t="s">
        <v>1413</v>
      </c>
      <c r="B625" t="s">
        <v>1414</v>
      </c>
      <c r="C625" t="s">
        <v>79</v>
      </c>
      <c r="D625" t="s">
        <v>36</v>
      </c>
      <c r="E625" t="s">
        <v>62</v>
      </c>
      <c r="F625" s="1">
        <v>42509</v>
      </c>
      <c r="G625">
        <v>2015</v>
      </c>
      <c r="H625" t="s">
        <v>70</v>
      </c>
      <c r="I625" t="s">
        <v>299</v>
      </c>
      <c r="J625" t="s">
        <v>153</v>
      </c>
      <c r="K625">
        <v>8</v>
      </c>
      <c r="L625">
        <v>16955947</v>
      </c>
      <c r="M625">
        <v>1695126</v>
      </c>
      <c r="N625">
        <v>86</v>
      </c>
      <c r="O625" t="s">
        <v>91</v>
      </c>
      <c r="P625" t="s">
        <v>42</v>
      </c>
    </row>
    <row r="626" spans="1:16" x14ac:dyDescent="0.35">
      <c r="A626" t="s">
        <v>1415</v>
      </c>
      <c r="B626" t="s">
        <v>1416</v>
      </c>
      <c r="C626" t="s">
        <v>18</v>
      </c>
      <c r="D626" t="s">
        <v>19</v>
      </c>
      <c r="E626" t="s">
        <v>69</v>
      </c>
      <c r="F626" s="1">
        <v>44616</v>
      </c>
      <c r="G626">
        <v>2017</v>
      </c>
      <c r="H626" t="s">
        <v>21</v>
      </c>
      <c r="I626" t="s">
        <v>508</v>
      </c>
      <c r="J626" t="s">
        <v>96</v>
      </c>
      <c r="K626">
        <v>8.4</v>
      </c>
      <c r="L626">
        <v>3495875</v>
      </c>
      <c r="M626">
        <v>3170920</v>
      </c>
      <c r="N626">
        <v>95</v>
      </c>
      <c r="O626" t="s">
        <v>41</v>
      </c>
      <c r="P626" t="s">
        <v>87</v>
      </c>
    </row>
    <row r="627" spans="1:16" x14ac:dyDescent="0.35">
      <c r="A627" t="s">
        <v>1417</v>
      </c>
      <c r="B627" t="s">
        <v>1418</v>
      </c>
      <c r="C627" t="s">
        <v>53</v>
      </c>
      <c r="D627" t="s">
        <v>27</v>
      </c>
      <c r="F627" s="1">
        <v>45528</v>
      </c>
      <c r="G627">
        <v>2012</v>
      </c>
      <c r="H627" t="s">
        <v>107</v>
      </c>
      <c r="I627" t="s">
        <v>136</v>
      </c>
      <c r="J627" t="s">
        <v>72</v>
      </c>
      <c r="K627">
        <v>4.7</v>
      </c>
      <c r="L627">
        <v>4413880</v>
      </c>
      <c r="M627">
        <v>3987687</v>
      </c>
      <c r="N627">
        <v>80</v>
      </c>
      <c r="O627" t="s">
        <v>104</v>
      </c>
    </row>
    <row r="628" spans="1:16" x14ac:dyDescent="0.35">
      <c r="A628" t="s">
        <v>1419</v>
      </c>
      <c r="B628" t="s">
        <v>1420</v>
      </c>
      <c r="C628" t="s">
        <v>53</v>
      </c>
      <c r="D628" t="s">
        <v>54</v>
      </c>
      <c r="E628" t="s">
        <v>131</v>
      </c>
      <c r="G628">
        <v>2011</v>
      </c>
      <c r="I628" t="s">
        <v>136</v>
      </c>
      <c r="K628">
        <v>9.4</v>
      </c>
      <c r="L628">
        <v>19128123</v>
      </c>
      <c r="M628">
        <v>2252463</v>
      </c>
      <c r="N628">
        <v>56</v>
      </c>
      <c r="O628" t="s">
        <v>24</v>
      </c>
      <c r="P628" t="s">
        <v>32</v>
      </c>
    </row>
    <row r="629" spans="1:16" x14ac:dyDescent="0.35">
      <c r="A629" t="s">
        <v>1421</v>
      </c>
      <c r="B629" t="s">
        <v>1422</v>
      </c>
      <c r="C629" t="s">
        <v>79</v>
      </c>
      <c r="D629" t="s">
        <v>27</v>
      </c>
      <c r="E629" t="s">
        <v>80</v>
      </c>
      <c r="F629" s="1">
        <v>43380</v>
      </c>
      <c r="G629">
        <v>2006</v>
      </c>
      <c r="H629" t="s">
        <v>46</v>
      </c>
      <c r="I629" t="s">
        <v>987</v>
      </c>
      <c r="J629" t="s">
        <v>133</v>
      </c>
      <c r="K629">
        <v>5.7</v>
      </c>
      <c r="L629">
        <v>11818671</v>
      </c>
      <c r="M629">
        <v>3154548</v>
      </c>
      <c r="N629">
        <v>100</v>
      </c>
      <c r="O629" t="s">
        <v>91</v>
      </c>
      <c r="P629" t="s">
        <v>32</v>
      </c>
    </row>
    <row r="630" spans="1:16" x14ac:dyDescent="0.35">
      <c r="A630" t="s">
        <v>1423</v>
      </c>
      <c r="B630" t="s">
        <v>1424</v>
      </c>
      <c r="D630" t="s">
        <v>156</v>
      </c>
      <c r="E630" t="s">
        <v>80</v>
      </c>
      <c r="F630" s="1">
        <v>44912</v>
      </c>
      <c r="G630">
        <v>2017</v>
      </c>
      <c r="H630" t="s">
        <v>38</v>
      </c>
      <c r="I630" t="s">
        <v>95</v>
      </c>
      <c r="J630" t="s">
        <v>40</v>
      </c>
      <c r="K630">
        <v>8.6</v>
      </c>
      <c r="L630">
        <v>7855603</v>
      </c>
      <c r="M630">
        <v>3296623</v>
      </c>
      <c r="N630">
        <v>79</v>
      </c>
      <c r="O630" t="s">
        <v>65</v>
      </c>
      <c r="P630" t="s">
        <v>87</v>
      </c>
    </row>
    <row r="631" spans="1:16" x14ac:dyDescent="0.35">
      <c r="A631" t="s">
        <v>1425</v>
      </c>
      <c r="B631" t="s">
        <v>1426</v>
      </c>
      <c r="C631" t="s">
        <v>35</v>
      </c>
      <c r="D631" t="s">
        <v>68</v>
      </c>
      <c r="E631" t="s">
        <v>45</v>
      </c>
      <c r="F631" s="1">
        <v>45065</v>
      </c>
      <c r="G631">
        <v>2000</v>
      </c>
      <c r="H631" t="s">
        <v>38</v>
      </c>
      <c r="I631" t="s">
        <v>136</v>
      </c>
      <c r="J631" t="s">
        <v>48</v>
      </c>
      <c r="K631">
        <v>9</v>
      </c>
      <c r="L631">
        <v>1310925</v>
      </c>
      <c r="M631">
        <v>4659971</v>
      </c>
      <c r="N631">
        <v>52</v>
      </c>
      <c r="O631" t="s">
        <v>49</v>
      </c>
      <c r="P631" t="s">
        <v>50</v>
      </c>
    </row>
    <row r="632" spans="1:16" x14ac:dyDescent="0.35">
      <c r="A632" t="s">
        <v>1427</v>
      </c>
      <c r="B632" t="s">
        <v>1426</v>
      </c>
      <c r="C632" t="s">
        <v>18</v>
      </c>
      <c r="D632" t="s">
        <v>19</v>
      </c>
      <c r="E632" t="s">
        <v>99</v>
      </c>
      <c r="F632" s="1">
        <v>42163</v>
      </c>
      <c r="G632">
        <v>2006</v>
      </c>
      <c r="H632" t="s">
        <v>46</v>
      </c>
      <c r="I632" t="s">
        <v>727</v>
      </c>
      <c r="J632" t="s">
        <v>72</v>
      </c>
      <c r="K632">
        <v>7.4</v>
      </c>
      <c r="L632">
        <v>21691448</v>
      </c>
      <c r="M632">
        <v>4772925</v>
      </c>
      <c r="N632">
        <v>49</v>
      </c>
      <c r="O632" t="s">
        <v>65</v>
      </c>
      <c r="P632" t="s">
        <v>50</v>
      </c>
    </row>
    <row r="633" spans="1:16" x14ac:dyDescent="0.35">
      <c r="A633" t="s">
        <v>1428</v>
      </c>
      <c r="B633" t="s">
        <v>1429</v>
      </c>
      <c r="C633" t="s">
        <v>18</v>
      </c>
      <c r="D633" t="s">
        <v>90</v>
      </c>
      <c r="E633" t="s">
        <v>165</v>
      </c>
      <c r="F633" s="1">
        <v>42396</v>
      </c>
      <c r="G633">
        <v>2002</v>
      </c>
      <c r="H633" t="s">
        <v>63</v>
      </c>
      <c r="I633" t="s">
        <v>411</v>
      </c>
      <c r="J633" t="s">
        <v>96</v>
      </c>
      <c r="K633">
        <v>5.9</v>
      </c>
      <c r="L633">
        <v>9093859</v>
      </c>
      <c r="M633">
        <v>3924218</v>
      </c>
      <c r="N633">
        <v>65</v>
      </c>
    </row>
    <row r="634" spans="1:16" x14ac:dyDescent="0.35">
      <c r="A634" t="s">
        <v>1430</v>
      </c>
      <c r="B634" t="s">
        <v>1431</v>
      </c>
      <c r="C634" t="s">
        <v>35</v>
      </c>
      <c r="D634" t="s">
        <v>90</v>
      </c>
      <c r="E634" t="s">
        <v>20</v>
      </c>
      <c r="F634" s="1">
        <v>44257</v>
      </c>
      <c r="G634">
        <v>2001</v>
      </c>
      <c r="I634" t="s">
        <v>71</v>
      </c>
      <c r="J634" t="s">
        <v>48</v>
      </c>
      <c r="K634">
        <v>8.5</v>
      </c>
      <c r="L634">
        <v>5440167</v>
      </c>
      <c r="M634">
        <v>2248666</v>
      </c>
      <c r="N634">
        <v>80</v>
      </c>
      <c r="O634" t="s">
        <v>49</v>
      </c>
      <c r="P634" t="s">
        <v>50</v>
      </c>
    </row>
    <row r="635" spans="1:16" x14ac:dyDescent="0.35">
      <c r="A635" t="s">
        <v>1432</v>
      </c>
      <c r="B635" t="s">
        <v>1433</v>
      </c>
      <c r="C635" t="s">
        <v>79</v>
      </c>
      <c r="D635" t="s">
        <v>27</v>
      </c>
      <c r="E635" t="s">
        <v>99</v>
      </c>
      <c r="F635" s="1">
        <v>45970</v>
      </c>
      <c r="G635">
        <v>2026</v>
      </c>
      <c r="H635" t="s">
        <v>46</v>
      </c>
      <c r="I635" t="s">
        <v>571</v>
      </c>
      <c r="J635" t="s">
        <v>30</v>
      </c>
      <c r="K635">
        <v>5.0999999999999996</v>
      </c>
      <c r="L635">
        <v>9177554</v>
      </c>
      <c r="M635">
        <v>3594947</v>
      </c>
      <c r="N635">
        <v>75</v>
      </c>
      <c r="O635" t="s">
        <v>24</v>
      </c>
      <c r="P635" t="s">
        <v>87</v>
      </c>
    </row>
    <row r="636" spans="1:16" x14ac:dyDescent="0.35">
      <c r="A636" t="s">
        <v>1434</v>
      </c>
      <c r="B636" t="s">
        <v>1435</v>
      </c>
      <c r="C636" t="s">
        <v>84</v>
      </c>
      <c r="D636" t="s">
        <v>27</v>
      </c>
      <c r="E636" t="s">
        <v>62</v>
      </c>
      <c r="F636" s="1">
        <v>43363</v>
      </c>
      <c r="G636">
        <v>2020</v>
      </c>
      <c r="H636" t="s">
        <v>70</v>
      </c>
      <c r="I636" t="s">
        <v>696</v>
      </c>
      <c r="J636" t="s">
        <v>133</v>
      </c>
      <c r="K636">
        <v>5</v>
      </c>
      <c r="L636">
        <v>24012317</v>
      </c>
      <c r="M636">
        <v>351197</v>
      </c>
      <c r="N636">
        <v>78</v>
      </c>
      <c r="O636" t="s">
        <v>123</v>
      </c>
      <c r="P636" t="s">
        <v>32</v>
      </c>
    </row>
    <row r="637" spans="1:16" x14ac:dyDescent="0.35">
      <c r="A637" t="s">
        <v>1436</v>
      </c>
      <c r="B637" t="s">
        <v>1437</v>
      </c>
      <c r="C637" t="s">
        <v>84</v>
      </c>
      <c r="D637" t="s">
        <v>156</v>
      </c>
      <c r="E637" t="s">
        <v>99</v>
      </c>
      <c r="F637" s="1">
        <v>46122</v>
      </c>
      <c r="G637">
        <v>2024</v>
      </c>
      <c r="H637" t="s">
        <v>21</v>
      </c>
      <c r="I637" t="s">
        <v>727</v>
      </c>
      <c r="J637" t="s">
        <v>103</v>
      </c>
      <c r="K637">
        <v>5.4</v>
      </c>
      <c r="L637">
        <v>21096039</v>
      </c>
      <c r="M637">
        <v>1842064</v>
      </c>
      <c r="N637">
        <v>79</v>
      </c>
      <c r="O637" t="s">
        <v>31</v>
      </c>
      <c r="P637" t="s">
        <v>42</v>
      </c>
    </row>
    <row r="638" spans="1:16" x14ac:dyDescent="0.35">
      <c r="A638" t="s">
        <v>1438</v>
      </c>
      <c r="B638" t="s">
        <v>1439</v>
      </c>
      <c r="C638" t="s">
        <v>53</v>
      </c>
      <c r="E638" t="s">
        <v>80</v>
      </c>
      <c r="F638" s="1">
        <v>42485</v>
      </c>
      <c r="G638">
        <v>2019</v>
      </c>
      <c r="H638" t="s">
        <v>114</v>
      </c>
      <c r="I638" t="s">
        <v>56</v>
      </c>
      <c r="J638" t="s">
        <v>100</v>
      </c>
      <c r="K638">
        <v>4.5999999999999996</v>
      </c>
      <c r="L638">
        <v>1595801</v>
      </c>
      <c r="M638">
        <v>3415895</v>
      </c>
      <c r="N638">
        <v>52</v>
      </c>
      <c r="O638" t="s">
        <v>91</v>
      </c>
    </row>
    <row r="639" spans="1:16" x14ac:dyDescent="0.35">
      <c r="A639" t="s">
        <v>1440</v>
      </c>
      <c r="B639" t="s">
        <v>1441</v>
      </c>
      <c r="D639" t="s">
        <v>27</v>
      </c>
      <c r="F639" s="1">
        <v>44188</v>
      </c>
      <c r="G639">
        <v>2004</v>
      </c>
      <c r="K639">
        <v>5.0999999999999996</v>
      </c>
      <c r="L639">
        <v>22945964</v>
      </c>
      <c r="M639">
        <v>3622189</v>
      </c>
      <c r="N639">
        <v>64</v>
      </c>
      <c r="O639" t="s">
        <v>58</v>
      </c>
      <c r="P639" t="s">
        <v>87</v>
      </c>
    </row>
    <row r="640" spans="1:16" x14ac:dyDescent="0.35">
      <c r="A640" t="s">
        <v>1442</v>
      </c>
      <c r="B640" t="s">
        <v>1443</v>
      </c>
      <c r="D640" t="s">
        <v>61</v>
      </c>
      <c r="E640" t="s">
        <v>113</v>
      </c>
      <c r="F640" s="1">
        <v>46049</v>
      </c>
      <c r="G640">
        <v>2002</v>
      </c>
      <c r="H640" t="s">
        <v>107</v>
      </c>
      <c r="I640" t="s">
        <v>64</v>
      </c>
      <c r="J640" t="s">
        <v>96</v>
      </c>
      <c r="K640">
        <v>8.1999999999999993</v>
      </c>
      <c r="L640">
        <v>1996771</v>
      </c>
      <c r="M640">
        <v>1173898</v>
      </c>
      <c r="N640">
        <v>44</v>
      </c>
      <c r="O640" t="s">
        <v>123</v>
      </c>
    </row>
    <row r="641" spans="1:16" x14ac:dyDescent="0.35">
      <c r="A641" t="s">
        <v>1444</v>
      </c>
      <c r="B641" t="s">
        <v>1445</v>
      </c>
      <c r="C641" t="s">
        <v>53</v>
      </c>
      <c r="D641" t="s">
        <v>27</v>
      </c>
      <c r="E641" t="s">
        <v>113</v>
      </c>
      <c r="F641" s="1">
        <v>43619</v>
      </c>
      <c r="G641">
        <v>2018</v>
      </c>
      <c r="H641" t="s">
        <v>121</v>
      </c>
      <c r="I641" t="s">
        <v>64</v>
      </c>
      <c r="J641" t="s">
        <v>23</v>
      </c>
      <c r="K641">
        <v>5.0999999999999996</v>
      </c>
      <c r="L641">
        <v>-591</v>
      </c>
      <c r="M641">
        <v>3395690</v>
      </c>
      <c r="N641">
        <v>69</v>
      </c>
      <c r="O641" t="s">
        <v>65</v>
      </c>
      <c r="P641" t="s">
        <v>42</v>
      </c>
    </row>
    <row r="642" spans="1:16" x14ac:dyDescent="0.35">
      <c r="A642" t="s">
        <v>1446</v>
      </c>
      <c r="B642" t="s">
        <v>1447</v>
      </c>
      <c r="C642" t="s">
        <v>35</v>
      </c>
      <c r="D642" t="s">
        <v>19</v>
      </c>
      <c r="E642" t="s">
        <v>80</v>
      </c>
      <c r="F642" s="1">
        <v>43770</v>
      </c>
      <c r="G642">
        <v>2001</v>
      </c>
      <c r="H642" t="s">
        <v>81</v>
      </c>
      <c r="I642" t="s">
        <v>162</v>
      </c>
      <c r="J642" t="s">
        <v>23</v>
      </c>
      <c r="K642">
        <v>6.8</v>
      </c>
      <c r="L642">
        <v>6247316</v>
      </c>
      <c r="M642">
        <v>2521977</v>
      </c>
      <c r="N642">
        <v>100</v>
      </c>
      <c r="O642" t="s">
        <v>104</v>
      </c>
      <c r="P642" t="s">
        <v>50</v>
      </c>
    </row>
    <row r="643" spans="1:16" x14ac:dyDescent="0.35">
      <c r="A643" t="s">
        <v>1448</v>
      </c>
      <c r="B643" t="s">
        <v>1449</v>
      </c>
      <c r="C643" t="s">
        <v>53</v>
      </c>
      <c r="D643" t="s">
        <v>61</v>
      </c>
      <c r="E643" t="s">
        <v>62</v>
      </c>
      <c r="F643" s="1">
        <v>43842</v>
      </c>
      <c r="G643">
        <v>2020</v>
      </c>
      <c r="H643" t="s">
        <v>114</v>
      </c>
      <c r="I643" t="s">
        <v>136</v>
      </c>
      <c r="J643" t="s">
        <v>23</v>
      </c>
      <c r="K643">
        <v>8.1</v>
      </c>
      <c r="L643">
        <v>21900519</v>
      </c>
      <c r="M643">
        <v>3523133</v>
      </c>
      <c r="N643">
        <v>50</v>
      </c>
      <c r="O643" t="s">
        <v>24</v>
      </c>
      <c r="P643" t="s">
        <v>32</v>
      </c>
    </row>
    <row r="644" spans="1:16" x14ac:dyDescent="0.35">
      <c r="A644" t="s">
        <v>1450</v>
      </c>
      <c r="B644" t="s">
        <v>1451</v>
      </c>
      <c r="C644" t="s">
        <v>18</v>
      </c>
      <c r="D644" t="s">
        <v>54</v>
      </c>
      <c r="E644" t="s">
        <v>62</v>
      </c>
      <c r="F644" s="1">
        <v>44175</v>
      </c>
      <c r="G644">
        <v>2007</v>
      </c>
      <c r="I644" t="s">
        <v>1452</v>
      </c>
      <c r="J644" t="s">
        <v>76</v>
      </c>
      <c r="K644">
        <v>8.8000000000000007</v>
      </c>
      <c r="L644">
        <v>13407393</v>
      </c>
      <c r="M644">
        <v>4080164</v>
      </c>
      <c r="N644">
        <v>89</v>
      </c>
      <c r="O644" t="s">
        <v>91</v>
      </c>
      <c r="P644" t="s">
        <v>42</v>
      </c>
    </row>
    <row r="645" spans="1:16" x14ac:dyDescent="0.35">
      <c r="A645" t="s">
        <v>1453</v>
      </c>
      <c r="B645" t="s">
        <v>1454</v>
      </c>
      <c r="C645" t="s">
        <v>35</v>
      </c>
      <c r="D645" t="s">
        <v>36</v>
      </c>
      <c r="E645" t="s">
        <v>62</v>
      </c>
      <c r="F645" s="1">
        <v>45172</v>
      </c>
      <c r="G645">
        <v>2002</v>
      </c>
      <c r="H645" t="s">
        <v>63</v>
      </c>
      <c r="I645" t="s">
        <v>162</v>
      </c>
      <c r="J645" t="s">
        <v>30</v>
      </c>
      <c r="K645">
        <v>7.3</v>
      </c>
      <c r="L645">
        <v>717081</v>
      </c>
      <c r="M645">
        <v>909767</v>
      </c>
      <c r="N645">
        <v>99</v>
      </c>
      <c r="O645" t="s">
        <v>24</v>
      </c>
      <c r="P645" t="s">
        <v>32</v>
      </c>
    </row>
    <row r="646" spans="1:16" x14ac:dyDescent="0.35">
      <c r="A646" t="s">
        <v>1455</v>
      </c>
      <c r="B646" t="s">
        <v>1456</v>
      </c>
      <c r="C646" t="s">
        <v>18</v>
      </c>
      <c r="E646" t="s">
        <v>99</v>
      </c>
      <c r="F646" s="1">
        <v>42936</v>
      </c>
      <c r="G646">
        <v>2007</v>
      </c>
      <c r="H646" t="s">
        <v>38</v>
      </c>
      <c r="I646" t="s">
        <v>1362</v>
      </c>
      <c r="J646" t="s">
        <v>48</v>
      </c>
      <c r="K646">
        <v>6.1</v>
      </c>
      <c r="L646">
        <v>4463774</v>
      </c>
      <c r="M646">
        <v>1792516</v>
      </c>
      <c r="N646">
        <v>79</v>
      </c>
      <c r="O646" t="s">
        <v>31</v>
      </c>
      <c r="P646" t="s">
        <v>87</v>
      </c>
    </row>
    <row r="647" spans="1:16" x14ac:dyDescent="0.35">
      <c r="A647" t="s">
        <v>1457</v>
      </c>
      <c r="B647" t="s">
        <v>1458</v>
      </c>
      <c r="C647" t="s">
        <v>18</v>
      </c>
      <c r="D647" t="s">
        <v>27</v>
      </c>
      <c r="E647" t="s">
        <v>20</v>
      </c>
      <c r="F647" s="1">
        <v>44517</v>
      </c>
      <c r="G647">
        <v>2021</v>
      </c>
      <c r="H647" t="s">
        <v>114</v>
      </c>
      <c r="I647" t="s">
        <v>1279</v>
      </c>
      <c r="J647" t="s">
        <v>100</v>
      </c>
      <c r="K647">
        <v>9.3000000000000007</v>
      </c>
      <c r="L647">
        <v>24188302</v>
      </c>
      <c r="M647">
        <v>11163</v>
      </c>
      <c r="N647">
        <v>73</v>
      </c>
      <c r="O647" t="s">
        <v>31</v>
      </c>
      <c r="P647" t="s">
        <v>32</v>
      </c>
    </row>
    <row r="648" spans="1:16" x14ac:dyDescent="0.35">
      <c r="A648" t="s">
        <v>1459</v>
      </c>
      <c r="B648" t="s">
        <v>1460</v>
      </c>
      <c r="C648" t="s">
        <v>18</v>
      </c>
      <c r="D648" t="s">
        <v>61</v>
      </c>
      <c r="E648" t="s">
        <v>62</v>
      </c>
      <c r="F648" s="1">
        <v>43546</v>
      </c>
      <c r="G648">
        <v>2012</v>
      </c>
      <c r="H648" t="s">
        <v>81</v>
      </c>
      <c r="I648" t="s">
        <v>1008</v>
      </c>
      <c r="J648" t="s">
        <v>48</v>
      </c>
      <c r="K648">
        <v>5.3</v>
      </c>
      <c r="L648">
        <v>16013634</v>
      </c>
      <c r="M648">
        <v>2509272</v>
      </c>
      <c r="N648">
        <v>72</v>
      </c>
      <c r="O648" t="s">
        <v>91</v>
      </c>
      <c r="P648" t="s">
        <v>42</v>
      </c>
    </row>
    <row r="649" spans="1:16" x14ac:dyDescent="0.35">
      <c r="A649" t="s">
        <v>1461</v>
      </c>
      <c r="B649" t="s">
        <v>1462</v>
      </c>
      <c r="C649" t="s">
        <v>53</v>
      </c>
      <c r="D649" t="s">
        <v>90</v>
      </c>
      <c r="E649" t="s">
        <v>131</v>
      </c>
      <c r="G649">
        <v>2032</v>
      </c>
      <c r="H649" t="s">
        <v>63</v>
      </c>
      <c r="I649" t="s">
        <v>56</v>
      </c>
      <c r="J649" t="s">
        <v>133</v>
      </c>
      <c r="K649">
        <v>7.2</v>
      </c>
      <c r="L649">
        <v>6496570</v>
      </c>
      <c r="M649">
        <v>810812</v>
      </c>
      <c r="N649">
        <v>93</v>
      </c>
      <c r="O649" t="s">
        <v>24</v>
      </c>
      <c r="P649" t="s">
        <v>42</v>
      </c>
    </row>
    <row r="650" spans="1:16" x14ac:dyDescent="0.35">
      <c r="A650" t="s">
        <v>1463</v>
      </c>
      <c r="B650" t="s">
        <v>1464</v>
      </c>
      <c r="C650" t="s">
        <v>53</v>
      </c>
      <c r="D650" t="s">
        <v>75</v>
      </c>
      <c r="F650" s="1">
        <v>43513</v>
      </c>
      <c r="G650">
        <v>2012</v>
      </c>
      <c r="H650" t="s">
        <v>81</v>
      </c>
      <c r="I650" t="s">
        <v>39</v>
      </c>
      <c r="J650" t="s">
        <v>72</v>
      </c>
      <c r="K650">
        <v>8.3000000000000007</v>
      </c>
      <c r="L650">
        <v>2879548</v>
      </c>
      <c r="M650">
        <v>3540986</v>
      </c>
      <c r="N650">
        <v>64</v>
      </c>
      <c r="O650" t="s">
        <v>65</v>
      </c>
      <c r="P650" t="s">
        <v>87</v>
      </c>
    </row>
    <row r="651" spans="1:16" x14ac:dyDescent="0.35">
      <c r="A651" t="s">
        <v>1465</v>
      </c>
      <c r="B651" t="s">
        <v>1466</v>
      </c>
      <c r="C651" t="s">
        <v>35</v>
      </c>
      <c r="D651" t="s">
        <v>94</v>
      </c>
      <c r="F651" s="1">
        <v>42070</v>
      </c>
      <c r="G651">
        <v>2020</v>
      </c>
      <c r="H651" t="s">
        <v>121</v>
      </c>
      <c r="I651" t="s">
        <v>71</v>
      </c>
      <c r="J651" t="s">
        <v>153</v>
      </c>
      <c r="K651">
        <v>7.8</v>
      </c>
      <c r="L651">
        <v>21353788</v>
      </c>
      <c r="M651">
        <v>1224990</v>
      </c>
      <c r="N651">
        <v>120</v>
      </c>
      <c r="O651" t="s">
        <v>24</v>
      </c>
    </row>
    <row r="652" spans="1:16" x14ac:dyDescent="0.35">
      <c r="A652" t="s">
        <v>1467</v>
      </c>
      <c r="B652" t="s">
        <v>1468</v>
      </c>
      <c r="C652" t="s">
        <v>79</v>
      </c>
      <c r="D652" t="s">
        <v>19</v>
      </c>
      <c r="E652" t="s">
        <v>165</v>
      </c>
      <c r="F652" s="1">
        <v>45395</v>
      </c>
      <c r="G652">
        <v>2017</v>
      </c>
      <c r="H652" t="s">
        <v>46</v>
      </c>
      <c r="I652" t="s">
        <v>82</v>
      </c>
      <c r="K652">
        <v>11.2</v>
      </c>
      <c r="L652">
        <v>11647087</v>
      </c>
      <c r="M652">
        <v>4779282</v>
      </c>
      <c r="N652">
        <v>58</v>
      </c>
      <c r="O652" t="s">
        <v>24</v>
      </c>
      <c r="P652" t="s">
        <v>87</v>
      </c>
    </row>
    <row r="653" spans="1:16" x14ac:dyDescent="0.35">
      <c r="A653" t="s">
        <v>1469</v>
      </c>
      <c r="B653" t="s">
        <v>1470</v>
      </c>
      <c r="E653" t="s">
        <v>62</v>
      </c>
      <c r="F653" s="1">
        <v>44697</v>
      </c>
      <c r="G653">
        <v>2017</v>
      </c>
      <c r="I653" t="s">
        <v>162</v>
      </c>
      <c r="J653" t="s">
        <v>57</v>
      </c>
      <c r="K653">
        <v>5.4</v>
      </c>
      <c r="L653">
        <v>3027577</v>
      </c>
      <c r="M653">
        <v>4401519</v>
      </c>
      <c r="N653">
        <v>63</v>
      </c>
      <c r="O653" t="s">
        <v>123</v>
      </c>
      <c r="P653" t="s">
        <v>87</v>
      </c>
    </row>
    <row r="654" spans="1:16" x14ac:dyDescent="0.35">
      <c r="A654" t="s">
        <v>1471</v>
      </c>
      <c r="B654" t="s">
        <v>1472</v>
      </c>
      <c r="C654" t="s">
        <v>18</v>
      </c>
      <c r="D654" t="s">
        <v>68</v>
      </c>
      <c r="E654" t="s">
        <v>165</v>
      </c>
      <c r="F654" s="1">
        <v>44684</v>
      </c>
      <c r="G654">
        <v>2007</v>
      </c>
      <c r="H654" t="s">
        <v>63</v>
      </c>
      <c r="I654" t="s">
        <v>1120</v>
      </c>
      <c r="J654" t="s">
        <v>23</v>
      </c>
      <c r="K654">
        <v>8.8000000000000007</v>
      </c>
      <c r="L654">
        <v>1344546</v>
      </c>
      <c r="M654">
        <v>2700575</v>
      </c>
      <c r="N654">
        <v>80</v>
      </c>
      <c r="O654" t="s">
        <v>123</v>
      </c>
      <c r="P654" t="s">
        <v>87</v>
      </c>
    </row>
    <row r="655" spans="1:16" x14ac:dyDescent="0.35">
      <c r="A655" t="s">
        <v>1473</v>
      </c>
      <c r="B655" t="s">
        <v>1474</v>
      </c>
      <c r="C655" t="s">
        <v>53</v>
      </c>
      <c r="D655" t="s">
        <v>75</v>
      </c>
      <c r="F655" s="1">
        <v>42464</v>
      </c>
      <c r="G655">
        <v>2004</v>
      </c>
      <c r="H655" t="s">
        <v>114</v>
      </c>
      <c r="I655" t="s">
        <v>136</v>
      </c>
      <c r="J655" t="s">
        <v>96</v>
      </c>
      <c r="K655">
        <v>9.5</v>
      </c>
      <c r="L655">
        <v>12836288</v>
      </c>
      <c r="M655">
        <v>2028931</v>
      </c>
      <c r="N655">
        <v>41</v>
      </c>
      <c r="O655" t="s">
        <v>24</v>
      </c>
    </row>
    <row r="656" spans="1:16" x14ac:dyDescent="0.35">
      <c r="A656" t="s">
        <v>1475</v>
      </c>
      <c r="B656" t="s">
        <v>1476</v>
      </c>
      <c r="C656" t="s">
        <v>84</v>
      </c>
      <c r="D656" t="s">
        <v>27</v>
      </c>
      <c r="E656" t="s">
        <v>165</v>
      </c>
      <c r="F656" s="1">
        <v>43744</v>
      </c>
      <c r="G656">
        <v>2010</v>
      </c>
      <c r="I656" t="s">
        <v>22</v>
      </c>
      <c r="J656" t="s">
        <v>72</v>
      </c>
      <c r="K656">
        <v>8.3000000000000007</v>
      </c>
      <c r="L656">
        <v>7858007</v>
      </c>
      <c r="M656">
        <v>3364777</v>
      </c>
      <c r="N656">
        <v>47</v>
      </c>
    </row>
    <row r="657" spans="1:16" x14ac:dyDescent="0.35">
      <c r="A657" t="s">
        <v>1477</v>
      </c>
      <c r="B657" t="s">
        <v>1478</v>
      </c>
      <c r="D657" t="s">
        <v>61</v>
      </c>
      <c r="E657" t="s">
        <v>45</v>
      </c>
      <c r="F657" s="1">
        <v>44463</v>
      </c>
      <c r="G657">
        <v>2023</v>
      </c>
      <c r="H657" t="s">
        <v>38</v>
      </c>
      <c r="I657" t="s">
        <v>95</v>
      </c>
      <c r="J657" t="s">
        <v>76</v>
      </c>
      <c r="K657">
        <v>6.6</v>
      </c>
      <c r="L657">
        <v>1952883</v>
      </c>
      <c r="M657">
        <v>203874</v>
      </c>
      <c r="N657">
        <v>82</v>
      </c>
      <c r="O657" t="s">
        <v>65</v>
      </c>
      <c r="P657" t="s">
        <v>32</v>
      </c>
    </row>
    <row r="658" spans="1:16" x14ac:dyDescent="0.35">
      <c r="A658" t="s">
        <v>1479</v>
      </c>
      <c r="B658" t="s">
        <v>1480</v>
      </c>
      <c r="C658" t="s">
        <v>35</v>
      </c>
      <c r="D658" t="s">
        <v>156</v>
      </c>
      <c r="E658" t="s">
        <v>99</v>
      </c>
      <c r="F658" s="1">
        <v>43665</v>
      </c>
      <c r="G658">
        <v>2032</v>
      </c>
      <c r="H658" t="s">
        <v>46</v>
      </c>
      <c r="I658" t="s">
        <v>39</v>
      </c>
      <c r="K658">
        <v>7</v>
      </c>
      <c r="L658">
        <v>5897594</v>
      </c>
      <c r="M658">
        <v>2496776</v>
      </c>
      <c r="N658">
        <v>60</v>
      </c>
      <c r="O658" t="s">
        <v>41</v>
      </c>
      <c r="P658" t="s">
        <v>87</v>
      </c>
    </row>
    <row r="659" spans="1:16" x14ac:dyDescent="0.35">
      <c r="A659" t="s">
        <v>1481</v>
      </c>
      <c r="B659" t="s">
        <v>1482</v>
      </c>
      <c r="C659" t="s">
        <v>18</v>
      </c>
      <c r="E659" t="s">
        <v>20</v>
      </c>
      <c r="F659" s="1">
        <v>44829</v>
      </c>
      <c r="G659">
        <v>2003</v>
      </c>
      <c r="H659" t="s">
        <v>107</v>
      </c>
      <c r="I659" t="s">
        <v>517</v>
      </c>
      <c r="J659" t="s">
        <v>30</v>
      </c>
      <c r="K659">
        <v>7.3</v>
      </c>
      <c r="L659">
        <v>12370428</v>
      </c>
      <c r="M659">
        <v>3468494</v>
      </c>
      <c r="N659">
        <v>72</v>
      </c>
      <c r="O659" t="s">
        <v>91</v>
      </c>
      <c r="P659" t="s">
        <v>42</v>
      </c>
    </row>
    <row r="660" spans="1:16" x14ac:dyDescent="0.35">
      <c r="A660" t="s">
        <v>1483</v>
      </c>
      <c r="B660" t="s">
        <v>1482</v>
      </c>
      <c r="C660" t="s">
        <v>35</v>
      </c>
      <c r="D660" t="s">
        <v>19</v>
      </c>
      <c r="E660" t="s">
        <v>80</v>
      </c>
      <c r="F660" s="1">
        <v>45257</v>
      </c>
      <c r="G660">
        <v>2002</v>
      </c>
      <c r="H660" t="s">
        <v>107</v>
      </c>
      <c r="I660" t="s">
        <v>39</v>
      </c>
      <c r="J660" t="s">
        <v>76</v>
      </c>
      <c r="K660">
        <v>6</v>
      </c>
      <c r="L660">
        <v>23401500</v>
      </c>
      <c r="M660">
        <v>858807</v>
      </c>
      <c r="N660">
        <v>59</v>
      </c>
      <c r="O660" t="s">
        <v>41</v>
      </c>
      <c r="P660" t="s">
        <v>32</v>
      </c>
    </row>
    <row r="661" spans="1:16" x14ac:dyDescent="0.35">
      <c r="A661" t="s">
        <v>1484</v>
      </c>
      <c r="B661" t="s">
        <v>1485</v>
      </c>
      <c r="C661" t="s">
        <v>79</v>
      </c>
      <c r="D661" t="s">
        <v>68</v>
      </c>
      <c r="E661" t="s">
        <v>20</v>
      </c>
      <c r="F661" s="1">
        <v>43232</v>
      </c>
      <c r="G661">
        <v>2010</v>
      </c>
      <c r="H661" t="s">
        <v>46</v>
      </c>
      <c r="I661" t="s">
        <v>763</v>
      </c>
      <c r="J661" t="s">
        <v>103</v>
      </c>
      <c r="K661">
        <v>4.5999999999999996</v>
      </c>
      <c r="L661">
        <v>24705018</v>
      </c>
      <c r="M661">
        <v>499962</v>
      </c>
      <c r="N661">
        <v>83</v>
      </c>
      <c r="O661" t="s">
        <v>123</v>
      </c>
      <c r="P661" t="s">
        <v>42</v>
      </c>
    </row>
    <row r="662" spans="1:16" x14ac:dyDescent="0.35">
      <c r="A662" t="s">
        <v>1486</v>
      </c>
      <c r="B662" t="s">
        <v>1487</v>
      </c>
      <c r="C662" t="s">
        <v>53</v>
      </c>
      <c r="D662" t="s">
        <v>68</v>
      </c>
      <c r="E662" t="s">
        <v>113</v>
      </c>
      <c r="F662" s="1">
        <v>42514</v>
      </c>
      <c r="G662">
        <v>2014</v>
      </c>
      <c r="H662" t="s">
        <v>85</v>
      </c>
      <c r="I662" t="s">
        <v>118</v>
      </c>
      <c r="K662">
        <v>7.7</v>
      </c>
      <c r="L662">
        <v>16231357</v>
      </c>
      <c r="M662">
        <v>3137791</v>
      </c>
      <c r="N662">
        <v>86</v>
      </c>
      <c r="O662" t="s">
        <v>24</v>
      </c>
      <c r="P662" t="s">
        <v>87</v>
      </c>
    </row>
    <row r="663" spans="1:16" x14ac:dyDescent="0.35">
      <c r="A663" t="s">
        <v>1488</v>
      </c>
      <c r="B663" t="s">
        <v>1489</v>
      </c>
      <c r="C663" t="s">
        <v>18</v>
      </c>
      <c r="D663" t="s">
        <v>19</v>
      </c>
      <c r="E663" t="s">
        <v>69</v>
      </c>
      <c r="F663" s="1">
        <v>44473</v>
      </c>
      <c r="G663">
        <v>2022</v>
      </c>
      <c r="H663" t="s">
        <v>81</v>
      </c>
      <c r="I663" t="s">
        <v>450</v>
      </c>
      <c r="J663" t="s">
        <v>57</v>
      </c>
      <c r="K663">
        <v>7.6</v>
      </c>
      <c r="L663">
        <v>17582317</v>
      </c>
      <c r="M663">
        <v>3760214</v>
      </c>
      <c r="N663">
        <v>85</v>
      </c>
      <c r="O663" t="s">
        <v>24</v>
      </c>
      <c r="P663" t="s">
        <v>32</v>
      </c>
    </row>
    <row r="664" spans="1:16" x14ac:dyDescent="0.35">
      <c r="A664" t="s">
        <v>1490</v>
      </c>
      <c r="B664" t="s">
        <v>1491</v>
      </c>
      <c r="C664" t="s">
        <v>53</v>
      </c>
      <c r="D664" t="s">
        <v>27</v>
      </c>
      <c r="E664" t="s">
        <v>20</v>
      </c>
      <c r="F664" s="1">
        <v>43540</v>
      </c>
      <c r="G664">
        <v>2021</v>
      </c>
      <c r="H664" t="s">
        <v>38</v>
      </c>
      <c r="I664" t="s">
        <v>64</v>
      </c>
      <c r="J664" t="s">
        <v>40</v>
      </c>
      <c r="K664">
        <v>4.9000000000000004</v>
      </c>
      <c r="L664">
        <v>5860189</v>
      </c>
      <c r="M664">
        <v>3126893</v>
      </c>
      <c r="N664">
        <v>80</v>
      </c>
      <c r="P664" t="s">
        <v>50</v>
      </c>
    </row>
    <row r="665" spans="1:16" x14ac:dyDescent="0.35">
      <c r="A665" t="s">
        <v>1492</v>
      </c>
      <c r="B665" t="s">
        <v>1493</v>
      </c>
      <c r="C665" t="s">
        <v>79</v>
      </c>
      <c r="D665" t="s">
        <v>94</v>
      </c>
      <c r="E665" t="s">
        <v>80</v>
      </c>
      <c r="F665" s="1">
        <v>45638</v>
      </c>
      <c r="G665">
        <v>2004</v>
      </c>
      <c r="H665" t="s">
        <v>85</v>
      </c>
      <c r="I665" t="s">
        <v>86</v>
      </c>
      <c r="J665" t="s">
        <v>72</v>
      </c>
      <c r="K665">
        <v>6.4</v>
      </c>
      <c r="L665">
        <v>19983208</v>
      </c>
      <c r="M665">
        <v>2329520</v>
      </c>
      <c r="N665">
        <v>45</v>
      </c>
      <c r="O665" t="s">
        <v>31</v>
      </c>
      <c r="P665" t="s">
        <v>32</v>
      </c>
    </row>
    <row r="666" spans="1:16" x14ac:dyDescent="0.35">
      <c r="A666" t="s">
        <v>1494</v>
      </c>
      <c r="B666" t="s">
        <v>1495</v>
      </c>
      <c r="C666" t="s">
        <v>18</v>
      </c>
      <c r="D666" t="s">
        <v>54</v>
      </c>
      <c r="E666" t="s">
        <v>131</v>
      </c>
      <c r="F666" s="1">
        <v>43801</v>
      </c>
      <c r="G666">
        <v>2000</v>
      </c>
      <c r="H666" t="s">
        <v>121</v>
      </c>
      <c r="I666" t="s">
        <v>226</v>
      </c>
      <c r="J666" t="s">
        <v>57</v>
      </c>
      <c r="K666">
        <v>5.5</v>
      </c>
      <c r="L666">
        <v>9048504</v>
      </c>
      <c r="M666">
        <v>3233304</v>
      </c>
      <c r="N666">
        <v>48</v>
      </c>
      <c r="O666" t="s">
        <v>24</v>
      </c>
      <c r="P666" t="s">
        <v>50</v>
      </c>
    </row>
    <row r="667" spans="1:16" x14ac:dyDescent="0.35">
      <c r="A667" t="s">
        <v>1496</v>
      </c>
      <c r="B667" t="s">
        <v>1497</v>
      </c>
      <c r="C667" t="s">
        <v>35</v>
      </c>
      <c r="D667" t="s">
        <v>61</v>
      </c>
      <c r="E667" t="s">
        <v>131</v>
      </c>
      <c r="F667" s="1">
        <v>42756</v>
      </c>
      <c r="G667">
        <v>2022</v>
      </c>
      <c r="H667" t="s">
        <v>38</v>
      </c>
      <c r="I667" t="s">
        <v>56</v>
      </c>
      <c r="J667" t="s">
        <v>76</v>
      </c>
      <c r="K667">
        <v>5.9</v>
      </c>
      <c r="L667">
        <v>8631627</v>
      </c>
      <c r="M667">
        <v>1716592</v>
      </c>
      <c r="N667">
        <v>82</v>
      </c>
      <c r="O667" t="s">
        <v>49</v>
      </c>
      <c r="P667" t="s">
        <v>32</v>
      </c>
    </row>
    <row r="668" spans="1:16" x14ac:dyDescent="0.35">
      <c r="A668" t="s">
        <v>1498</v>
      </c>
      <c r="B668" t="s">
        <v>1499</v>
      </c>
      <c r="C668" t="s">
        <v>53</v>
      </c>
      <c r="D668" t="s">
        <v>19</v>
      </c>
      <c r="E668" t="s">
        <v>20</v>
      </c>
      <c r="F668" s="1">
        <v>45949</v>
      </c>
      <c r="G668">
        <v>2006</v>
      </c>
      <c r="H668" t="s">
        <v>114</v>
      </c>
      <c r="I668" t="s">
        <v>118</v>
      </c>
      <c r="K668">
        <v>5.4</v>
      </c>
      <c r="L668">
        <v>12334992</v>
      </c>
      <c r="M668">
        <v>1724681</v>
      </c>
      <c r="N668">
        <v>92</v>
      </c>
      <c r="O668" t="s">
        <v>123</v>
      </c>
    </row>
    <row r="669" spans="1:16" x14ac:dyDescent="0.35">
      <c r="A669" t="s">
        <v>1500</v>
      </c>
      <c r="B669" t="s">
        <v>1499</v>
      </c>
      <c r="C669" t="s">
        <v>35</v>
      </c>
      <c r="D669" t="s">
        <v>156</v>
      </c>
      <c r="E669" t="s">
        <v>45</v>
      </c>
      <c r="F669" s="1">
        <v>43154</v>
      </c>
      <c r="G669">
        <v>2014</v>
      </c>
      <c r="H669" t="s">
        <v>38</v>
      </c>
      <c r="I669" t="s">
        <v>71</v>
      </c>
      <c r="J669" t="s">
        <v>100</v>
      </c>
      <c r="K669">
        <v>7.7</v>
      </c>
      <c r="L669">
        <v>5118860</v>
      </c>
      <c r="M669">
        <v>4198804</v>
      </c>
      <c r="N669">
        <v>99</v>
      </c>
      <c r="O669" t="s">
        <v>24</v>
      </c>
      <c r="P669" t="s">
        <v>87</v>
      </c>
    </row>
    <row r="670" spans="1:16" x14ac:dyDescent="0.35">
      <c r="A670" t="s">
        <v>1501</v>
      </c>
      <c r="B670" t="s">
        <v>1502</v>
      </c>
      <c r="C670" t="s">
        <v>79</v>
      </c>
      <c r="E670" t="s">
        <v>165</v>
      </c>
      <c r="G670">
        <v>2009</v>
      </c>
      <c r="H670" t="s">
        <v>121</v>
      </c>
      <c r="I670" t="s">
        <v>788</v>
      </c>
      <c r="J670" t="s">
        <v>100</v>
      </c>
      <c r="K670">
        <v>5.2</v>
      </c>
      <c r="L670">
        <v>10520459</v>
      </c>
      <c r="M670">
        <v>2676572</v>
      </c>
      <c r="N670">
        <v>72</v>
      </c>
      <c r="O670" t="s">
        <v>41</v>
      </c>
      <c r="P670" t="s">
        <v>32</v>
      </c>
    </row>
    <row r="671" spans="1:16" x14ac:dyDescent="0.35">
      <c r="A671" t="s">
        <v>1503</v>
      </c>
      <c r="B671" t="s">
        <v>1504</v>
      </c>
      <c r="C671" t="s">
        <v>35</v>
      </c>
      <c r="D671" t="s">
        <v>61</v>
      </c>
      <c r="E671" t="s">
        <v>20</v>
      </c>
      <c r="F671" s="1">
        <v>43862</v>
      </c>
      <c r="G671">
        <v>2016</v>
      </c>
      <c r="H671" t="s">
        <v>85</v>
      </c>
      <c r="I671" t="s">
        <v>56</v>
      </c>
      <c r="J671" t="s">
        <v>48</v>
      </c>
      <c r="K671">
        <v>4.7</v>
      </c>
      <c r="L671">
        <v>22358253</v>
      </c>
      <c r="M671">
        <v>1911495</v>
      </c>
      <c r="N671">
        <v>84</v>
      </c>
      <c r="O671" t="s">
        <v>104</v>
      </c>
      <c r="P671" t="s">
        <v>50</v>
      </c>
    </row>
    <row r="672" spans="1:16" x14ac:dyDescent="0.35">
      <c r="A672" t="s">
        <v>1505</v>
      </c>
      <c r="B672" t="s">
        <v>1506</v>
      </c>
      <c r="C672" t="s">
        <v>35</v>
      </c>
      <c r="D672" t="s">
        <v>19</v>
      </c>
      <c r="E672" t="s">
        <v>45</v>
      </c>
      <c r="F672" s="1">
        <v>43157</v>
      </c>
      <c r="G672">
        <v>2017</v>
      </c>
      <c r="H672" t="s">
        <v>46</v>
      </c>
      <c r="I672" t="s">
        <v>64</v>
      </c>
      <c r="K672">
        <v>6.8</v>
      </c>
      <c r="L672">
        <v>19896642</v>
      </c>
      <c r="M672">
        <v>2438159</v>
      </c>
      <c r="N672">
        <v>89</v>
      </c>
      <c r="O672" t="s">
        <v>49</v>
      </c>
    </row>
    <row r="673" spans="1:16" x14ac:dyDescent="0.35">
      <c r="A673" t="s">
        <v>1507</v>
      </c>
      <c r="B673" t="s">
        <v>1508</v>
      </c>
      <c r="C673" t="s">
        <v>79</v>
      </c>
      <c r="D673" t="s">
        <v>27</v>
      </c>
      <c r="E673" t="s">
        <v>28</v>
      </c>
      <c r="F673" s="1">
        <v>43462</v>
      </c>
      <c r="G673">
        <v>2004</v>
      </c>
      <c r="H673" t="s">
        <v>46</v>
      </c>
      <c r="I673" t="s">
        <v>508</v>
      </c>
      <c r="J673" t="s">
        <v>76</v>
      </c>
      <c r="K673">
        <v>5.8</v>
      </c>
      <c r="L673">
        <v>12401322</v>
      </c>
      <c r="M673">
        <v>561779</v>
      </c>
      <c r="N673">
        <v>86</v>
      </c>
      <c r="O673" t="s">
        <v>49</v>
      </c>
      <c r="P673" t="s">
        <v>50</v>
      </c>
    </row>
    <row r="674" spans="1:16" x14ac:dyDescent="0.35">
      <c r="A674" t="s">
        <v>1509</v>
      </c>
      <c r="B674" t="s">
        <v>1510</v>
      </c>
      <c r="C674" t="s">
        <v>79</v>
      </c>
      <c r="E674" t="s">
        <v>37</v>
      </c>
      <c r="F674" s="1">
        <v>45554</v>
      </c>
      <c r="G674">
        <v>2017</v>
      </c>
      <c r="H674" t="s">
        <v>21</v>
      </c>
      <c r="I674" t="s">
        <v>211</v>
      </c>
      <c r="K674">
        <v>9.8000000000000007</v>
      </c>
      <c r="L674">
        <v>23509534</v>
      </c>
      <c r="M674">
        <v>3209453</v>
      </c>
      <c r="N674">
        <v>91</v>
      </c>
      <c r="O674" t="s">
        <v>104</v>
      </c>
      <c r="P674" t="s">
        <v>50</v>
      </c>
    </row>
    <row r="675" spans="1:16" x14ac:dyDescent="0.35">
      <c r="A675" t="s">
        <v>1511</v>
      </c>
      <c r="B675" t="s">
        <v>1512</v>
      </c>
      <c r="C675" t="s">
        <v>35</v>
      </c>
      <c r="D675" t="s">
        <v>94</v>
      </c>
      <c r="E675" t="s">
        <v>28</v>
      </c>
      <c r="G675">
        <v>2025</v>
      </c>
      <c r="H675" t="s">
        <v>121</v>
      </c>
      <c r="I675" t="s">
        <v>64</v>
      </c>
      <c r="J675" t="s">
        <v>153</v>
      </c>
      <c r="K675">
        <v>7.6</v>
      </c>
      <c r="L675">
        <v>7711424</v>
      </c>
      <c r="M675">
        <v>378838</v>
      </c>
      <c r="N675">
        <v>43</v>
      </c>
      <c r="O675" t="s">
        <v>123</v>
      </c>
      <c r="P675" t="s">
        <v>50</v>
      </c>
    </row>
    <row r="676" spans="1:16" x14ac:dyDescent="0.35">
      <c r="A676" t="s">
        <v>1513</v>
      </c>
      <c r="B676" t="s">
        <v>1514</v>
      </c>
      <c r="C676" t="s">
        <v>35</v>
      </c>
      <c r="D676" t="s">
        <v>19</v>
      </c>
      <c r="E676" t="s">
        <v>131</v>
      </c>
      <c r="F676" s="1">
        <v>43886</v>
      </c>
      <c r="G676">
        <v>2002</v>
      </c>
      <c r="H676" t="s">
        <v>46</v>
      </c>
      <c r="I676" t="s">
        <v>71</v>
      </c>
      <c r="J676" t="s">
        <v>133</v>
      </c>
      <c r="K676">
        <v>6.1</v>
      </c>
      <c r="L676">
        <v>14578275</v>
      </c>
      <c r="M676">
        <v>4975923</v>
      </c>
      <c r="N676">
        <v>87</v>
      </c>
      <c r="O676" t="s">
        <v>41</v>
      </c>
      <c r="P676" t="s">
        <v>32</v>
      </c>
    </row>
    <row r="677" spans="1:16" x14ac:dyDescent="0.35">
      <c r="A677" t="s">
        <v>1515</v>
      </c>
      <c r="B677" t="s">
        <v>1516</v>
      </c>
      <c r="C677" t="s">
        <v>18</v>
      </c>
      <c r="D677" t="s">
        <v>36</v>
      </c>
      <c r="E677" t="s">
        <v>45</v>
      </c>
      <c r="F677" s="1">
        <v>44074</v>
      </c>
      <c r="G677">
        <v>2001</v>
      </c>
      <c r="H677" t="s">
        <v>21</v>
      </c>
      <c r="I677" t="s">
        <v>763</v>
      </c>
      <c r="J677" t="s">
        <v>153</v>
      </c>
      <c r="K677">
        <v>9.3000000000000007</v>
      </c>
      <c r="L677">
        <v>24617326</v>
      </c>
      <c r="M677">
        <v>3602048</v>
      </c>
      <c r="N677">
        <v>59</v>
      </c>
      <c r="O677" t="s">
        <v>104</v>
      </c>
      <c r="P677" t="s">
        <v>87</v>
      </c>
    </row>
    <row r="678" spans="1:16" x14ac:dyDescent="0.35">
      <c r="A678" t="s">
        <v>1517</v>
      </c>
      <c r="B678" t="s">
        <v>1518</v>
      </c>
      <c r="C678" t="s">
        <v>53</v>
      </c>
      <c r="D678" t="s">
        <v>90</v>
      </c>
      <c r="E678" t="s">
        <v>69</v>
      </c>
      <c r="F678" s="1">
        <v>44981</v>
      </c>
      <c r="G678">
        <v>2022</v>
      </c>
      <c r="H678" t="s">
        <v>38</v>
      </c>
      <c r="I678" t="s">
        <v>118</v>
      </c>
      <c r="J678" t="s">
        <v>57</v>
      </c>
      <c r="K678">
        <v>9.1999999999999993</v>
      </c>
      <c r="L678">
        <v>15956277</v>
      </c>
      <c r="M678">
        <v>1771008</v>
      </c>
      <c r="N678">
        <v>83</v>
      </c>
      <c r="O678" t="s">
        <v>123</v>
      </c>
      <c r="P678" t="s">
        <v>32</v>
      </c>
    </row>
    <row r="679" spans="1:16" x14ac:dyDescent="0.35">
      <c r="A679" t="s">
        <v>1519</v>
      </c>
      <c r="B679" t="s">
        <v>1520</v>
      </c>
      <c r="C679" t="s">
        <v>79</v>
      </c>
      <c r="D679" t="s">
        <v>68</v>
      </c>
      <c r="E679" t="s">
        <v>28</v>
      </c>
      <c r="F679" s="1">
        <v>44716</v>
      </c>
      <c r="G679">
        <v>2002</v>
      </c>
      <c r="H679" t="s">
        <v>121</v>
      </c>
      <c r="I679" t="s">
        <v>775</v>
      </c>
      <c r="J679" t="s">
        <v>40</v>
      </c>
      <c r="K679">
        <v>5.0999999999999996</v>
      </c>
      <c r="L679">
        <v>9414656</v>
      </c>
      <c r="M679">
        <v>2170659</v>
      </c>
      <c r="N679">
        <v>42</v>
      </c>
      <c r="O679" t="s">
        <v>49</v>
      </c>
      <c r="P679" t="s">
        <v>32</v>
      </c>
    </row>
    <row r="680" spans="1:16" x14ac:dyDescent="0.35">
      <c r="A680" t="s">
        <v>1521</v>
      </c>
      <c r="B680" t="s">
        <v>1522</v>
      </c>
      <c r="C680" t="s">
        <v>18</v>
      </c>
      <c r="D680" t="s">
        <v>68</v>
      </c>
      <c r="E680" t="s">
        <v>69</v>
      </c>
      <c r="F680" s="1">
        <v>43807</v>
      </c>
      <c r="G680">
        <v>2016</v>
      </c>
      <c r="H680" t="s">
        <v>107</v>
      </c>
      <c r="I680" t="s">
        <v>963</v>
      </c>
      <c r="J680" t="s">
        <v>72</v>
      </c>
      <c r="K680">
        <v>4.5999999999999996</v>
      </c>
      <c r="L680">
        <v>11837233</v>
      </c>
      <c r="M680">
        <v>3375099</v>
      </c>
      <c r="N680">
        <v>73</v>
      </c>
      <c r="O680" t="s">
        <v>65</v>
      </c>
      <c r="P680" t="s">
        <v>32</v>
      </c>
    </row>
    <row r="681" spans="1:16" x14ac:dyDescent="0.35">
      <c r="A681" t="s">
        <v>1523</v>
      </c>
      <c r="B681" t="s">
        <v>1522</v>
      </c>
      <c r="C681" t="s">
        <v>84</v>
      </c>
      <c r="D681" t="s">
        <v>19</v>
      </c>
      <c r="E681" t="s">
        <v>55</v>
      </c>
      <c r="F681" s="1">
        <v>45231</v>
      </c>
      <c r="G681">
        <v>2005</v>
      </c>
      <c r="H681" t="s">
        <v>81</v>
      </c>
      <c r="I681" t="s">
        <v>226</v>
      </c>
      <c r="J681" t="s">
        <v>96</v>
      </c>
      <c r="K681">
        <v>8.1999999999999993</v>
      </c>
      <c r="L681">
        <v>12855298</v>
      </c>
      <c r="M681">
        <v>4586817</v>
      </c>
      <c r="N681">
        <v>47</v>
      </c>
      <c r="O681" t="s">
        <v>41</v>
      </c>
    </row>
    <row r="682" spans="1:16" x14ac:dyDescent="0.35">
      <c r="A682" t="s">
        <v>1524</v>
      </c>
      <c r="B682" t="s">
        <v>1525</v>
      </c>
      <c r="C682" t="s">
        <v>18</v>
      </c>
      <c r="D682" t="s">
        <v>156</v>
      </c>
      <c r="F682" s="1">
        <v>42999</v>
      </c>
      <c r="G682">
        <v>2017</v>
      </c>
      <c r="H682" t="s">
        <v>121</v>
      </c>
      <c r="I682" t="s">
        <v>505</v>
      </c>
      <c r="J682" t="s">
        <v>23</v>
      </c>
      <c r="K682">
        <v>7.3</v>
      </c>
      <c r="L682">
        <v>288565</v>
      </c>
      <c r="M682">
        <v>2541288</v>
      </c>
      <c r="N682">
        <v>96</v>
      </c>
      <c r="O682" t="s">
        <v>123</v>
      </c>
      <c r="P682" t="s">
        <v>50</v>
      </c>
    </row>
    <row r="683" spans="1:16" x14ac:dyDescent="0.35">
      <c r="A683" t="s">
        <v>1526</v>
      </c>
      <c r="B683" t="s">
        <v>1527</v>
      </c>
      <c r="C683" t="s">
        <v>84</v>
      </c>
      <c r="D683" t="s">
        <v>27</v>
      </c>
      <c r="E683" t="s">
        <v>99</v>
      </c>
      <c r="F683" s="1">
        <v>42997</v>
      </c>
      <c r="G683">
        <v>2005</v>
      </c>
      <c r="H683" t="s">
        <v>121</v>
      </c>
      <c r="I683" t="s">
        <v>195</v>
      </c>
      <c r="J683" t="s">
        <v>57</v>
      </c>
      <c r="K683">
        <v>6.7</v>
      </c>
      <c r="L683">
        <v>13176724</v>
      </c>
      <c r="M683">
        <v>99749</v>
      </c>
      <c r="N683">
        <v>93</v>
      </c>
      <c r="O683" t="s">
        <v>91</v>
      </c>
      <c r="P683" t="s">
        <v>42</v>
      </c>
    </row>
    <row r="684" spans="1:16" x14ac:dyDescent="0.35">
      <c r="A684" t="s">
        <v>1528</v>
      </c>
      <c r="B684" t="s">
        <v>1529</v>
      </c>
      <c r="C684" t="s">
        <v>35</v>
      </c>
      <c r="E684" t="s">
        <v>80</v>
      </c>
      <c r="F684" s="1">
        <v>42344</v>
      </c>
      <c r="G684">
        <v>2017</v>
      </c>
      <c r="I684" t="s">
        <v>162</v>
      </c>
      <c r="J684" t="s">
        <v>76</v>
      </c>
      <c r="K684">
        <v>8.9</v>
      </c>
      <c r="L684">
        <v>5191756</v>
      </c>
      <c r="M684">
        <v>1905556</v>
      </c>
      <c r="N684">
        <v>65</v>
      </c>
      <c r="O684" t="s">
        <v>58</v>
      </c>
      <c r="P684" t="s">
        <v>42</v>
      </c>
    </row>
    <row r="685" spans="1:16" x14ac:dyDescent="0.35">
      <c r="A685" t="s">
        <v>1530</v>
      </c>
      <c r="B685" t="s">
        <v>1531</v>
      </c>
      <c r="C685" t="s">
        <v>53</v>
      </c>
      <c r="D685" t="s">
        <v>156</v>
      </c>
      <c r="E685" t="s">
        <v>20</v>
      </c>
      <c r="F685" s="1">
        <v>45869</v>
      </c>
      <c r="G685">
        <v>2017</v>
      </c>
      <c r="H685" t="s">
        <v>81</v>
      </c>
      <c r="I685" t="s">
        <v>162</v>
      </c>
      <c r="J685" t="s">
        <v>96</v>
      </c>
      <c r="K685">
        <v>7</v>
      </c>
      <c r="L685">
        <v>14342832</v>
      </c>
      <c r="M685">
        <v>1599421</v>
      </c>
      <c r="N685">
        <v>86</v>
      </c>
      <c r="P685" t="s">
        <v>32</v>
      </c>
    </row>
    <row r="686" spans="1:16" x14ac:dyDescent="0.35">
      <c r="A686" t="s">
        <v>1532</v>
      </c>
      <c r="B686" t="s">
        <v>1533</v>
      </c>
      <c r="C686" t="s">
        <v>79</v>
      </c>
      <c r="D686" t="s">
        <v>27</v>
      </c>
      <c r="E686" t="s">
        <v>80</v>
      </c>
      <c r="F686" s="1">
        <v>44532</v>
      </c>
      <c r="G686">
        <v>2003</v>
      </c>
      <c r="H686" t="s">
        <v>81</v>
      </c>
      <c r="I686" t="s">
        <v>315</v>
      </c>
      <c r="J686" t="s">
        <v>30</v>
      </c>
      <c r="K686">
        <v>8.9</v>
      </c>
      <c r="L686">
        <v>6813107</v>
      </c>
      <c r="M686">
        <v>3366952</v>
      </c>
      <c r="N686">
        <v>46</v>
      </c>
      <c r="P686" t="s">
        <v>87</v>
      </c>
    </row>
    <row r="687" spans="1:16" x14ac:dyDescent="0.35">
      <c r="A687" t="s">
        <v>1534</v>
      </c>
      <c r="B687" t="s">
        <v>1535</v>
      </c>
      <c r="C687" t="s">
        <v>35</v>
      </c>
      <c r="D687" t="s">
        <v>36</v>
      </c>
      <c r="E687" t="s">
        <v>45</v>
      </c>
      <c r="F687" s="1">
        <v>45082</v>
      </c>
      <c r="G687">
        <v>2009</v>
      </c>
      <c r="I687" t="s">
        <v>71</v>
      </c>
      <c r="J687" t="s">
        <v>153</v>
      </c>
      <c r="K687">
        <v>7.3</v>
      </c>
      <c r="L687">
        <v>85780</v>
      </c>
      <c r="M687">
        <v>214518</v>
      </c>
      <c r="N687">
        <v>84</v>
      </c>
      <c r="O687" t="s">
        <v>65</v>
      </c>
      <c r="P687" t="s">
        <v>32</v>
      </c>
    </row>
    <row r="688" spans="1:16" x14ac:dyDescent="0.35">
      <c r="A688" t="s">
        <v>1536</v>
      </c>
      <c r="B688" t="s">
        <v>1537</v>
      </c>
      <c r="C688" t="s">
        <v>84</v>
      </c>
      <c r="E688" t="s">
        <v>37</v>
      </c>
      <c r="G688">
        <v>2032</v>
      </c>
      <c r="H688" t="s">
        <v>85</v>
      </c>
      <c r="I688" t="s">
        <v>315</v>
      </c>
      <c r="J688" t="s">
        <v>133</v>
      </c>
      <c r="K688">
        <v>9.1</v>
      </c>
      <c r="L688">
        <v>7663153</v>
      </c>
      <c r="M688">
        <v>1645453</v>
      </c>
      <c r="N688">
        <v>70</v>
      </c>
      <c r="O688" t="s">
        <v>49</v>
      </c>
      <c r="P688" t="s">
        <v>42</v>
      </c>
    </row>
    <row r="689" spans="1:16" x14ac:dyDescent="0.35">
      <c r="A689" t="s">
        <v>1538</v>
      </c>
      <c r="B689" t="s">
        <v>1539</v>
      </c>
      <c r="C689" t="s">
        <v>53</v>
      </c>
      <c r="D689" t="s">
        <v>36</v>
      </c>
      <c r="E689" t="s">
        <v>113</v>
      </c>
      <c r="F689" s="1">
        <v>42544</v>
      </c>
      <c r="G689">
        <v>2002</v>
      </c>
      <c r="H689" t="s">
        <v>85</v>
      </c>
      <c r="I689" t="s">
        <v>39</v>
      </c>
      <c r="J689" t="s">
        <v>153</v>
      </c>
      <c r="K689">
        <v>5.6</v>
      </c>
      <c r="L689">
        <v>23444899</v>
      </c>
      <c r="M689">
        <v>2404418</v>
      </c>
      <c r="N689">
        <v>64</v>
      </c>
      <c r="O689" t="s">
        <v>104</v>
      </c>
      <c r="P689" t="s">
        <v>32</v>
      </c>
    </row>
    <row r="690" spans="1:16" x14ac:dyDescent="0.35">
      <c r="A690" t="s">
        <v>1540</v>
      </c>
      <c r="B690" t="s">
        <v>1541</v>
      </c>
      <c r="D690" t="s">
        <v>94</v>
      </c>
      <c r="E690" t="s">
        <v>45</v>
      </c>
      <c r="F690" s="1">
        <v>42664</v>
      </c>
      <c r="G690">
        <v>2013</v>
      </c>
      <c r="H690" t="s">
        <v>107</v>
      </c>
      <c r="J690" t="s">
        <v>96</v>
      </c>
      <c r="K690">
        <v>6.9</v>
      </c>
      <c r="L690">
        <v>15467855</v>
      </c>
      <c r="M690">
        <v>3890790</v>
      </c>
      <c r="N690">
        <v>82</v>
      </c>
      <c r="O690" t="s">
        <v>65</v>
      </c>
      <c r="P690" t="s">
        <v>50</v>
      </c>
    </row>
    <row r="691" spans="1:16" x14ac:dyDescent="0.35">
      <c r="A691" t="s">
        <v>1542</v>
      </c>
      <c r="B691" t="s">
        <v>1543</v>
      </c>
      <c r="C691" t="s">
        <v>84</v>
      </c>
      <c r="D691" t="s">
        <v>27</v>
      </c>
      <c r="E691" t="s">
        <v>62</v>
      </c>
      <c r="F691" s="1">
        <v>44056</v>
      </c>
      <c r="G691">
        <v>2025</v>
      </c>
      <c r="I691" t="s">
        <v>339</v>
      </c>
      <c r="J691" t="s">
        <v>133</v>
      </c>
      <c r="K691">
        <v>9.1999999999999993</v>
      </c>
      <c r="L691">
        <v>7482780</v>
      </c>
      <c r="M691">
        <v>1059932</v>
      </c>
      <c r="N691">
        <v>43</v>
      </c>
      <c r="O691" t="s">
        <v>104</v>
      </c>
      <c r="P691" t="s">
        <v>50</v>
      </c>
    </row>
    <row r="692" spans="1:16" x14ac:dyDescent="0.35">
      <c r="A692" t="s">
        <v>1544</v>
      </c>
      <c r="B692" t="s">
        <v>1545</v>
      </c>
      <c r="D692" t="s">
        <v>27</v>
      </c>
      <c r="E692" t="s">
        <v>20</v>
      </c>
      <c r="F692" s="1">
        <v>43817</v>
      </c>
      <c r="G692">
        <v>2019</v>
      </c>
      <c r="H692" t="s">
        <v>70</v>
      </c>
      <c r="I692" t="s">
        <v>136</v>
      </c>
      <c r="J692" t="s">
        <v>23</v>
      </c>
      <c r="K692">
        <v>5.5</v>
      </c>
      <c r="L692">
        <v>10945164</v>
      </c>
      <c r="M692">
        <v>3404461</v>
      </c>
      <c r="N692">
        <v>40</v>
      </c>
      <c r="O692" t="s">
        <v>31</v>
      </c>
      <c r="P692" t="s">
        <v>87</v>
      </c>
    </row>
    <row r="693" spans="1:16" x14ac:dyDescent="0.35">
      <c r="A693" t="s">
        <v>1546</v>
      </c>
      <c r="B693" t="s">
        <v>1545</v>
      </c>
      <c r="C693" t="s">
        <v>53</v>
      </c>
      <c r="E693" t="s">
        <v>69</v>
      </c>
      <c r="F693" s="1">
        <v>42723</v>
      </c>
      <c r="G693">
        <v>2005</v>
      </c>
      <c r="H693" t="s">
        <v>114</v>
      </c>
      <c r="I693" t="s">
        <v>71</v>
      </c>
      <c r="J693" t="s">
        <v>30</v>
      </c>
      <c r="K693">
        <v>7.2</v>
      </c>
      <c r="L693">
        <v>18872001</v>
      </c>
      <c r="M693">
        <v>2676716</v>
      </c>
      <c r="N693">
        <v>42</v>
      </c>
      <c r="O693" t="s">
        <v>41</v>
      </c>
    </row>
    <row r="694" spans="1:16" x14ac:dyDescent="0.35">
      <c r="A694" t="s">
        <v>1547</v>
      </c>
      <c r="B694" t="s">
        <v>1548</v>
      </c>
      <c r="C694" t="s">
        <v>79</v>
      </c>
      <c r="D694" t="s">
        <v>90</v>
      </c>
      <c r="E694" t="s">
        <v>37</v>
      </c>
      <c r="F694" s="1">
        <v>44558</v>
      </c>
      <c r="G694">
        <v>2014</v>
      </c>
      <c r="H694" t="s">
        <v>85</v>
      </c>
      <c r="I694" t="s">
        <v>249</v>
      </c>
      <c r="J694" t="s">
        <v>23</v>
      </c>
      <c r="K694">
        <v>9</v>
      </c>
      <c r="L694">
        <v>4527930</v>
      </c>
      <c r="M694">
        <v>3796351</v>
      </c>
      <c r="N694">
        <v>96</v>
      </c>
      <c r="P694" t="s">
        <v>32</v>
      </c>
    </row>
    <row r="695" spans="1:16" x14ac:dyDescent="0.35">
      <c r="A695" t="s">
        <v>1549</v>
      </c>
      <c r="B695" t="s">
        <v>1550</v>
      </c>
      <c r="C695" t="s">
        <v>53</v>
      </c>
      <c r="D695" t="s">
        <v>75</v>
      </c>
      <c r="E695" t="s">
        <v>165</v>
      </c>
      <c r="F695" s="1">
        <v>42671</v>
      </c>
      <c r="G695">
        <v>2015</v>
      </c>
      <c r="H695" t="s">
        <v>38</v>
      </c>
      <c r="I695" t="s">
        <v>56</v>
      </c>
      <c r="J695" t="s">
        <v>96</v>
      </c>
      <c r="K695">
        <v>5.7</v>
      </c>
      <c r="L695">
        <v>6309920</v>
      </c>
      <c r="M695">
        <v>2758196</v>
      </c>
      <c r="N695">
        <v>40</v>
      </c>
      <c r="O695" t="s">
        <v>24</v>
      </c>
      <c r="P695" t="s">
        <v>87</v>
      </c>
    </row>
    <row r="696" spans="1:16" x14ac:dyDescent="0.35">
      <c r="A696" t="s">
        <v>1551</v>
      </c>
      <c r="B696" t="s">
        <v>1552</v>
      </c>
      <c r="C696" t="s">
        <v>35</v>
      </c>
      <c r="D696" t="s">
        <v>61</v>
      </c>
      <c r="E696" t="s">
        <v>69</v>
      </c>
      <c r="F696" s="1">
        <v>44541</v>
      </c>
      <c r="G696">
        <v>2007</v>
      </c>
      <c r="H696" t="s">
        <v>107</v>
      </c>
      <c r="I696" t="s">
        <v>162</v>
      </c>
      <c r="J696" t="s">
        <v>153</v>
      </c>
      <c r="K696">
        <v>6.2</v>
      </c>
      <c r="L696">
        <v>894750</v>
      </c>
      <c r="M696">
        <v>3552464</v>
      </c>
      <c r="N696">
        <v>80</v>
      </c>
      <c r="O696" t="s">
        <v>91</v>
      </c>
      <c r="P696" t="s">
        <v>32</v>
      </c>
    </row>
    <row r="697" spans="1:16" x14ac:dyDescent="0.35">
      <c r="A697" t="s">
        <v>1553</v>
      </c>
      <c r="B697" t="s">
        <v>1554</v>
      </c>
      <c r="C697" t="s">
        <v>84</v>
      </c>
      <c r="D697" t="s">
        <v>19</v>
      </c>
      <c r="E697" t="s">
        <v>131</v>
      </c>
      <c r="F697" s="1">
        <v>43490</v>
      </c>
      <c r="G697">
        <v>2015</v>
      </c>
      <c r="H697" t="s">
        <v>38</v>
      </c>
      <c r="I697" t="s">
        <v>22</v>
      </c>
      <c r="J697" t="s">
        <v>133</v>
      </c>
      <c r="K697">
        <v>9.4</v>
      </c>
      <c r="L697">
        <v>10206833</v>
      </c>
      <c r="M697">
        <v>1142645</v>
      </c>
      <c r="N697">
        <v>98</v>
      </c>
      <c r="O697" t="s">
        <v>49</v>
      </c>
    </row>
    <row r="698" spans="1:16" x14ac:dyDescent="0.35">
      <c r="A698" t="s">
        <v>1555</v>
      </c>
      <c r="B698" t="s">
        <v>1556</v>
      </c>
      <c r="C698" t="s">
        <v>35</v>
      </c>
      <c r="D698" t="s">
        <v>90</v>
      </c>
      <c r="E698" t="s">
        <v>20</v>
      </c>
      <c r="F698" s="1">
        <v>46204</v>
      </c>
      <c r="G698">
        <v>2020</v>
      </c>
      <c r="H698" t="s">
        <v>85</v>
      </c>
      <c r="I698" t="s">
        <v>136</v>
      </c>
      <c r="J698" t="s">
        <v>48</v>
      </c>
      <c r="K698">
        <v>9.1</v>
      </c>
      <c r="L698">
        <v>11375483</v>
      </c>
      <c r="M698">
        <v>1741106</v>
      </c>
      <c r="N698">
        <v>58</v>
      </c>
      <c r="O698" t="s">
        <v>123</v>
      </c>
    </row>
    <row r="699" spans="1:16" x14ac:dyDescent="0.35">
      <c r="A699" t="s">
        <v>1557</v>
      </c>
      <c r="B699" t="s">
        <v>1558</v>
      </c>
      <c r="C699" t="s">
        <v>79</v>
      </c>
      <c r="D699" t="s">
        <v>68</v>
      </c>
      <c r="E699" t="s">
        <v>113</v>
      </c>
      <c r="F699" s="1">
        <v>44552</v>
      </c>
      <c r="G699">
        <v>2003</v>
      </c>
      <c r="H699" t="s">
        <v>81</v>
      </c>
      <c r="I699" t="s">
        <v>775</v>
      </c>
      <c r="J699" t="s">
        <v>57</v>
      </c>
      <c r="K699">
        <v>9.6</v>
      </c>
      <c r="L699">
        <v>23863797</v>
      </c>
      <c r="M699">
        <v>1416986</v>
      </c>
      <c r="N699">
        <v>51</v>
      </c>
      <c r="O699" t="s">
        <v>31</v>
      </c>
      <c r="P699" t="s">
        <v>87</v>
      </c>
    </row>
    <row r="700" spans="1:16" x14ac:dyDescent="0.35">
      <c r="A700" t="s">
        <v>1559</v>
      </c>
      <c r="B700" t="s">
        <v>1560</v>
      </c>
      <c r="C700" t="s">
        <v>35</v>
      </c>
      <c r="D700" t="s">
        <v>61</v>
      </c>
      <c r="E700" t="s">
        <v>45</v>
      </c>
      <c r="F700" s="1">
        <v>42191</v>
      </c>
      <c r="G700">
        <v>2024</v>
      </c>
      <c r="H700" t="s">
        <v>121</v>
      </c>
      <c r="I700" t="s">
        <v>136</v>
      </c>
      <c r="J700" t="s">
        <v>103</v>
      </c>
      <c r="K700">
        <v>8.9</v>
      </c>
      <c r="L700">
        <v>7264137</v>
      </c>
      <c r="M700">
        <v>2689505</v>
      </c>
      <c r="N700">
        <v>86</v>
      </c>
      <c r="O700" t="s">
        <v>24</v>
      </c>
      <c r="P700" t="s">
        <v>32</v>
      </c>
    </row>
    <row r="701" spans="1:16" x14ac:dyDescent="0.35">
      <c r="A701" t="s">
        <v>1561</v>
      </c>
      <c r="B701" t="s">
        <v>1562</v>
      </c>
      <c r="C701" t="s">
        <v>35</v>
      </c>
      <c r="E701" t="s">
        <v>99</v>
      </c>
      <c r="F701" s="1">
        <v>44498</v>
      </c>
      <c r="G701">
        <v>2008</v>
      </c>
      <c r="H701" t="s">
        <v>70</v>
      </c>
      <c r="I701" t="s">
        <v>162</v>
      </c>
      <c r="J701" t="s">
        <v>30</v>
      </c>
      <c r="K701">
        <v>7.1</v>
      </c>
      <c r="L701">
        <v>22566402</v>
      </c>
      <c r="M701">
        <v>4444970</v>
      </c>
      <c r="N701">
        <v>71</v>
      </c>
      <c r="O701" t="s">
        <v>58</v>
      </c>
      <c r="P701" t="s">
        <v>32</v>
      </c>
    </row>
    <row r="702" spans="1:16" x14ac:dyDescent="0.35">
      <c r="A702" t="s">
        <v>1563</v>
      </c>
      <c r="B702" t="s">
        <v>1564</v>
      </c>
      <c r="C702" t="s">
        <v>35</v>
      </c>
      <c r="D702" t="s">
        <v>61</v>
      </c>
      <c r="E702" t="s">
        <v>62</v>
      </c>
      <c r="F702" s="1">
        <v>44034</v>
      </c>
      <c r="G702">
        <v>2014</v>
      </c>
      <c r="H702" t="s">
        <v>38</v>
      </c>
      <c r="I702" t="s">
        <v>118</v>
      </c>
      <c r="J702" t="s">
        <v>103</v>
      </c>
      <c r="K702">
        <v>6.9</v>
      </c>
      <c r="L702">
        <v>10039808</v>
      </c>
      <c r="M702">
        <v>1878951</v>
      </c>
      <c r="N702">
        <v>49</v>
      </c>
      <c r="O702" t="s">
        <v>41</v>
      </c>
      <c r="P702" t="s">
        <v>50</v>
      </c>
    </row>
    <row r="703" spans="1:16" x14ac:dyDescent="0.35">
      <c r="A703" t="s">
        <v>1565</v>
      </c>
      <c r="B703" t="s">
        <v>1566</v>
      </c>
      <c r="C703" t="s">
        <v>18</v>
      </c>
      <c r="D703" t="s">
        <v>68</v>
      </c>
      <c r="E703" t="s">
        <v>28</v>
      </c>
      <c r="F703" s="1">
        <v>43952</v>
      </c>
      <c r="G703">
        <v>2001</v>
      </c>
      <c r="H703" t="s">
        <v>63</v>
      </c>
      <c r="I703" t="s">
        <v>865</v>
      </c>
      <c r="J703" t="s">
        <v>40</v>
      </c>
      <c r="K703">
        <v>7.7</v>
      </c>
      <c r="L703">
        <v>22905024</v>
      </c>
      <c r="M703">
        <v>1227815</v>
      </c>
      <c r="N703">
        <v>70</v>
      </c>
      <c r="O703" t="s">
        <v>123</v>
      </c>
      <c r="P703" t="s">
        <v>42</v>
      </c>
    </row>
    <row r="704" spans="1:16" x14ac:dyDescent="0.35">
      <c r="A704" t="s">
        <v>1567</v>
      </c>
      <c r="B704" t="s">
        <v>1568</v>
      </c>
      <c r="C704" t="s">
        <v>35</v>
      </c>
      <c r="D704" t="s">
        <v>90</v>
      </c>
      <c r="E704" t="s">
        <v>28</v>
      </c>
      <c r="F704" s="1">
        <v>43031</v>
      </c>
      <c r="G704">
        <v>2010</v>
      </c>
      <c r="I704" t="s">
        <v>136</v>
      </c>
      <c r="J704" t="s">
        <v>153</v>
      </c>
      <c r="K704">
        <v>9.8000000000000007</v>
      </c>
      <c r="L704">
        <v>19793239</v>
      </c>
      <c r="M704">
        <v>201103</v>
      </c>
      <c r="N704">
        <v>66</v>
      </c>
      <c r="O704" t="s">
        <v>49</v>
      </c>
      <c r="P704" t="s">
        <v>32</v>
      </c>
    </row>
    <row r="705" spans="1:16" x14ac:dyDescent="0.35">
      <c r="A705" t="s">
        <v>1569</v>
      </c>
      <c r="B705" t="s">
        <v>1570</v>
      </c>
      <c r="C705" t="s">
        <v>84</v>
      </c>
      <c r="E705" t="s">
        <v>80</v>
      </c>
      <c r="F705" s="1">
        <v>42432</v>
      </c>
      <c r="G705">
        <v>2004</v>
      </c>
      <c r="I705" t="s">
        <v>505</v>
      </c>
      <c r="J705" t="s">
        <v>57</v>
      </c>
      <c r="K705">
        <v>5.9</v>
      </c>
      <c r="L705">
        <v>12411760</v>
      </c>
      <c r="M705">
        <v>3837326</v>
      </c>
      <c r="N705">
        <v>90</v>
      </c>
      <c r="O705" t="s">
        <v>49</v>
      </c>
      <c r="P705" t="s">
        <v>32</v>
      </c>
    </row>
    <row r="706" spans="1:16" x14ac:dyDescent="0.35">
      <c r="A706" t="s">
        <v>1571</v>
      </c>
      <c r="B706" t="s">
        <v>1572</v>
      </c>
      <c r="C706" t="s">
        <v>18</v>
      </c>
      <c r="E706" t="s">
        <v>99</v>
      </c>
      <c r="F706" s="1">
        <v>45247</v>
      </c>
      <c r="G706">
        <v>2025</v>
      </c>
      <c r="H706" t="s">
        <v>21</v>
      </c>
      <c r="I706" t="s">
        <v>320</v>
      </c>
      <c r="J706" t="s">
        <v>72</v>
      </c>
      <c r="K706">
        <v>9.5</v>
      </c>
      <c r="L706">
        <v>62163</v>
      </c>
      <c r="M706">
        <v>1376501</v>
      </c>
      <c r="N706">
        <v>76</v>
      </c>
      <c r="O706" t="s">
        <v>41</v>
      </c>
      <c r="P706" t="s">
        <v>87</v>
      </c>
    </row>
    <row r="707" spans="1:16" x14ac:dyDescent="0.35">
      <c r="A707" t="s">
        <v>1573</v>
      </c>
      <c r="B707" t="s">
        <v>1574</v>
      </c>
      <c r="D707" t="s">
        <v>94</v>
      </c>
      <c r="E707" t="s">
        <v>113</v>
      </c>
      <c r="F707" s="1">
        <v>46070</v>
      </c>
      <c r="G707">
        <v>2026</v>
      </c>
      <c r="H707" t="s">
        <v>114</v>
      </c>
      <c r="I707" t="s">
        <v>71</v>
      </c>
      <c r="J707" t="s">
        <v>76</v>
      </c>
      <c r="K707">
        <v>8.6999999999999993</v>
      </c>
      <c r="L707">
        <v>16442981</v>
      </c>
      <c r="M707">
        <v>3808320</v>
      </c>
      <c r="N707">
        <v>67</v>
      </c>
      <c r="O707" t="s">
        <v>49</v>
      </c>
      <c r="P707" t="s">
        <v>32</v>
      </c>
    </row>
    <row r="708" spans="1:16" x14ac:dyDescent="0.35">
      <c r="A708" t="s">
        <v>1575</v>
      </c>
      <c r="B708" t="s">
        <v>1576</v>
      </c>
      <c r="C708" t="s">
        <v>18</v>
      </c>
      <c r="D708" t="s">
        <v>94</v>
      </c>
      <c r="E708" t="s">
        <v>99</v>
      </c>
      <c r="F708" s="1">
        <v>43001</v>
      </c>
      <c r="G708">
        <v>2017</v>
      </c>
      <c r="H708" t="s">
        <v>121</v>
      </c>
      <c r="I708" t="s">
        <v>763</v>
      </c>
      <c r="J708" t="s">
        <v>76</v>
      </c>
      <c r="K708">
        <v>8.3000000000000007</v>
      </c>
      <c r="L708">
        <v>1610211</v>
      </c>
      <c r="M708">
        <v>1147940</v>
      </c>
      <c r="N708">
        <v>83</v>
      </c>
      <c r="P708" t="s">
        <v>50</v>
      </c>
    </row>
    <row r="709" spans="1:16" x14ac:dyDescent="0.35">
      <c r="A709" t="s">
        <v>1577</v>
      </c>
      <c r="B709" t="s">
        <v>1578</v>
      </c>
      <c r="C709" t="s">
        <v>84</v>
      </c>
      <c r="D709" t="s">
        <v>36</v>
      </c>
      <c r="E709" t="s">
        <v>113</v>
      </c>
      <c r="F709" s="1">
        <v>42784</v>
      </c>
      <c r="G709">
        <v>2022</v>
      </c>
      <c r="H709" t="s">
        <v>114</v>
      </c>
      <c r="I709" t="s">
        <v>366</v>
      </c>
      <c r="J709" t="s">
        <v>48</v>
      </c>
      <c r="K709">
        <v>5.0999999999999996</v>
      </c>
      <c r="L709">
        <v>18521903</v>
      </c>
      <c r="M709">
        <v>1174543</v>
      </c>
      <c r="N709">
        <v>90</v>
      </c>
      <c r="O709" t="s">
        <v>41</v>
      </c>
      <c r="P709" t="s">
        <v>87</v>
      </c>
    </row>
    <row r="710" spans="1:16" x14ac:dyDescent="0.35">
      <c r="A710" t="s">
        <v>1579</v>
      </c>
      <c r="B710" t="s">
        <v>1580</v>
      </c>
      <c r="C710" t="s">
        <v>35</v>
      </c>
      <c r="D710" t="s">
        <v>36</v>
      </c>
      <c r="E710" t="s">
        <v>45</v>
      </c>
      <c r="F710" s="1">
        <v>44275</v>
      </c>
      <c r="G710">
        <v>2012</v>
      </c>
      <c r="H710" t="s">
        <v>38</v>
      </c>
      <c r="I710" t="s">
        <v>136</v>
      </c>
      <c r="J710" t="s">
        <v>153</v>
      </c>
      <c r="K710">
        <v>7.1</v>
      </c>
      <c r="L710">
        <v>18555095</v>
      </c>
      <c r="M710">
        <v>456373</v>
      </c>
      <c r="N710">
        <v>120</v>
      </c>
      <c r="P710" t="s">
        <v>32</v>
      </c>
    </row>
    <row r="711" spans="1:16" x14ac:dyDescent="0.35">
      <c r="A711" t="s">
        <v>1581</v>
      </c>
      <c r="B711" t="s">
        <v>1582</v>
      </c>
      <c r="C711" t="s">
        <v>35</v>
      </c>
      <c r="E711" t="s">
        <v>37</v>
      </c>
      <c r="F711" s="1">
        <v>44041</v>
      </c>
      <c r="G711">
        <v>2012</v>
      </c>
      <c r="H711" t="s">
        <v>21</v>
      </c>
      <c r="I711" t="s">
        <v>162</v>
      </c>
      <c r="J711" t="s">
        <v>103</v>
      </c>
      <c r="K711">
        <v>5.9</v>
      </c>
      <c r="L711">
        <v>4508939</v>
      </c>
      <c r="M711">
        <v>2863939</v>
      </c>
      <c r="N711">
        <v>56</v>
      </c>
      <c r="O711" t="s">
        <v>58</v>
      </c>
      <c r="P711" t="s">
        <v>42</v>
      </c>
    </row>
    <row r="712" spans="1:16" x14ac:dyDescent="0.35">
      <c r="A712" t="s">
        <v>1583</v>
      </c>
      <c r="B712" t="s">
        <v>1584</v>
      </c>
      <c r="C712" t="s">
        <v>53</v>
      </c>
      <c r="E712" t="s">
        <v>28</v>
      </c>
      <c r="F712" s="1">
        <v>44242</v>
      </c>
      <c r="G712">
        <v>2002</v>
      </c>
      <c r="H712" t="s">
        <v>81</v>
      </c>
      <c r="I712" t="s">
        <v>118</v>
      </c>
      <c r="J712" t="s">
        <v>153</v>
      </c>
      <c r="K712">
        <v>7.5</v>
      </c>
      <c r="L712">
        <v>11399272</v>
      </c>
      <c r="M712">
        <v>45513</v>
      </c>
      <c r="N712">
        <v>80</v>
      </c>
      <c r="O712" t="s">
        <v>31</v>
      </c>
      <c r="P712" t="s">
        <v>42</v>
      </c>
    </row>
    <row r="713" spans="1:16" x14ac:dyDescent="0.35">
      <c r="A713" t="s">
        <v>1585</v>
      </c>
      <c r="B713" t="s">
        <v>1584</v>
      </c>
      <c r="C713" t="s">
        <v>35</v>
      </c>
      <c r="D713" t="s">
        <v>156</v>
      </c>
      <c r="E713" t="s">
        <v>99</v>
      </c>
      <c r="F713" s="1">
        <v>46138</v>
      </c>
      <c r="G713">
        <v>2020</v>
      </c>
      <c r="H713" t="s">
        <v>46</v>
      </c>
      <c r="I713" t="s">
        <v>39</v>
      </c>
      <c r="J713" t="s">
        <v>48</v>
      </c>
      <c r="K713">
        <v>8.1999999999999993</v>
      </c>
      <c r="L713">
        <v>-299</v>
      </c>
      <c r="M713">
        <v>3850179</v>
      </c>
      <c r="N713">
        <v>52</v>
      </c>
      <c r="O713" t="s">
        <v>49</v>
      </c>
      <c r="P713" t="s">
        <v>42</v>
      </c>
    </row>
    <row r="714" spans="1:16" x14ac:dyDescent="0.35">
      <c r="A714" t="s">
        <v>1586</v>
      </c>
      <c r="B714" t="s">
        <v>1587</v>
      </c>
      <c r="C714" t="s">
        <v>35</v>
      </c>
      <c r="D714" t="s">
        <v>94</v>
      </c>
      <c r="E714" t="s">
        <v>99</v>
      </c>
      <c r="F714" s="1">
        <v>43064</v>
      </c>
      <c r="G714">
        <v>2020</v>
      </c>
      <c r="H714" t="s">
        <v>85</v>
      </c>
      <c r="I714" t="s">
        <v>56</v>
      </c>
      <c r="J714" t="s">
        <v>100</v>
      </c>
      <c r="K714">
        <v>7.8</v>
      </c>
      <c r="L714">
        <v>24439948</v>
      </c>
      <c r="M714">
        <v>2612482</v>
      </c>
      <c r="N714">
        <v>99</v>
      </c>
      <c r="O714" t="s">
        <v>24</v>
      </c>
      <c r="P714" t="s">
        <v>32</v>
      </c>
    </row>
    <row r="715" spans="1:16" x14ac:dyDescent="0.35">
      <c r="A715" t="s">
        <v>1588</v>
      </c>
      <c r="B715" t="s">
        <v>1589</v>
      </c>
      <c r="C715" t="s">
        <v>84</v>
      </c>
      <c r="D715" t="s">
        <v>90</v>
      </c>
      <c r="E715" t="s">
        <v>69</v>
      </c>
      <c r="F715" s="1">
        <v>43069</v>
      </c>
      <c r="G715">
        <v>2000</v>
      </c>
      <c r="H715" t="s">
        <v>21</v>
      </c>
      <c r="I715" t="s">
        <v>571</v>
      </c>
      <c r="J715" t="s">
        <v>100</v>
      </c>
      <c r="K715">
        <v>8.5</v>
      </c>
      <c r="L715">
        <v>24807100</v>
      </c>
      <c r="M715">
        <v>1241100</v>
      </c>
      <c r="N715">
        <v>90</v>
      </c>
      <c r="O715" t="s">
        <v>91</v>
      </c>
      <c r="P715" t="s">
        <v>87</v>
      </c>
    </row>
    <row r="716" spans="1:16" x14ac:dyDescent="0.35">
      <c r="A716" t="s">
        <v>1590</v>
      </c>
      <c r="B716" t="s">
        <v>1591</v>
      </c>
      <c r="C716" t="s">
        <v>84</v>
      </c>
      <c r="D716" t="s">
        <v>36</v>
      </c>
      <c r="E716" t="s">
        <v>113</v>
      </c>
      <c r="F716" s="1">
        <v>45813</v>
      </c>
      <c r="G716">
        <v>2025</v>
      </c>
      <c r="H716" t="s">
        <v>21</v>
      </c>
      <c r="I716" t="s">
        <v>323</v>
      </c>
      <c r="J716" t="s">
        <v>103</v>
      </c>
      <c r="K716">
        <v>8.5</v>
      </c>
      <c r="L716">
        <v>17235958</v>
      </c>
      <c r="M716">
        <v>1930870</v>
      </c>
      <c r="N716">
        <v>62</v>
      </c>
      <c r="O716" t="s">
        <v>104</v>
      </c>
      <c r="P716" t="s">
        <v>50</v>
      </c>
    </row>
    <row r="717" spans="1:16" x14ac:dyDescent="0.35">
      <c r="A717" t="s">
        <v>1592</v>
      </c>
      <c r="B717" t="s">
        <v>1593</v>
      </c>
      <c r="C717" t="s">
        <v>53</v>
      </c>
      <c r="D717" t="s">
        <v>68</v>
      </c>
      <c r="E717" t="s">
        <v>165</v>
      </c>
      <c r="F717" s="1">
        <v>43211</v>
      </c>
      <c r="G717">
        <v>2010</v>
      </c>
      <c r="H717" t="s">
        <v>38</v>
      </c>
      <c r="I717" t="s">
        <v>95</v>
      </c>
      <c r="J717" t="s">
        <v>72</v>
      </c>
      <c r="K717">
        <v>8.4</v>
      </c>
      <c r="L717">
        <v>7494918</v>
      </c>
      <c r="M717">
        <v>1790518</v>
      </c>
      <c r="N717">
        <v>44</v>
      </c>
      <c r="O717" t="s">
        <v>65</v>
      </c>
      <c r="P717" t="s">
        <v>87</v>
      </c>
    </row>
    <row r="718" spans="1:16" x14ac:dyDescent="0.35">
      <c r="A718" t="s">
        <v>1594</v>
      </c>
      <c r="B718" t="s">
        <v>1595</v>
      </c>
      <c r="C718" t="s">
        <v>18</v>
      </c>
      <c r="D718" t="s">
        <v>94</v>
      </c>
      <c r="E718" t="s">
        <v>28</v>
      </c>
      <c r="F718" s="1">
        <v>43847</v>
      </c>
      <c r="G718">
        <v>2024</v>
      </c>
      <c r="H718" t="s">
        <v>81</v>
      </c>
      <c r="I718" t="s">
        <v>601</v>
      </c>
      <c r="J718" t="s">
        <v>48</v>
      </c>
      <c r="K718">
        <v>6.3</v>
      </c>
      <c r="L718">
        <v>18884891</v>
      </c>
      <c r="M718">
        <v>4666514</v>
      </c>
      <c r="N718">
        <v>57</v>
      </c>
      <c r="O718" t="s">
        <v>41</v>
      </c>
      <c r="P718" t="s">
        <v>87</v>
      </c>
    </row>
    <row r="719" spans="1:16" x14ac:dyDescent="0.35">
      <c r="A719" t="s">
        <v>1596</v>
      </c>
      <c r="B719" t="s">
        <v>1597</v>
      </c>
      <c r="D719" t="s">
        <v>156</v>
      </c>
      <c r="E719" t="s">
        <v>99</v>
      </c>
      <c r="F719" s="1">
        <v>44532</v>
      </c>
      <c r="G719">
        <v>2024</v>
      </c>
      <c r="H719" t="s">
        <v>114</v>
      </c>
      <c r="I719" t="s">
        <v>71</v>
      </c>
      <c r="J719" t="s">
        <v>72</v>
      </c>
      <c r="K719">
        <v>5.0999999999999996</v>
      </c>
      <c r="L719">
        <v>20140209</v>
      </c>
      <c r="M719">
        <v>3183907</v>
      </c>
      <c r="N719">
        <v>45</v>
      </c>
      <c r="O719" t="s">
        <v>24</v>
      </c>
      <c r="P719" t="s">
        <v>87</v>
      </c>
    </row>
    <row r="720" spans="1:16" x14ac:dyDescent="0.35">
      <c r="A720" t="s">
        <v>1598</v>
      </c>
      <c r="B720" t="s">
        <v>1599</v>
      </c>
      <c r="D720" t="s">
        <v>156</v>
      </c>
      <c r="E720" t="s">
        <v>113</v>
      </c>
      <c r="F720" s="1">
        <v>44001</v>
      </c>
      <c r="G720">
        <v>2001</v>
      </c>
      <c r="H720" t="s">
        <v>121</v>
      </c>
      <c r="I720" t="s">
        <v>71</v>
      </c>
      <c r="J720" t="s">
        <v>48</v>
      </c>
      <c r="K720">
        <v>8.8000000000000007</v>
      </c>
      <c r="L720">
        <v>8240050</v>
      </c>
      <c r="M720">
        <v>1562710</v>
      </c>
      <c r="N720">
        <v>99</v>
      </c>
      <c r="O720" t="s">
        <v>123</v>
      </c>
      <c r="P720" t="s">
        <v>50</v>
      </c>
    </row>
    <row r="721" spans="1:16" x14ac:dyDescent="0.35">
      <c r="A721" t="s">
        <v>1600</v>
      </c>
      <c r="B721" t="s">
        <v>1601</v>
      </c>
      <c r="C721" t="s">
        <v>35</v>
      </c>
      <c r="D721" t="s">
        <v>61</v>
      </c>
      <c r="F721" s="1">
        <v>45154</v>
      </c>
      <c r="G721">
        <v>2004</v>
      </c>
      <c r="H721" t="s">
        <v>38</v>
      </c>
      <c r="I721" t="s">
        <v>56</v>
      </c>
      <c r="J721" t="s">
        <v>96</v>
      </c>
      <c r="K721">
        <v>9.1</v>
      </c>
      <c r="L721">
        <v>23782721</v>
      </c>
      <c r="M721">
        <v>4564789</v>
      </c>
      <c r="N721">
        <v>73</v>
      </c>
      <c r="O721" t="s">
        <v>31</v>
      </c>
    </row>
    <row r="722" spans="1:16" x14ac:dyDescent="0.35">
      <c r="A722" t="s">
        <v>1602</v>
      </c>
      <c r="B722" t="s">
        <v>1603</v>
      </c>
      <c r="D722" t="s">
        <v>68</v>
      </c>
      <c r="E722" t="s">
        <v>62</v>
      </c>
      <c r="F722" s="1">
        <v>44061</v>
      </c>
      <c r="G722">
        <v>2017</v>
      </c>
      <c r="H722" t="s">
        <v>107</v>
      </c>
      <c r="I722" t="s">
        <v>64</v>
      </c>
      <c r="J722" t="s">
        <v>30</v>
      </c>
      <c r="K722">
        <v>9.8000000000000007</v>
      </c>
      <c r="L722">
        <v>7561376</v>
      </c>
      <c r="M722">
        <v>3805571</v>
      </c>
      <c r="N722">
        <v>49</v>
      </c>
      <c r="O722" t="s">
        <v>49</v>
      </c>
    </row>
    <row r="723" spans="1:16" x14ac:dyDescent="0.35">
      <c r="A723" t="s">
        <v>1604</v>
      </c>
      <c r="B723" t="s">
        <v>1605</v>
      </c>
      <c r="C723" t="s">
        <v>79</v>
      </c>
      <c r="D723" t="s">
        <v>94</v>
      </c>
      <c r="E723" t="s">
        <v>55</v>
      </c>
      <c r="F723" s="1">
        <v>45426</v>
      </c>
      <c r="G723">
        <v>2019</v>
      </c>
      <c r="H723" t="s">
        <v>81</v>
      </c>
      <c r="I723" t="s">
        <v>1606</v>
      </c>
      <c r="K723">
        <v>8.5</v>
      </c>
      <c r="L723">
        <v>1767534</v>
      </c>
      <c r="M723">
        <v>3766005</v>
      </c>
      <c r="N723">
        <v>94</v>
      </c>
      <c r="O723" t="s">
        <v>123</v>
      </c>
      <c r="P723" t="s">
        <v>42</v>
      </c>
    </row>
    <row r="724" spans="1:16" x14ac:dyDescent="0.35">
      <c r="A724" t="s">
        <v>1607</v>
      </c>
      <c r="B724" t="s">
        <v>1608</v>
      </c>
      <c r="C724" t="s">
        <v>35</v>
      </c>
      <c r="E724" t="s">
        <v>28</v>
      </c>
      <c r="F724" s="1">
        <v>45175</v>
      </c>
      <c r="G724">
        <v>2010</v>
      </c>
      <c r="H724" t="s">
        <v>121</v>
      </c>
      <c r="I724" t="s">
        <v>162</v>
      </c>
      <c r="J724" t="s">
        <v>30</v>
      </c>
      <c r="K724">
        <v>6.7</v>
      </c>
      <c r="L724">
        <v>10759692</v>
      </c>
      <c r="M724">
        <v>4818568</v>
      </c>
      <c r="N724">
        <v>47</v>
      </c>
      <c r="O724" t="s">
        <v>104</v>
      </c>
    </row>
    <row r="725" spans="1:16" x14ac:dyDescent="0.35">
      <c r="A725" t="s">
        <v>1609</v>
      </c>
      <c r="B725" t="s">
        <v>1610</v>
      </c>
      <c r="D725" t="s">
        <v>90</v>
      </c>
      <c r="F725" s="1">
        <v>45044</v>
      </c>
      <c r="G725">
        <v>2025</v>
      </c>
      <c r="H725" t="s">
        <v>81</v>
      </c>
      <c r="I725" t="s">
        <v>64</v>
      </c>
      <c r="J725" t="s">
        <v>103</v>
      </c>
      <c r="K725">
        <v>7.9</v>
      </c>
      <c r="L725">
        <v>2552900</v>
      </c>
      <c r="M725">
        <v>3114230</v>
      </c>
      <c r="N725">
        <v>46</v>
      </c>
      <c r="O725" t="s">
        <v>104</v>
      </c>
      <c r="P725" t="s">
        <v>87</v>
      </c>
    </row>
    <row r="726" spans="1:16" x14ac:dyDescent="0.35">
      <c r="A726" t="s">
        <v>1611</v>
      </c>
      <c r="B726" t="s">
        <v>1612</v>
      </c>
      <c r="C726" t="s">
        <v>79</v>
      </c>
      <c r="D726" t="s">
        <v>68</v>
      </c>
      <c r="E726" t="s">
        <v>131</v>
      </c>
      <c r="F726" s="1">
        <v>42179</v>
      </c>
      <c r="G726">
        <v>2005</v>
      </c>
      <c r="H726" t="s">
        <v>46</v>
      </c>
      <c r="I726" t="s">
        <v>1333</v>
      </c>
      <c r="K726">
        <v>5.5</v>
      </c>
      <c r="L726">
        <v>12535454</v>
      </c>
      <c r="M726">
        <v>4584613</v>
      </c>
      <c r="N726">
        <v>70</v>
      </c>
      <c r="O726" t="s">
        <v>65</v>
      </c>
    </row>
    <row r="727" spans="1:16" x14ac:dyDescent="0.35">
      <c r="A727" t="s">
        <v>1613</v>
      </c>
      <c r="B727" t="s">
        <v>1614</v>
      </c>
      <c r="C727" t="s">
        <v>53</v>
      </c>
      <c r="D727" t="s">
        <v>19</v>
      </c>
      <c r="E727" t="s">
        <v>20</v>
      </c>
      <c r="G727">
        <v>2003</v>
      </c>
      <c r="H727" t="s">
        <v>107</v>
      </c>
      <c r="I727" t="s">
        <v>56</v>
      </c>
      <c r="J727" t="s">
        <v>96</v>
      </c>
      <c r="K727">
        <v>9.1999999999999993</v>
      </c>
      <c r="L727">
        <v>24774179</v>
      </c>
      <c r="M727">
        <v>3284151</v>
      </c>
      <c r="N727">
        <v>70</v>
      </c>
      <c r="O727" t="s">
        <v>49</v>
      </c>
      <c r="P727" t="s">
        <v>42</v>
      </c>
    </row>
    <row r="728" spans="1:16" x14ac:dyDescent="0.35">
      <c r="A728" t="s">
        <v>1615</v>
      </c>
      <c r="B728" t="s">
        <v>1616</v>
      </c>
      <c r="C728" t="s">
        <v>79</v>
      </c>
      <c r="D728" t="s">
        <v>68</v>
      </c>
      <c r="E728" t="s">
        <v>55</v>
      </c>
      <c r="F728" s="1">
        <v>42179</v>
      </c>
      <c r="G728">
        <v>2005</v>
      </c>
      <c r="H728" t="s">
        <v>121</v>
      </c>
      <c r="I728" t="s">
        <v>275</v>
      </c>
      <c r="J728" t="s">
        <v>48</v>
      </c>
      <c r="K728">
        <v>7.2</v>
      </c>
      <c r="L728">
        <v>8490152</v>
      </c>
      <c r="M728">
        <v>4119602</v>
      </c>
      <c r="N728">
        <v>84</v>
      </c>
      <c r="O728" t="s">
        <v>91</v>
      </c>
      <c r="P728" t="s">
        <v>50</v>
      </c>
    </row>
    <row r="729" spans="1:16" x14ac:dyDescent="0.35">
      <c r="A729" t="s">
        <v>1617</v>
      </c>
      <c r="B729" t="s">
        <v>1618</v>
      </c>
      <c r="D729" t="s">
        <v>36</v>
      </c>
      <c r="E729" t="s">
        <v>165</v>
      </c>
      <c r="F729" s="1">
        <v>43100</v>
      </c>
      <c r="G729">
        <v>2000</v>
      </c>
      <c r="H729" t="s">
        <v>85</v>
      </c>
      <c r="I729" t="s">
        <v>136</v>
      </c>
      <c r="J729" t="s">
        <v>76</v>
      </c>
      <c r="K729">
        <v>4.9000000000000004</v>
      </c>
      <c r="L729">
        <v>844896</v>
      </c>
      <c r="M729">
        <v>1840860</v>
      </c>
      <c r="N729">
        <v>57</v>
      </c>
      <c r="O729" t="s">
        <v>41</v>
      </c>
      <c r="P729" t="s">
        <v>87</v>
      </c>
    </row>
    <row r="730" spans="1:16" x14ac:dyDescent="0.35">
      <c r="A730" t="s">
        <v>1619</v>
      </c>
      <c r="B730" t="s">
        <v>1620</v>
      </c>
      <c r="C730" t="s">
        <v>53</v>
      </c>
      <c r="E730" t="s">
        <v>113</v>
      </c>
      <c r="F730" s="1">
        <v>45961</v>
      </c>
      <c r="G730">
        <v>2000</v>
      </c>
      <c r="H730" t="s">
        <v>81</v>
      </c>
      <c r="I730" t="s">
        <v>71</v>
      </c>
      <c r="J730" t="s">
        <v>23</v>
      </c>
      <c r="K730">
        <v>4.7</v>
      </c>
      <c r="L730">
        <v>24459712</v>
      </c>
      <c r="M730">
        <v>2002455</v>
      </c>
      <c r="N730">
        <v>53</v>
      </c>
      <c r="O730" t="s">
        <v>65</v>
      </c>
    </row>
    <row r="731" spans="1:16" x14ac:dyDescent="0.35">
      <c r="A731" t="s">
        <v>1621</v>
      </c>
      <c r="B731" t="s">
        <v>1620</v>
      </c>
      <c r="D731" t="s">
        <v>19</v>
      </c>
      <c r="E731" t="s">
        <v>80</v>
      </c>
      <c r="F731" s="1">
        <v>45616</v>
      </c>
      <c r="G731">
        <v>2013</v>
      </c>
      <c r="H731" t="s">
        <v>81</v>
      </c>
      <c r="I731" t="s">
        <v>136</v>
      </c>
      <c r="J731" t="s">
        <v>96</v>
      </c>
      <c r="K731">
        <v>6.6</v>
      </c>
      <c r="L731">
        <v>10431447</v>
      </c>
      <c r="M731">
        <v>2075487</v>
      </c>
      <c r="N731">
        <v>74</v>
      </c>
      <c r="O731" t="s">
        <v>31</v>
      </c>
      <c r="P731" t="s">
        <v>32</v>
      </c>
    </row>
    <row r="732" spans="1:16" x14ac:dyDescent="0.35">
      <c r="A732" t="s">
        <v>1622</v>
      </c>
      <c r="B732" t="s">
        <v>1623</v>
      </c>
      <c r="C732" t="s">
        <v>84</v>
      </c>
      <c r="D732" t="s">
        <v>90</v>
      </c>
      <c r="E732" t="s">
        <v>165</v>
      </c>
      <c r="F732" s="1">
        <v>44710</v>
      </c>
      <c r="G732">
        <v>2001</v>
      </c>
      <c r="H732" t="s">
        <v>114</v>
      </c>
      <c r="I732" t="s">
        <v>508</v>
      </c>
      <c r="J732" t="s">
        <v>72</v>
      </c>
      <c r="K732">
        <v>5.5</v>
      </c>
      <c r="L732">
        <v>13114035</v>
      </c>
      <c r="M732">
        <v>476035</v>
      </c>
      <c r="N732">
        <v>90</v>
      </c>
      <c r="O732" t="s">
        <v>104</v>
      </c>
      <c r="P732" t="s">
        <v>32</v>
      </c>
    </row>
    <row r="733" spans="1:16" x14ac:dyDescent="0.35">
      <c r="A733" t="s">
        <v>1624</v>
      </c>
      <c r="B733" t="s">
        <v>1625</v>
      </c>
      <c r="E733" t="s">
        <v>131</v>
      </c>
      <c r="F733" s="1">
        <v>46175</v>
      </c>
      <c r="G733">
        <v>2021</v>
      </c>
      <c r="H733" t="s">
        <v>63</v>
      </c>
      <c r="I733" t="s">
        <v>64</v>
      </c>
      <c r="J733" t="s">
        <v>153</v>
      </c>
      <c r="K733">
        <v>4.7</v>
      </c>
      <c r="L733">
        <v>23281047</v>
      </c>
      <c r="M733">
        <v>1506545</v>
      </c>
      <c r="N733">
        <v>51</v>
      </c>
      <c r="O733" t="s">
        <v>58</v>
      </c>
      <c r="P733" t="s">
        <v>32</v>
      </c>
    </row>
    <row r="734" spans="1:16" x14ac:dyDescent="0.35">
      <c r="A734" t="s">
        <v>1626</v>
      </c>
      <c r="B734" t="s">
        <v>1627</v>
      </c>
      <c r="C734" t="s">
        <v>84</v>
      </c>
      <c r="D734" t="s">
        <v>90</v>
      </c>
      <c r="E734" t="s">
        <v>131</v>
      </c>
      <c r="F734" s="1">
        <v>43063</v>
      </c>
      <c r="G734">
        <v>2022</v>
      </c>
      <c r="I734" t="s">
        <v>601</v>
      </c>
      <c r="J734" t="s">
        <v>103</v>
      </c>
      <c r="K734">
        <v>4.7</v>
      </c>
      <c r="L734">
        <v>1790622</v>
      </c>
      <c r="M734">
        <v>1251462</v>
      </c>
      <c r="N734">
        <v>64</v>
      </c>
      <c r="O734" t="s">
        <v>41</v>
      </c>
      <c r="P734" t="s">
        <v>32</v>
      </c>
    </row>
    <row r="735" spans="1:16" x14ac:dyDescent="0.35">
      <c r="A735" t="s">
        <v>1628</v>
      </c>
      <c r="B735" t="s">
        <v>1629</v>
      </c>
      <c r="C735" t="s">
        <v>18</v>
      </c>
      <c r="D735" t="s">
        <v>90</v>
      </c>
      <c r="E735" t="s">
        <v>165</v>
      </c>
      <c r="F735" s="1">
        <v>46101</v>
      </c>
      <c r="G735">
        <v>2008</v>
      </c>
      <c r="H735" t="s">
        <v>85</v>
      </c>
      <c r="I735" t="s">
        <v>47</v>
      </c>
      <c r="J735" t="s">
        <v>48</v>
      </c>
      <c r="K735">
        <v>5.8</v>
      </c>
      <c r="L735">
        <v>13934158</v>
      </c>
      <c r="M735">
        <v>4181393</v>
      </c>
      <c r="N735">
        <v>99</v>
      </c>
      <c r="O735" t="s">
        <v>65</v>
      </c>
      <c r="P735" t="s">
        <v>42</v>
      </c>
    </row>
    <row r="736" spans="1:16" x14ac:dyDescent="0.35">
      <c r="A736" t="s">
        <v>1630</v>
      </c>
      <c r="B736" t="s">
        <v>1631</v>
      </c>
      <c r="C736" t="s">
        <v>35</v>
      </c>
      <c r="D736" t="s">
        <v>156</v>
      </c>
      <c r="E736" t="s">
        <v>62</v>
      </c>
      <c r="F736" s="1">
        <v>43405</v>
      </c>
      <c r="G736">
        <v>2026</v>
      </c>
      <c r="H736" t="s">
        <v>107</v>
      </c>
      <c r="I736" t="s">
        <v>39</v>
      </c>
      <c r="J736" t="s">
        <v>23</v>
      </c>
      <c r="K736">
        <v>5.2</v>
      </c>
      <c r="L736">
        <v>12273081</v>
      </c>
      <c r="M736">
        <v>3005024</v>
      </c>
      <c r="N736">
        <v>79</v>
      </c>
      <c r="O736" t="s">
        <v>123</v>
      </c>
    </row>
    <row r="737" spans="1:16" x14ac:dyDescent="0.35">
      <c r="A737" t="s">
        <v>1632</v>
      </c>
      <c r="B737" t="s">
        <v>1633</v>
      </c>
      <c r="C737" t="s">
        <v>79</v>
      </c>
      <c r="D737" t="s">
        <v>36</v>
      </c>
      <c r="E737" t="s">
        <v>55</v>
      </c>
      <c r="G737">
        <v>2012</v>
      </c>
      <c r="H737" t="s">
        <v>114</v>
      </c>
      <c r="I737" t="s">
        <v>505</v>
      </c>
      <c r="J737" t="s">
        <v>153</v>
      </c>
      <c r="K737">
        <v>8.1999999999999993</v>
      </c>
      <c r="L737">
        <v>19597016</v>
      </c>
      <c r="M737">
        <v>4584455</v>
      </c>
      <c r="N737">
        <v>46</v>
      </c>
      <c r="O737" t="s">
        <v>49</v>
      </c>
      <c r="P737" t="s">
        <v>32</v>
      </c>
    </row>
    <row r="738" spans="1:16" x14ac:dyDescent="0.35">
      <c r="A738" t="s">
        <v>1634</v>
      </c>
      <c r="B738" t="s">
        <v>1633</v>
      </c>
      <c r="C738" t="s">
        <v>18</v>
      </c>
      <c r="E738" t="s">
        <v>20</v>
      </c>
      <c r="F738" s="1">
        <v>45133</v>
      </c>
      <c r="G738">
        <v>2011</v>
      </c>
      <c r="H738" t="s">
        <v>38</v>
      </c>
      <c r="J738" t="s">
        <v>76</v>
      </c>
      <c r="K738">
        <v>9.1999999999999993</v>
      </c>
      <c r="L738">
        <v>3551025</v>
      </c>
      <c r="M738">
        <v>3851538</v>
      </c>
      <c r="N738">
        <v>63</v>
      </c>
      <c r="P738" t="s">
        <v>50</v>
      </c>
    </row>
    <row r="739" spans="1:16" x14ac:dyDescent="0.35">
      <c r="A739" t="s">
        <v>1635</v>
      </c>
      <c r="B739" t="s">
        <v>1636</v>
      </c>
      <c r="C739" t="s">
        <v>53</v>
      </c>
      <c r="D739" t="s">
        <v>75</v>
      </c>
      <c r="E739" t="s">
        <v>113</v>
      </c>
      <c r="F739" s="1">
        <v>45724</v>
      </c>
      <c r="G739">
        <v>2004</v>
      </c>
      <c r="H739" t="s">
        <v>121</v>
      </c>
      <c r="I739" t="s">
        <v>56</v>
      </c>
      <c r="K739">
        <v>8.4</v>
      </c>
      <c r="L739">
        <v>8792607</v>
      </c>
      <c r="M739">
        <v>3015184</v>
      </c>
      <c r="N739">
        <v>95</v>
      </c>
      <c r="P739" t="s">
        <v>32</v>
      </c>
    </row>
    <row r="740" spans="1:16" x14ac:dyDescent="0.35">
      <c r="A740" t="s">
        <v>1637</v>
      </c>
      <c r="B740" t="s">
        <v>1638</v>
      </c>
      <c r="D740" t="s">
        <v>68</v>
      </c>
      <c r="E740" t="s">
        <v>62</v>
      </c>
      <c r="F740" s="1">
        <v>43317</v>
      </c>
      <c r="G740">
        <v>2004</v>
      </c>
      <c r="I740" t="s">
        <v>95</v>
      </c>
      <c r="K740">
        <v>9.3000000000000007</v>
      </c>
      <c r="L740">
        <v>17125759</v>
      </c>
      <c r="M740">
        <v>3794974</v>
      </c>
      <c r="N740">
        <v>99</v>
      </c>
      <c r="O740" t="s">
        <v>41</v>
      </c>
      <c r="P740" t="s">
        <v>42</v>
      </c>
    </row>
    <row r="741" spans="1:16" x14ac:dyDescent="0.35">
      <c r="A741" t="s">
        <v>1639</v>
      </c>
      <c r="B741" t="s">
        <v>1640</v>
      </c>
      <c r="C741" t="s">
        <v>53</v>
      </c>
      <c r="D741" t="s">
        <v>54</v>
      </c>
      <c r="E741" t="s">
        <v>131</v>
      </c>
      <c r="F741" s="1">
        <v>44754</v>
      </c>
      <c r="G741">
        <v>2019</v>
      </c>
      <c r="H741" t="s">
        <v>81</v>
      </c>
      <c r="I741" t="s">
        <v>136</v>
      </c>
      <c r="J741" t="s">
        <v>76</v>
      </c>
      <c r="K741">
        <v>6.3</v>
      </c>
      <c r="L741">
        <v>24945841</v>
      </c>
      <c r="M741">
        <v>3041699</v>
      </c>
      <c r="N741">
        <v>100</v>
      </c>
      <c r="O741" t="s">
        <v>123</v>
      </c>
      <c r="P741" t="s">
        <v>50</v>
      </c>
    </row>
    <row r="742" spans="1:16" x14ac:dyDescent="0.35">
      <c r="A742" t="s">
        <v>1641</v>
      </c>
      <c r="B742" t="s">
        <v>1642</v>
      </c>
      <c r="C742" t="s">
        <v>18</v>
      </c>
      <c r="D742" t="s">
        <v>19</v>
      </c>
      <c r="E742" t="s">
        <v>20</v>
      </c>
      <c r="F742" s="1">
        <v>43232</v>
      </c>
      <c r="G742">
        <v>2022</v>
      </c>
      <c r="H742" t="s">
        <v>21</v>
      </c>
      <c r="I742" t="s">
        <v>259</v>
      </c>
      <c r="J742" t="s">
        <v>72</v>
      </c>
      <c r="K742">
        <v>6.1</v>
      </c>
      <c r="L742">
        <v>13285445</v>
      </c>
      <c r="M742">
        <v>4081885</v>
      </c>
      <c r="N742">
        <v>76</v>
      </c>
      <c r="O742" t="s">
        <v>49</v>
      </c>
      <c r="P742" t="s">
        <v>50</v>
      </c>
    </row>
    <row r="743" spans="1:16" x14ac:dyDescent="0.35">
      <c r="A743" t="s">
        <v>1643</v>
      </c>
      <c r="B743" t="s">
        <v>1644</v>
      </c>
      <c r="C743" t="s">
        <v>35</v>
      </c>
      <c r="E743" t="s">
        <v>45</v>
      </c>
      <c r="F743" s="1">
        <v>42068</v>
      </c>
      <c r="G743">
        <v>2011</v>
      </c>
      <c r="H743" t="s">
        <v>85</v>
      </c>
      <c r="I743" t="s">
        <v>136</v>
      </c>
      <c r="J743" t="s">
        <v>76</v>
      </c>
      <c r="K743">
        <v>8.1999999999999993</v>
      </c>
      <c r="L743">
        <v>18572246</v>
      </c>
      <c r="M743">
        <v>4716830</v>
      </c>
      <c r="N743">
        <v>66</v>
      </c>
      <c r="O743" t="s">
        <v>65</v>
      </c>
      <c r="P743" t="s">
        <v>32</v>
      </c>
    </row>
    <row r="744" spans="1:16" x14ac:dyDescent="0.35">
      <c r="A744" t="s">
        <v>1645</v>
      </c>
      <c r="B744" t="s">
        <v>1646</v>
      </c>
      <c r="C744" t="s">
        <v>53</v>
      </c>
      <c r="D744" t="s">
        <v>94</v>
      </c>
      <c r="F744" s="1">
        <v>46084</v>
      </c>
      <c r="G744">
        <v>2016</v>
      </c>
      <c r="H744" t="s">
        <v>70</v>
      </c>
      <c r="I744" t="s">
        <v>64</v>
      </c>
      <c r="J744" t="s">
        <v>103</v>
      </c>
      <c r="K744">
        <v>6.3</v>
      </c>
      <c r="L744">
        <v>11158980</v>
      </c>
      <c r="M744">
        <v>4267516</v>
      </c>
      <c r="N744">
        <v>87</v>
      </c>
      <c r="O744" t="s">
        <v>65</v>
      </c>
    </row>
    <row r="745" spans="1:16" x14ac:dyDescent="0.35">
      <c r="A745" t="s">
        <v>1647</v>
      </c>
      <c r="B745" t="s">
        <v>1648</v>
      </c>
      <c r="C745" t="s">
        <v>18</v>
      </c>
      <c r="D745" t="s">
        <v>75</v>
      </c>
      <c r="E745" t="s">
        <v>62</v>
      </c>
      <c r="F745" s="1">
        <v>43940</v>
      </c>
      <c r="G745">
        <v>2016</v>
      </c>
      <c r="H745" t="s">
        <v>46</v>
      </c>
      <c r="I745" t="s">
        <v>411</v>
      </c>
      <c r="J745" t="s">
        <v>57</v>
      </c>
      <c r="K745">
        <v>6.5</v>
      </c>
      <c r="L745">
        <v>18000073</v>
      </c>
      <c r="M745">
        <v>2813846</v>
      </c>
      <c r="N745">
        <v>73</v>
      </c>
      <c r="O745" t="s">
        <v>58</v>
      </c>
      <c r="P745" t="s">
        <v>50</v>
      </c>
    </row>
    <row r="746" spans="1:16" x14ac:dyDescent="0.35">
      <c r="A746" t="s">
        <v>1649</v>
      </c>
      <c r="B746" t="s">
        <v>1650</v>
      </c>
      <c r="C746" t="s">
        <v>84</v>
      </c>
      <c r="D746" t="s">
        <v>61</v>
      </c>
      <c r="E746" t="s">
        <v>69</v>
      </c>
      <c r="F746" s="1">
        <v>44292</v>
      </c>
      <c r="G746">
        <v>2003</v>
      </c>
      <c r="H746" t="s">
        <v>85</v>
      </c>
      <c r="I746" t="s">
        <v>204</v>
      </c>
      <c r="J746" t="s">
        <v>100</v>
      </c>
      <c r="K746">
        <v>6.3</v>
      </c>
      <c r="L746">
        <v>23661439</v>
      </c>
      <c r="M746">
        <v>3861043</v>
      </c>
      <c r="N746">
        <v>75</v>
      </c>
      <c r="O746" t="s">
        <v>123</v>
      </c>
      <c r="P746" t="s">
        <v>87</v>
      </c>
    </row>
    <row r="747" spans="1:16" x14ac:dyDescent="0.35">
      <c r="A747" t="s">
        <v>1651</v>
      </c>
      <c r="B747" t="s">
        <v>1652</v>
      </c>
      <c r="C747" t="s">
        <v>18</v>
      </c>
      <c r="D747" t="s">
        <v>36</v>
      </c>
      <c r="E747" t="s">
        <v>37</v>
      </c>
      <c r="F747" s="1">
        <v>42999</v>
      </c>
      <c r="G747">
        <v>2011</v>
      </c>
      <c r="H747" t="s">
        <v>63</v>
      </c>
      <c r="I747" t="s">
        <v>508</v>
      </c>
      <c r="J747" t="s">
        <v>100</v>
      </c>
      <c r="K747">
        <v>6.1</v>
      </c>
      <c r="L747">
        <v>21968175</v>
      </c>
      <c r="M747">
        <v>2604854</v>
      </c>
      <c r="N747">
        <v>93</v>
      </c>
      <c r="O747" t="s">
        <v>65</v>
      </c>
    </row>
    <row r="748" spans="1:16" x14ac:dyDescent="0.35">
      <c r="A748" t="s">
        <v>1653</v>
      </c>
      <c r="B748" t="s">
        <v>1654</v>
      </c>
      <c r="C748" t="s">
        <v>79</v>
      </c>
      <c r="E748" t="s">
        <v>55</v>
      </c>
      <c r="F748" s="1">
        <v>43509</v>
      </c>
      <c r="G748">
        <v>2024</v>
      </c>
      <c r="H748" t="s">
        <v>85</v>
      </c>
      <c r="I748" t="s">
        <v>29</v>
      </c>
      <c r="J748" t="s">
        <v>96</v>
      </c>
      <c r="K748">
        <v>8.8000000000000007</v>
      </c>
      <c r="L748">
        <v>23417452</v>
      </c>
      <c r="M748">
        <v>2921284</v>
      </c>
      <c r="N748">
        <v>76</v>
      </c>
      <c r="O748" t="s">
        <v>123</v>
      </c>
      <c r="P748" t="s">
        <v>32</v>
      </c>
    </row>
    <row r="749" spans="1:16" x14ac:dyDescent="0.35">
      <c r="A749" t="s">
        <v>1655</v>
      </c>
      <c r="B749" t="s">
        <v>1656</v>
      </c>
      <c r="C749" t="s">
        <v>35</v>
      </c>
      <c r="D749" t="s">
        <v>156</v>
      </c>
      <c r="E749" t="s">
        <v>37</v>
      </c>
      <c r="F749" s="1">
        <v>45814</v>
      </c>
      <c r="G749">
        <v>2023</v>
      </c>
      <c r="H749" t="s">
        <v>81</v>
      </c>
      <c r="I749" t="s">
        <v>136</v>
      </c>
      <c r="J749" t="s">
        <v>57</v>
      </c>
      <c r="K749">
        <v>4.5</v>
      </c>
      <c r="L749">
        <v>9442264</v>
      </c>
      <c r="M749">
        <v>1796434</v>
      </c>
      <c r="N749">
        <v>96</v>
      </c>
      <c r="O749" t="s">
        <v>104</v>
      </c>
      <c r="P749" t="s">
        <v>50</v>
      </c>
    </row>
    <row r="750" spans="1:16" x14ac:dyDescent="0.35">
      <c r="A750" t="s">
        <v>1657</v>
      </c>
      <c r="B750" t="s">
        <v>1658</v>
      </c>
      <c r="C750" t="s">
        <v>84</v>
      </c>
      <c r="E750" t="s">
        <v>55</v>
      </c>
      <c r="F750" s="1">
        <v>43601</v>
      </c>
      <c r="G750">
        <v>2016</v>
      </c>
      <c r="H750" t="s">
        <v>121</v>
      </c>
      <c r="I750" t="s">
        <v>963</v>
      </c>
      <c r="K750">
        <v>7.9</v>
      </c>
      <c r="L750">
        <v>9642644</v>
      </c>
      <c r="M750">
        <v>976903</v>
      </c>
      <c r="N750">
        <v>91</v>
      </c>
      <c r="O750" t="s">
        <v>49</v>
      </c>
      <c r="P750" t="s">
        <v>32</v>
      </c>
    </row>
    <row r="751" spans="1:16" x14ac:dyDescent="0.35">
      <c r="A751" t="s">
        <v>1659</v>
      </c>
      <c r="B751" t="s">
        <v>1660</v>
      </c>
      <c r="C751" t="s">
        <v>84</v>
      </c>
      <c r="D751" t="s">
        <v>61</v>
      </c>
      <c r="E751" t="s">
        <v>20</v>
      </c>
      <c r="F751" s="1">
        <v>45389</v>
      </c>
      <c r="G751">
        <v>2002</v>
      </c>
      <c r="H751" t="s">
        <v>81</v>
      </c>
      <c r="I751" t="s">
        <v>249</v>
      </c>
      <c r="J751" t="s">
        <v>40</v>
      </c>
      <c r="K751">
        <v>8.3000000000000007</v>
      </c>
      <c r="L751">
        <v>2989625</v>
      </c>
      <c r="M751">
        <v>795619</v>
      </c>
      <c r="N751">
        <v>92</v>
      </c>
    </row>
    <row r="752" spans="1:16" x14ac:dyDescent="0.35">
      <c r="A752" t="s">
        <v>1661</v>
      </c>
      <c r="B752" t="s">
        <v>1662</v>
      </c>
      <c r="C752" t="s">
        <v>84</v>
      </c>
      <c r="D752" t="s">
        <v>90</v>
      </c>
      <c r="E752" t="s">
        <v>113</v>
      </c>
      <c r="F752" s="1">
        <v>43822</v>
      </c>
      <c r="G752">
        <v>2011</v>
      </c>
      <c r="H752" t="s">
        <v>107</v>
      </c>
      <c r="I752" t="s">
        <v>1452</v>
      </c>
      <c r="J752" t="s">
        <v>72</v>
      </c>
      <c r="K752">
        <v>7.5</v>
      </c>
      <c r="L752">
        <v>12696795</v>
      </c>
      <c r="M752">
        <v>4047768</v>
      </c>
      <c r="N752">
        <v>52</v>
      </c>
      <c r="O752" t="s">
        <v>65</v>
      </c>
      <c r="P752" t="s">
        <v>50</v>
      </c>
    </row>
    <row r="753" spans="1:16" x14ac:dyDescent="0.35">
      <c r="A753" t="s">
        <v>1663</v>
      </c>
      <c r="B753" t="s">
        <v>1664</v>
      </c>
      <c r="C753" t="s">
        <v>18</v>
      </c>
      <c r="D753" t="s">
        <v>90</v>
      </c>
      <c r="E753" t="s">
        <v>20</v>
      </c>
      <c r="F753" s="1">
        <v>42563</v>
      </c>
      <c r="G753">
        <v>2000</v>
      </c>
      <c r="H753" t="s">
        <v>46</v>
      </c>
      <c r="I753" t="s">
        <v>505</v>
      </c>
      <c r="J753" t="s">
        <v>133</v>
      </c>
      <c r="K753">
        <v>9.1999999999999993</v>
      </c>
      <c r="L753">
        <v>2996073</v>
      </c>
      <c r="M753">
        <v>4186552</v>
      </c>
      <c r="N753">
        <v>61</v>
      </c>
      <c r="O753" t="s">
        <v>65</v>
      </c>
      <c r="P753" t="s">
        <v>42</v>
      </c>
    </row>
    <row r="754" spans="1:16" x14ac:dyDescent="0.35">
      <c r="A754" t="s">
        <v>1665</v>
      </c>
      <c r="B754" t="s">
        <v>1666</v>
      </c>
      <c r="C754" t="s">
        <v>18</v>
      </c>
      <c r="D754" t="s">
        <v>61</v>
      </c>
      <c r="F754" s="1">
        <v>46129</v>
      </c>
      <c r="G754">
        <v>2032</v>
      </c>
      <c r="H754" t="s">
        <v>107</v>
      </c>
      <c r="I754" t="s">
        <v>204</v>
      </c>
      <c r="J754" t="s">
        <v>48</v>
      </c>
      <c r="K754">
        <v>8.1</v>
      </c>
      <c r="L754">
        <v>10922027</v>
      </c>
      <c r="M754">
        <v>364321</v>
      </c>
      <c r="N754">
        <v>57</v>
      </c>
      <c r="O754" t="s">
        <v>31</v>
      </c>
    </row>
    <row r="755" spans="1:16" x14ac:dyDescent="0.35">
      <c r="A755" t="s">
        <v>1667</v>
      </c>
      <c r="B755" t="s">
        <v>1668</v>
      </c>
      <c r="C755" t="s">
        <v>35</v>
      </c>
      <c r="D755" t="s">
        <v>156</v>
      </c>
      <c r="E755" t="s">
        <v>20</v>
      </c>
      <c r="F755" s="1">
        <v>45830</v>
      </c>
      <c r="G755">
        <v>2012</v>
      </c>
      <c r="H755" t="s">
        <v>81</v>
      </c>
      <c r="I755" t="s">
        <v>64</v>
      </c>
      <c r="K755">
        <v>7.4</v>
      </c>
      <c r="L755">
        <v>13999246</v>
      </c>
      <c r="M755">
        <v>4692039</v>
      </c>
      <c r="N755">
        <v>74</v>
      </c>
      <c r="O755" t="s">
        <v>91</v>
      </c>
      <c r="P755" t="s">
        <v>87</v>
      </c>
    </row>
    <row r="756" spans="1:16" x14ac:dyDescent="0.35">
      <c r="A756" t="s">
        <v>1669</v>
      </c>
      <c r="B756" t="s">
        <v>1670</v>
      </c>
      <c r="C756" t="s">
        <v>84</v>
      </c>
      <c r="D756" t="s">
        <v>54</v>
      </c>
      <c r="E756" t="s">
        <v>55</v>
      </c>
      <c r="F756" s="1">
        <v>45792</v>
      </c>
      <c r="G756">
        <v>2008</v>
      </c>
      <c r="H756" t="s">
        <v>85</v>
      </c>
      <c r="I756" t="s">
        <v>331</v>
      </c>
      <c r="J756" t="s">
        <v>40</v>
      </c>
      <c r="K756">
        <v>5.2</v>
      </c>
      <c r="L756">
        <v>21896319</v>
      </c>
      <c r="M756">
        <v>4574482</v>
      </c>
      <c r="N756">
        <v>48</v>
      </c>
      <c r="O756" t="s">
        <v>41</v>
      </c>
      <c r="P756" t="s">
        <v>32</v>
      </c>
    </row>
    <row r="757" spans="1:16" x14ac:dyDescent="0.35">
      <c r="A757" t="s">
        <v>1671</v>
      </c>
      <c r="B757" t="s">
        <v>1672</v>
      </c>
      <c r="C757" t="s">
        <v>18</v>
      </c>
      <c r="E757" t="s">
        <v>28</v>
      </c>
      <c r="F757" s="1">
        <v>43667</v>
      </c>
      <c r="G757">
        <v>2004</v>
      </c>
      <c r="H757" t="s">
        <v>85</v>
      </c>
      <c r="I757" t="s">
        <v>386</v>
      </c>
      <c r="J757" t="s">
        <v>30</v>
      </c>
      <c r="K757">
        <v>5.3</v>
      </c>
      <c r="L757">
        <v>20595834</v>
      </c>
      <c r="M757">
        <v>2271923</v>
      </c>
      <c r="N757">
        <v>45</v>
      </c>
      <c r="O757" t="s">
        <v>58</v>
      </c>
      <c r="P757" t="s">
        <v>42</v>
      </c>
    </row>
    <row r="758" spans="1:16" x14ac:dyDescent="0.35">
      <c r="A758" t="s">
        <v>1673</v>
      </c>
      <c r="B758" t="s">
        <v>1674</v>
      </c>
      <c r="C758" t="s">
        <v>84</v>
      </c>
      <c r="D758" t="s">
        <v>156</v>
      </c>
      <c r="E758" t="s">
        <v>55</v>
      </c>
      <c r="F758" s="1">
        <v>43943</v>
      </c>
      <c r="G758">
        <v>2012</v>
      </c>
      <c r="H758" t="s">
        <v>107</v>
      </c>
      <c r="I758" t="s">
        <v>1279</v>
      </c>
      <c r="J758" t="s">
        <v>30</v>
      </c>
      <c r="K758">
        <v>5.2</v>
      </c>
      <c r="L758">
        <v>22661972</v>
      </c>
      <c r="M758">
        <v>2929385</v>
      </c>
      <c r="N758">
        <v>51</v>
      </c>
      <c r="O758" t="s">
        <v>49</v>
      </c>
      <c r="P758" t="s">
        <v>42</v>
      </c>
    </row>
    <row r="759" spans="1:16" x14ac:dyDescent="0.35">
      <c r="A759" t="s">
        <v>1675</v>
      </c>
      <c r="B759" t="s">
        <v>1676</v>
      </c>
      <c r="C759" t="s">
        <v>84</v>
      </c>
      <c r="D759" t="s">
        <v>54</v>
      </c>
      <c r="E759" t="s">
        <v>28</v>
      </c>
      <c r="F759" s="1">
        <v>44805</v>
      </c>
      <c r="G759">
        <v>2005</v>
      </c>
      <c r="H759" t="s">
        <v>107</v>
      </c>
      <c r="I759" t="s">
        <v>132</v>
      </c>
      <c r="J759" t="s">
        <v>133</v>
      </c>
      <c r="K759">
        <v>8.1999999999999993</v>
      </c>
      <c r="L759">
        <v>22545004</v>
      </c>
      <c r="M759">
        <v>2842260</v>
      </c>
      <c r="N759">
        <v>51</v>
      </c>
      <c r="O759" t="s">
        <v>65</v>
      </c>
      <c r="P759" t="s">
        <v>42</v>
      </c>
    </row>
    <row r="760" spans="1:16" x14ac:dyDescent="0.35">
      <c r="A760" t="s">
        <v>1677</v>
      </c>
      <c r="B760" t="s">
        <v>1678</v>
      </c>
      <c r="C760" t="s">
        <v>84</v>
      </c>
      <c r="D760" t="s">
        <v>54</v>
      </c>
      <c r="E760" t="s">
        <v>62</v>
      </c>
      <c r="F760" s="1">
        <v>45647</v>
      </c>
      <c r="G760">
        <v>2009</v>
      </c>
      <c r="H760" t="s">
        <v>81</v>
      </c>
      <c r="I760" t="s">
        <v>331</v>
      </c>
      <c r="J760" t="s">
        <v>96</v>
      </c>
      <c r="K760">
        <v>7.1</v>
      </c>
      <c r="L760">
        <v>14465104</v>
      </c>
      <c r="M760">
        <v>842233</v>
      </c>
      <c r="N760">
        <v>59</v>
      </c>
      <c r="O760" t="s">
        <v>58</v>
      </c>
      <c r="P760" t="s">
        <v>87</v>
      </c>
    </row>
    <row r="761" spans="1:16" x14ac:dyDescent="0.35">
      <c r="A761" t="s">
        <v>1679</v>
      </c>
      <c r="B761" t="s">
        <v>1680</v>
      </c>
      <c r="D761" t="s">
        <v>19</v>
      </c>
      <c r="E761" t="s">
        <v>131</v>
      </c>
      <c r="F761" s="1">
        <v>43791</v>
      </c>
      <c r="G761">
        <v>2025</v>
      </c>
      <c r="H761" t="s">
        <v>81</v>
      </c>
      <c r="I761" t="s">
        <v>95</v>
      </c>
      <c r="K761">
        <v>7.4</v>
      </c>
      <c r="L761">
        <v>15787592</v>
      </c>
      <c r="M761">
        <v>4235314</v>
      </c>
      <c r="N761">
        <v>83</v>
      </c>
      <c r="O761" t="s">
        <v>41</v>
      </c>
      <c r="P761" t="s">
        <v>87</v>
      </c>
    </row>
    <row r="762" spans="1:16" x14ac:dyDescent="0.35">
      <c r="A762" t="s">
        <v>1681</v>
      </c>
      <c r="B762" t="s">
        <v>1682</v>
      </c>
      <c r="C762" t="s">
        <v>53</v>
      </c>
      <c r="D762" t="s">
        <v>156</v>
      </c>
      <c r="E762" t="s">
        <v>20</v>
      </c>
      <c r="F762" s="1">
        <v>43505</v>
      </c>
      <c r="G762">
        <v>2004</v>
      </c>
      <c r="H762" t="s">
        <v>46</v>
      </c>
      <c r="I762" t="s">
        <v>39</v>
      </c>
      <c r="J762" t="s">
        <v>103</v>
      </c>
      <c r="K762">
        <v>11.2</v>
      </c>
      <c r="L762">
        <v>21411812</v>
      </c>
      <c r="M762">
        <v>875239</v>
      </c>
      <c r="N762">
        <v>49</v>
      </c>
      <c r="O762" t="s">
        <v>49</v>
      </c>
      <c r="P762" t="s">
        <v>50</v>
      </c>
    </row>
    <row r="763" spans="1:16" x14ac:dyDescent="0.35">
      <c r="A763" t="s">
        <v>1683</v>
      </c>
      <c r="B763" t="s">
        <v>1684</v>
      </c>
      <c r="C763" t="s">
        <v>79</v>
      </c>
      <c r="D763" t="s">
        <v>36</v>
      </c>
      <c r="E763" t="s">
        <v>99</v>
      </c>
      <c r="F763" s="1">
        <v>42272</v>
      </c>
      <c r="G763">
        <v>2007</v>
      </c>
      <c r="I763" t="s">
        <v>601</v>
      </c>
      <c r="J763" t="s">
        <v>103</v>
      </c>
      <c r="K763">
        <v>6.7</v>
      </c>
      <c r="L763">
        <v>18803162</v>
      </c>
      <c r="M763">
        <v>2679091</v>
      </c>
      <c r="N763">
        <v>65</v>
      </c>
      <c r="O763" t="s">
        <v>91</v>
      </c>
    </row>
    <row r="764" spans="1:16" x14ac:dyDescent="0.35">
      <c r="A764" t="s">
        <v>1685</v>
      </c>
      <c r="B764" t="s">
        <v>1686</v>
      </c>
      <c r="C764" t="s">
        <v>53</v>
      </c>
      <c r="D764" t="s">
        <v>75</v>
      </c>
      <c r="E764" t="s">
        <v>20</v>
      </c>
      <c r="G764">
        <v>2004</v>
      </c>
      <c r="H764" t="s">
        <v>121</v>
      </c>
      <c r="I764" t="s">
        <v>71</v>
      </c>
      <c r="J764" t="s">
        <v>133</v>
      </c>
      <c r="K764">
        <v>7.6</v>
      </c>
      <c r="L764">
        <v>7503350</v>
      </c>
      <c r="M764">
        <v>3706305</v>
      </c>
      <c r="N764">
        <v>61</v>
      </c>
      <c r="O764" t="s">
        <v>24</v>
      </c>
      <c r="P764" t="s">
        <v>32</v>
      </c>
    </row>
    <row r="765" spans="1:16" x14ac:dyDescent="0.35">
      <c r="A765" t="s">
        <v>1687</v>
      </c>
      <c r="B765" t="s">
        <v>1688</v>
      </c>
      <c r="C765" t="s">
        <v>79</v>
      </c>
      <c r="D765" t="s">
        <v>90</v>
      </c>
      <c r="E765" t="s">
        <v>55</v>
      </c>
      <c r="F765" s="1">
        <v>45617</v>
      </c>
      <c r="G765">
        <v>2017</v>
      </c>
      <c r="H765" t="s">
        <v>70</v>
      </c>
      <c r="I765" t="s">
        <v>720</v>
      </c>
      <c r="J765" t="s">
        <v>103</v>
      </c>
      <c r="K765">
        <v>7.1</v>
      </c>
      <c r="L765">
        <v>11903536</v>
      </c>
      <c r="M765">
        <v>2333038</v>
      </c>
      <c r="N765">
        <v>67</v>
      </c>
      <c r="O765" t="s">
        <v>49</v>
      </c>
    </row>
    <row r="766" spans="1:16" x14ac:dyDescent="0.35">
      <c r="A766" t="s">
        <v>1689</v>
      </c>
      <c r="B766" t="s">
        <v>1690</v>
      </c>
      <c r="D766" t="s">
        <v>156</v>
      </c>
      <c r="E766" t="s">
        <v>45</v>
      </c>
      <c r="F766" s="1">
        <v>45173</v>
      </c>
      <c r="G766">
        <v>2019</v>
      </c>
      <c r="I766" t="s">
        <v>95</v>
      </c>
      <c r="J766" t="s">
        <v>76</v>
      </c>
      <c r="K766">
        <v>7.2</v>
      </c>
      <c r="L766">
        <v>423809</v>
      </c>
      <c r="M766">
        <v>1347012</v>
      </c>
      <c r="N766">
        <v>99</v>
      </c>
      <c r="O766" t="s">
        <v>24</v>
      </c>
      <c r="P766" t="s">
        <v>87</v>
      </c>
    </row>
    <row r="767" spans="1:16" x14ac:dyDescent="0.35">
      <c r="A767" t="s">
        <v>1691</v>
      </c>
      <c r="B767" t="s">
        <v>1692</v>
      </c>
      <c r="D767" t="s">
        <v>54</v>
      </c>
      <c r="E767" t="s">
        <v>28</v>
      </c>
      <c r="F767" s="1">
        <v>43204</v>
      </c>
      <c r="G767">
        <v>2015</v>
      </c>
      <c r="H767" t="s">
        <v>81</v>
      </c>
      <c r="I767" t="s">
        <v>64</v>
      </c>
      <c r="J767" t="s">
        <v>76</v>
      </c>
      <c r="K767">
        <v>4.8</v>
      </c>
      <c r="L767">
        <v>6829833</v>
      </c>
      <c r="M767">
        <v>2993755</v>
      </c>
      <c r="N767">
        <v>71</v>
      </c>
      <c r="O767" t="s">
        <v>49</v>
      </c>
      <c r="P767" t="s">
        <v>87</v>
      </c>
    </row>
    <row r="768" spans="1:16" x14ac:dyDescent="0.35">
      <c r="A768" t="s">
        <v>1693</v>
      </c>
      <c r="B768" t="s">
        <v>1692</v>
      </c>
      <c r="C768" t="s">
        <v>18</v>
      </c>
      <c r="D768" t="s">
        <v>94</v>
      </c>
      <c r="E768" t="s">
        <v>80</v>
      </c>
      <c r="F768" s="1">
        <v>43207</v>
      </c>
      <c r="G768">
        <v>2013</v>
      </c>
      <c r="I768" t="s">
        <v>199</v>
      </c>
      <c r="J768" t="s">
        <v>48</v>
      </c>
      <c r="K768">
        <v>6.8</v>
      </c>
      <c r="L768">
        <v>8196478</v>
      </c>
      <c r="M768">
        <v>3376343</v>
      </c>
      <c r="N768">
        <v>60</v>
      </c>
      <c r="O768" t="s">
        <v>31</v>
      </c>
      <c r="P768" t="s">
        <v>32</v>
      </c>
    </row>
    <row r="769" spans="1:16" x14ac:dyDescent="0.35">
      <c r="A769" t="s">
        <v>1694</v>
      </c>
      <c r="B769" t="s">
        <v>1695</v>
      </c>
      <c r="C769" t="s">
        <v>18</v>
      </c>
      <c r="D769" t="s">
        <v>36</v>
      </c>
      <c r="E769" t="s">
        <v>20</v>
      </c>
      <c r="F769" s="1">
        <v>45349</v>
      </c>
      <c r="G769">
        <v>2015</v>
      </c>
      <c r="I769" t="s">
        <v>115</v>
      </c>
      <c r="J769" t="s">
        <v>103</v>
      </c>
      <c r="K769">
        <v>8.5</v>
      </c>
      <c r="L769">
        <v>5474328</v>
      </c>
      <c r="M769">
        <v>1003054</v>
      </c>
      <c r="N769">
        <v>48</v>
      </c>
      <c r="O769" t="s">
        <v>65</v>
      </c>
    </row>
    <row r="770" spans="1:16" x14ac:dyDescent="0.35">
      <c r="A770" t="s">
        <v>1696</v>
      </c>
      <c r="B770" t="s">
        <v>1697</v>
      </c>
      <c r="C770" t="s">
        <v>84</v>
      </c>
      <c r="D770" t="s">
        <v>27</v>
      </c>
      <c r="E770" t="s">
        <v>131</v>
      </c>
      <c r="F770" s="1">
        <v>43839</v>
      </c>
      <c r="G770">
        <v>2019</v>
      </c>
      <c r="H770" t="s">
        <v>63</v>
      </c>
      <c r="I770" t="s">
        <v>47</v>
      </c>
      <c r="J770" t="s">
        <v>153</v>
      </c>
      <c r="K770">
        <v>7.9</v>
      </c>
      <c r="L770">
        <v>9127468</v>
      </c>
      <c r="M770">
        <v>1520423</v>
      </c>
      <c r="N770">
        <v>88</v>
      </c>
      <c r="O770" t="s">
        <v>49</v>
      </c>
      <c r="P770" t="s">
        <v>87</v>
      </c>
    </row>
    <row r="771" spans="1:16" x14ac:dyDescent="0.35">
      <c r="A771" t="s">
        <v>1698</v>
      </c>
      <c r="B771" t="s">
        <v>1699</v>
      </c>
      <c r="C771" t="s">
        <v>79</v>
      </c>
      <c r="D771" t="s">
        <v>75</v>
      </c>
      <c r="E771" t="s">
        <v>80</v>
      </c>
      <c r="F771" s="1">
        <v>42213</v>
      </c>
      <c r="G771">
        <v>2008</v>
      </c>
      <c r="H771" t="s">
        <v>114</v>
      </c>
      <c r="I771" t="s">
        <v>450</v>
      </c>
      <c r="J771" t="s">
        <v>40</v>
      </c>
      <c r="K771">
        <v>8</v>
      </c>
      <c r="L771">
        <v>10875396</v>
      </c>
      <c r="M771">
        <v>997598</v>
      </c>
      <c r="N771">
        <v>47</v>
      </c>
      <c r="O771" t="s">
        <v>65</v>
      </c>
    </row>
    <row r="772" spans="1:16" x14ac:dyDescent="0.35">
      <c r="A772" t="s">
        <v>1700</v>
      </c>
      <c r="B772" t="s">
        <v>1701</v>
      </c>
      <c r="C772" t="s">
        <v>53</v>
      </c>
      <c r="D772" t="s">
        <v>94</v>
      </c>
      <c r="E772" t="s">
        <v>165</v>
      </c>
      <c r="F772" s="1">
        <v>45181</v>
      </c>
      <c r="G772">
        <v>2010</v>
      </c>
      <c r="H772" t="s">
        <v>38</v>
      </c>
      <c r="I772" t="s">
        <v>136</v>
      </c>
      <c r="J772" t="s">
        <v>103</v>
      </c>
      <c r="K772">
        <v>4.5999999999999996</v>
      </c>
      <c r="L772">
        <v>7777488</v>
      </c>
      <c r="M772">
        <v>434547</v>
      </c>
      <c r="N772">
        <v>61</v>
      </c>
      <c r="P772" t="s">
        <v>32</v>
      </c>
    </row>
    <row r="773" spans="1:16" x14ac:dyDescent="0.35">
      <c r="A773" t="s">
        <v>1702</v>
      </c>
      <c r="B773" t="s">
        <v>1703</v>
      </c>
      <c r="C773" t="s">
        <v>79</v>
      </c>
      <c r="F773" s="1">
        <v>44206</v>
      </c>
      <c r="G773">
        <v>2000</v>
      </c>
      <c r="H773" t="s">
        <v>38</v>
      </c>
      <c r="I773" t="s">
        <v>594</v>
      </c>
      <c r="J773" t="s">
        <v>96</v>
      </c>
      <c r="K773">
        <v>8.6</v>
      </c>
      <c r="L773">
        <v>784388</v>
      </c>
      <c r="M773">
        <v>1225773</v>
      </c>
      <c r="N773">
        <v>91</v>
      </c>
      <c r="O773" t="s">
        <v>123</v>
      </c>
    </row>
    <row r="774" spans="1:16" x14ac:dyDescent="0.35">
      <c r="A774" t="s">
        <v>1704</v>
      </c>
      <c r="B774" t="s">
        <v>1705</v>
      </c>
      <c r="C774" t="s">
        <v>35</v>
      </c>
      <c r="D774" t="s">
        <v>54</v>
      </c>
      <c r="E774" t="s">
        <v>99</v>
      </c>
      <c r="G774">
        <v>2003</v>
      </c>
      <c r="H774" t="s">
        <v>114</v>
      </c>
      <c r="I774" t="s">
        <v>95</v>
      </c>
      <c r="J774" t="s">
        <v>57</v>
      </c>
      <c r="K774">
        <v>8.1</v>
      </c>
      <c r="L774">
        <v>5463762</v>
      </c>
      <c r="M774">
        <v>1392174</v>
      </c>
      <c r="N774">
        <v>47</v>
      </c>
      <c r="O774" t="s">
        <v>91</v>
      </c>
      <c r="P774" t="s">
        <v>42</v>
      </c>
    </row>
    <row r="775" spans="1:16" x14ac:dyDescent="0.35">
      <c r="A775" t="s">
        <v>1706</v>
      </c>
      <c r="B775" t="s">
        <v>1707</v>
      </c>
      <c r="C775" t="s">
        <v>53</v>
      </c>
      <c r="D775" t="s">
        <v>156</v>
      </c>
      <c r="E775" t="s">
        <v>62</v>
      </c>
      <c r="F775" s="1">
        <v>42649</v>
      </c>
      <c r="G775">
        <v>2002</v>
      </c>
      <c r="H775" t="s">
        <v>107</v>
      </c>
      <c r="I775" t="s">
        <v>39</v>
      </c>
      <c r="J775" t="s">
        <v>133</v>
      </c>
      <c r="K775">
        <v>6.3</v>
      </c>
      <c r="L775">
        <v>18361651</v>
      </c>
      <c r="M775">
        <v>3749713</v>
      </c>
      <c r="N775">
        <v>50</v>
      </c>
      <c r="O775" t="s">
        <v>24</v>
      </c>
    </row>
    <row r="776" spans="1:16" x14ac:dyDescent="0.35">
      <c r="A776" t="s">
        <v>1708</v>
      </c>
      <c r="B776" t="s">
        <v>1709</v>
      </c>
      <c r="C776" t="s">
        <v>53</v>
      </c>
      <c r="D776" t="s">
        <v>94</v>
      </c>
      <c r="E776" t="s">
        <v>45</v>
      </c>
      <c r="F776" s="1">
        <v>45861</v>
      </c>
      <c r="G776">
        <v>2006</v>
      </c>
      <c r="H776" t="s">
        <v>114</v>
      </c>
      <c r="I776" t="s">
        <v>95</v>
      </c>
      <c r="J776" t="s">
        <v>103</v>
      </c>
      <c r="K776">
        <v>9.6999999999999993</v>
      </c>
      <c r="L776">
        <v>4488567</v>
      </c>
      <c r="M776">
        <v>1625651</v>
      </c>
      <c r="N776">
        <v>55</v>
      </c>
      <c r="O776" t="s">
        <v>24</v>
      </c>
    </row>
    <row r="777" spans="1:16" x14ac:dyDescent="0.35">
      <c r="A777" t="s">
        <v>1710</v>
      </c>
      <c r="B777" t="s">
        <v>1711</v>
      </c>
      <c r="D777" t="s">
        <v>36</v>
      </c>
      <c r="E777" t="s">
        <v>99</v>
      </c>
      <c r="F777" s="1">
        <v>45051</v>
      </c>
      <c r="G777">
        <v>2012</v>
      </c>
      <c r="H777" t="s">
        <v>46</v>
      </c>
      <c r="I777" t="s">
        <v>56</v>
      </c>
      <c r="J777" t="s">
        <v>30</v>
      </c>
      <c r="K777">
        <v>7.5</v>
      </c>
      <c r="L777">
        <v>15576636</v>
      </c>
      <c r="M777">
        <v>3605169</v>
      </c>
      <c r="N777">
        <v>66</v>
      </c>
    </row>
    <row r="778" spans="1:16" x14ac:dyDescent="0.35">
      <c r="A778" t="s">
        <v>1712</v>
      </c>
      <c r="B778" t="s">
        <v>1713</v>
      </c>
      <c r="D778" t="s">
        <v>94</v>
      </c>
      <c r="E778" t="s">
        <v>80</v>
      </c>
      <c r="F778" s="1">
        <v>44279</v>
      </c>
      <c r="G778">
        <v>2001</v>
      </c>
      <c r="H778" t="s">
        <v>63</v>
      </c>
      <c r="I778" t="s">
        <v>95</v>
      </c>
      <c r="J778" t="s">
        <v>100</v>
      </c>
      <c r="K778">
        <v>6.1</v>
      </c>
      <c r="L778">
        <v>10839770</v>
      </c>
      <c r="M778">
        <v>4332640</v>
      </c>
      <c r="N778">
        <v>100</v>
      </c>
      <c r="O778" t="s">
        <v>41</v>
      </c>
      <c r="P778" t="s">
        <v>42</v>
      </c>
    </row>
    <row r="779" spans="1:16" x14ac:dyDescent="0.35">
      <c r="A779" t="s">
        <v>1714</v>
      </c>
      <c r="B779" t="s">
        <v>1713</v>
      </c>
      <c r="C779" t="s">
        <v>18</v>
      </c>
      <c r="E779" t="s">
        <v>55</v>
      </c>
      <c r="F779" s="1">
        <v>43253</v>
      </c>
      <c r="G779">
        <v>2011</v>
      </c>
      <c r="H779" t="s">
        <v>46</v>
      </c>
      <c r="I779" t="s">
        <v>656</v>
      </c>
      <c r="J779" t="s">
        <v>57</v>
      </c>
      <c r="K779">
        <v>9.5</v>
      </c>
      <c r="L779">
        <v>13871171</v>
      </c>
      <c r="M779">
        <v>3084984</v>
      </c>
      <c r="N779">
        <v>99</v>
      </c>
      <c r="O779" t="s">
        <v>123</v>
      </c>
      <c r="P779" t="s">
        <v>87</v>
      </c>
    </row>
    <row r="780" spans="1:16" x14ac:dyDescent="0.35">
      <c r="A780" t="s">
        <v>1715</v>
      </c>
      <c r="B780" t="s">
        <v>1716</v>
      </c>
      <c r="C780" t="s">
        <v>35</v>
      </c>
      <c r="D780" t="s">
        <v>90</v>
      </c>
      <c r="E780" t="s">
        <v>28</v>
      </c>
      <c r="F780" s="1">
        <v>44514</v>
      </c>
      <c r="G780">
        <v>2016</v>
      </c>
      <c r="H780" t="s">
        <v>21</v>
      </c>
      <c r="I780" t="s">
        <v>64</v>
      </c>
      <c r="J780" t="s">
        <v>133</v>
      </c>
      <c r="K780">
        <v>8.6999999999999993</v>
      </c>
      <c r="L780">
        <v>21767043</v>
      </c>
      <c r="M780">
        <v>2461510</v>
      </c>
      <c r="N780">
        <v>71</v>
      </c>
      <c r="O780" t="s">
        <v>65</v>
      </c>
      <c r="P780" t="s">
        <v>87</v>
      </c>
    </row>
    <row r="781" spans="1:16" x14ac:dyDescent="0.35">
      <c r="A781" t="s">
        <v>1717</v>
      </c>
      <c r="B781" t="s">
        <v>1718</v>
      </c>
      <c r="C781" t="s">
        <v>79</v>
      </c>
      <c r="D781" t="s">
        <v>27</v>
      </c>
      <c r="E781" t="s">
        <v>37</v>
      </c>
      <c r="F781" s="1">
        <v>46182</v>
      </c>
      <c r="G781">
        <v>2010</v>
      </c>
      <c r="H781" t="s">
        <v>38</v>
      </c>
      <c r="I781" t="s">
        <v>211</v>
      </c>
      <c r="J781" t="s">
        <v>48</v>
      </c>
      <c r="K781">
        <v>7.8</v>
      </c>
      <c r="L781">
        <v>22196241</v>
      </c>
      <c r="M781">
        <v>268759</v>
      </c>
      <c r="N781">
        <v>86</v>
      </c>
      <c r="P781" t="s">
        <v>42</v>
      </c>
    </row>
    <row r="782" spans="1:16" x14ac:dyDescent="0.35">
      <c r="A782" t="s">
        <v>1719</v>
      </c>
      <c r="B782" t="s">
        <v>1720</v>
      </c>
      <c r="C782" t="s">
        <v>53</v>
      </c>
      <c r="D782" t="s">
        <v>75</v>
      </c>
      <c r="E782" t="s">
        <v>20</v>
      </c>
      <c r="F782" s="1">
        <v>45809</v>
      </c>
      <c r="G782">
        <v>2015</v>
      </c>
      <c r="H782" t="s">
        <v>81</v>
      </c>
      <c r="I782" t="s">
        <v>64</v>
      </c>
      <c r="J782" t="s">
        <v>30</v>
      </c>
      <c r="K782">
        <v>8.5</v>
      </c>
      <c r="L782">
        <v>3456354</v>
      </c>
      <c r="M782">
        <v>1760669</v>
      </c>
      <c r="N782">
        <v>71</v>
      </c>
      <c r="O782" t="s">
        <v>123</v>
      </c>
      <c r="P782" t="s">
        <v>87</v>
      </c>
    </row>
    <row r="783" spans="1:16" x14ac:dyDescent="0.35">
      <c r="A783" t="s">
        <v>1721</v>
      </c>
      <c r="B783" t="s">
        <v>1722</v>
      </c>
      <c r="C783" t="s">
        <v>53</v>
      </c>
      <c r="E783" t="s">
        <v>62</v>
      </c>
      <c r="F783" s="1">
        <v>43028</v>
      </c>
      <c r="G783">
        <v>2011</v>
      </c>
      <c r="H783" t="s">
        <v>107</v>
      </c>
      <c r="I783" t="s">
        <v>71</v>
      </c>
      <c r="J783" t="s">
        <v>23</v>
      </c>
      <c r="K783">
        <v>6.5</v>
      </c>
      <c r="L783">
        <v>9828743</v>
      </c>
      <c r="M783">
        <v>4174827</v>
      </c>
      <c r="N783">
        <v>49</v>
      </c>
    </row>
    <row r="784" spans="1:16" x14ac:dyDescent="0.35">
      <c r="A784" t="s">
        <v>1723</v>
      </c>
      <c r="B784" t="s">
        <v>1724</v>
      </c>
      <c r="C784" t="s">
        <v>79</v>
      </c>
      <c r="D784" t="s">
        <v>36</v>
      </c>
      <c r="E784" t="s">
        <v>99</v>
      </c>
      <c r="F784" s="1">
        <v>43352</v>
      </c>
      <c r="G784">
        <v>2017</v>
      </c>
      <c r="H784" t="s">
        <v>46</v>
      </c>
      <c r="I784" t="s">
        <v>132</v>
      </c>
      <c r="J784" t="s">
        <v>23</v>
      </c>
      <c r="K784">
        <v>8.3000000000000007</v>
      </c>
      <c r="L784">
        <v>7775830</v>
      </c>
      <c r="M784">
        <v>3162788</v>
      </c>
      <c r="N784">
        <v>94</v>
      </c>
      <c r="O784" t="s">
        <v>123</v>
      </c>
      <c r="P784" t="s">
        <v>87</v>
      </c>
    </row>
    <row r="785" spans="1:16" x14ac:dyDescent="0.35">
      <c r="A785" t="s">
        <v>1725</v>
      </c>
      <c r="B785" t="s">
        <v>1726</v>
      </c>
      <c r="C785" t="s">
        <v>18</v>
      </c>
      <c r="F785" s="1">
        <v>42027</v>
      </c>
      <c r="G785">
        <v>2019</v>
      </c>
      <c r="H785" t="s">
        <v>121</v>
      </c>
      <c r="I785" t="s">
        <v>254</v>
      </c>
      <c r="J785" t="s">
        <v>48</v>
      </c>
      <c r="K785">
        <v>5.7</v>
      </c>
      <c r="L785">
        <v>14562402</v>
      </c>
      <c r="M785">
        <v>1818568</v>
      </c>
      <c r="N785">
        <v>88</v>
      </c>
      <c r="O785" t="s">
        <v>24</v>
      </c>
      <c r="P785" t="s">
        <v>87</v>
      </c>
    </row>
    <row r="786" spans="1:16" x14ac:dyDescent="0.35">
      <c r="A786" t="s">
        <v>1727</v>
      </c>
      <c r="B786" t="s">
        <v>1728</v>
      </c>
      <c r="C786" t="s">
        <v>53</v>
      </c>
      <c r="D786" t="s">
        <v>36</v>
      </c>
      <c r="E786" t="s">
        <v>28</v>
      </c>
      <c r="F786" s="1">
        <v>43098</v>
      </c>
      <c r="G786">
        <v>2020</v>
      </c>
      <c r="H786" t="s">
        <v>114</v>
      </c>
      <c r="I786" t="s">
        <v>95</v>
      </c>
      <c r="K786">
        <v>11.2</v>
      </c>
      <c r="L786">
        <v>11385066</v>
      </c>
      <c r="M786">
        <v>1277759</v>
      </c>
      <c r="N786">
        <v>68</v>
      </c>
      <c r="O786" t="s">
        <v>65</v>
      </c>
    </row>
    <row r="787" spans="1:16" x14ac:dyDescent="0.35">
      <c r="A787" t="s">
        <v>1729</v>
      </c>
      <c r="B787" t="s">
        <v>1730</v>
      </c>
      <c r="C787" t="s">
        <v>18</v>
      </c>
      <c r="D787" t="s">
        <v>90</v>
      </c>
      <c r="E787" t="s">
        <v>55</v>
      </c>
      <c r="F787" s="1">
        <v>44433</v>
      </c>
      <c r="G787">
        <v>2012</v>
      </c>
      <c r="H787" t="s">
        <v>81</v>
      </c>
      <c r="I787" t="s">
        <v>150</v>
      </c>
      <c r="J787" t="s">
        <v>100</v>
      </c>
      <c r="K787">
        <v>9.3000000000000007</v>
      </c>
      <c r="L787">
        <v>10077445</v>
      </c>
      <c r="M787">
        <v>3182608</v>
      </c>
      <c r="N787">
        <v>59</v>
      </c>
      <c r="O787" t="s">
        <v>41</v>
      </c>
      <c r="P787" t="s">
        <v>50</v>
      </c>
    </row>
    <row r="788" spans="1:16" x14ac:dyDescent="0.35">
      <c r="A788" t="s">
        <v>1731</v>
      </c>
      <c r="B788" t="s">
        <v>1732</v>
      </c>
      <c r="C788" t="s">
        <v>18</v>
      </c>
      <c r="D788" t="s">
        <v>19</v>
      </c>
      <c r="F788" s="1">
        <v>43770</v>
      </c>
      <c r="G788">
        <v>2004</v>
      </c>
      <c r="H788" t="s">
        <v>85</v>
      </c>
      <c r="I788" t="s">
        <v>397</v>
      </c>
      <c r="J788" t="s">
        <v>72</v>
      </c>
      <c r="K788">
        <v>8.3000000000000007</v>
      </c>
      <c r="L788">
        <v>21786897</v>
      </c>
      <c r="M788">
        <v>1268001</v>
      </c>
      <c r="N788">
        <v>51</v>
      </c>
      <c r="O788" t="s">
        <v>24</v>
      </c>
      <c r="P788" t="s">
        <v>32</v>
      </c>
    </row>
    <row r="789" spans="1:16" x14ac:dyDescent="0.35">
      <c r="A789" t="s">
        <v>1733</v>
      </c>
      <c r="B789" t="s">
        <v>1734</v>
      </c>
      <c r="C789" t="s">
        <v>84</v>
      </c>
      <c r="D789" t="s">
        <v>68</v>
      </c>
      <c r="E789" t="s">
        <v>20</v>
      </c>
      <c r="F789" s="1">
        <v>44430</v>
      </c>
      <c r="G789">
        <v>2016</v>
      </c>
      <c r="H789" t="s">
        <v>63</v>
      </c>
      <c r="I789" t="s">
        <v>1398</v>
      </c>
      <c r="J789" t="s">
        <v>153</v>
      </c>
      <c r="K789">
        <v>9.4</v>
      </c>
      <c r="L789">
        <v>-357</v>
      </c>
      <c r="M789">
        <v>2337287</v>
      </c>
      <c r="N789">
        <v>85</v>
      </c>
      <c r="O789" t="s">
        <v>58</v>
      </c>
      <c r="P789" t="s">
        <v>42</v>
      </c>
    </row>
    <row r="790" spans="1:16" x14ac:dyDescent="0.35">
      <c r="A790" t="s">
        <v>1735</v>
      </c>
      <c r="B790" t="s">
        <v>1736</v>
      </c>
      <c r="C790" t="s">
        <v>18</v>
      </c>
      <c r="D790" t="s">
        <v>36</v>
      </c>
      <c r="E790" t="s">
        <v>28</v>
      </c>
      <c r="F790" s="1">
        <v>42772</v>
      </c>
      <c r="G790">
        <v>2021</v>
      </c>
      <c r="H790" t="s">
        <v>21</v>
      </c>
      <c r="I790" t="s">
        <v>601</v>
      </c>
      <c r="K790">
        <v>7.9</v>
      </c>
      <c r="L790">
        <v>7635064</v>
      </c>
      <c r="M790">
        <v>4957603</v>
      </c>
      <c r="N790">
        <v>65</v>
      </c>
      <c r="O790" t="s">
        <v>123</v>
      </c>
    </row>
    <row r="791" spans="1:16" x14ac:dyDescent="0.35">
      <c r="A791" t="s">
        <v>1737</v>
      </c>
      <c r="B791" t="s">
        <v>1738</v>
      </c>
      <c r="C791" t="s">
        <v>18</v>
      </c>
      <c r="D791" t="s">
        <v>94</v>
      </c>
      <c r="E791" t="s">
        <v>113</v>
      </c>
      <c r="F791" s="1">
        <v>42215</v>
      </c>
      <c r="G791">
        <v>2023</v>
      </c>
      <c r="I791" t="s">
        <v>236</v>
      </c>
      <c r="J791" t="s">
        <v>23</v>
      </c>
      <c r="K791">
        <v>6.7</v>
      </c>
      <c r="L791">
        <v>11243709</v>
      </c>
      <c r="M791">
        <v>1329549</v>
      </c>
      <c r="N791">
        <v>96</v>
      </c>
      <c r="O791" t="s">
        <v>31</v>
      </c>
      <c r="P791" t="s">
        <v>87</v>
      </c>
    </row>
    <row r="792" spans="1:16" x14ac:dyDescent="0.35">
      <c r="A792" t="s">
        <v>1739</v>
      </c>
      <c r="B792" t="s">
        <v>1740</v>
      </c>
      <c r="C792" t="s">
        <v>18</v>
      </c>
      <c r="E792" t="s">
        <v>80</v>
      </c>
      <c r="F792" s="1">
        <v>43246</v>
      </c>
      <c r="G792">
        <v>2021</v>
      </c>
      <c r="H792" t="s">
        <v>114</v>
      </c>
      <c r="I792" t="s">
        <v>601</v>
      </c>
      <c r="J792" t="s">
        <v>40</v>
      </c>
      <c r="K792">
        <v>6.3</v>
      </c>
      <c r="L792">
        <v>18487246</v>
      </c>
      <c r="M792">
        <v>3524037</v>
      </c>
      <c r="N792">
        <v>80</v>
      </c>
      <c r="O792" t="s">
        <v>104</v>
      </c>
      <c r="P792" t="s">
        <v>42</v>
      </c>
    </row>
    <row r="793" spans="1:16" x14ac:dyDescent="0.35">
      <c r="A793" t="s">
        <v>1741</v>
      </c>
      <c r="B793" t="s">
        <v>1742</v>
      </c>
      <c r="C793" t="s">
        <v>84</v>
      </c>
      <c r="E793" t="s">
        <v>55</v>
      </c>
      <c r="F793" s="1">
        <v>42571</v>
      </c>
      <c r="G793">
        <v>2016</v>
      </c>
      <c r="H793" t="s">
        <v>114</v>
      </c>
      <c r="I793" t="s">
        <v>397</v>
      </c>
      <c r="J793" t="s">
        <v>103</v>
      </c>
      <c r="K793">
        <v>5.5</v>
      </c>
      <c r="L793">
        <v>11918261</v>
      </c>
      <c r="M793">
        <v>1026558</v>
      </c>
      <c r="N793">
        <v>61</v>
      </c>
      <c r="O793" t="s">
        <v>49</v>
      </c>
      <c r="P793" t="s">
        <v>50</v>
      </c>
    </row>
    <row r="794" spans="1:16" x14ac:dyDescent="0.35">
      <c r="A794" t="s">
        <v>1743</v>
      </c>
      <c r="B794" t="s">
        <v>1744</v>
      </c>
      <c r="C794" t="s">
        <v>84</v>
      </c>
      <c r="D794" t="s">
        <v>61</v>
      </c>
      <c r="E794" t="s">
        <v>45</v>
      </c>
      <c r="F794" s="1">
        <v>42120</v>
      </c>
      <c r="G794">
        <v>2017</v>
      </c>
      <c r="H794" t="s">
        <v>21</v>
      </c>
      <c r="I794" t="s">
        <v>1333</v>
      </c>
      <c r="J794" t="s">
        <v>23</v>
      </c>
      <c r="K794">
        <v>6.7</v>
      </c>
      <c r="L794">
        <v>1917807</v>
      </c>
      <c r="M794">
        <v>4162483</v>
      </c>
      <c r="N794">
        <v>80</v>
      </c>
      <c r="O794" t="s">
        <v>65</v>
      </c>
    </row>
    <row r="795" spans="1:16" x14ac:dyDescent="0.35">
      <c r="A795" t="s">
        <v>1745</v>
      </c>
      <c r="B795" t="s">
        <v>1746</v>
      </c>
      <c r="C795" t="s">
        <v>18</v>
      </c>
      <c r="D795" t="s">
        <v>90</v>
      </c>
      <c r="E795" t="s">
        <v>131</v>
      </c>
      <c r="F795" s="1">
        <v>43852</v>
      </c>
      <c r="G795">
        <v>2015</v>
      </c>
      <c r="H795" t="s">
        <v>114</v>
      </c>
      <c r="I795" t="s">
        <v>331</v>
      </c>
      <c r="K795">
        <v>4.5999999999999996</v>
      </c>
      <c r="L795">
        <v>6676729</v>
      </c>
      <c r="M795">
        <v>3881275</v>
      </c>
      <c r="N795">
        <v>77</v>
      </c>
      <c r="O795" t="s">
        <v>31</v>
      </c>
      <c r="P795" t="s">
        <v>32</v>
      </c>
    </row>
    <row r="796" spans="1:16" x14ac:dyDescent="0.35">
      <c r="A796" t="s">
        <v>1747</v>
      </c>
      <c r="B796" t="s">
        <v>1748</v>
      </c>
      <c r="D796" t="s">
        <v>94</v>
      </c>
      <c r="E796" t="s">
        <v>45</v>
      </c>
      <c r="F796" s="1">
        <v>43279</v>
      </c>
      <c r="G796">
        <v>2011</v>
      </c>
      <c r="H796" t="s">
        <v>85</v>
      </c>
      <c r="I796" t="s">
        <v>71</v>
      </c>
      <c r="J796" t="s">
        <v>96</v>
      </c>
      <c r="K796">
        <v>5.7</v>
      </c>
      <c r="L796">
        <v>7323288</v>
      </c>
      <c r="M796">
        <v>3118990</v>
      </c>
      <c r="N796">
        <v>43</v>
      </c>
      <c r="O796" t="s">
        <v>31</v>
      </c>
      <c r="P796" t="s">
        <v>32</v>
      </c>
    </row>
    <row r="797" spans="1:16" x14ac:dyDescent="0.35">
      <c r="A797" t="s">
        <v>1749</v>
      </c>
      <c r="B797" t="s">
        <v>1750</v>
      </c>
      <c r="C797" t="s">
        <v>79</v>
      </c>
      <c r="D797" t="s">
        <v>19</v>
      </c>
      <c r="E797" t="s">
        <v>99</v>
      </c>
      <c r="F797" s="1">
        <v>43427</v>
      </c>
      <c r="G797">
        <v>2032</v>
      </c>
      <c r="H797" t="s">
        <v>81</v>
      </c>
      <c r="I797" t="s">
        <v>1751</v>
      </c>
      <c r="J797" t="s">
        <v>23</v>
      </c>
      <c r="K797">
        <v>5.0999999999999996</v>
      </c>
      <c r="L797">
        <v>2559552</v>
      </c>
      <c r="M797">
        <v>4696197</v>
      </c>
      <c r="N797">
        <v>76</v>
      </c>
      <c r="O797" t="s">
        <v>49</v>
      </c>
    </row>
    <row r="798" spans="1:16" x14ac:dyDescent="0.35">
      <c r="A798" t="s">
        <v>1752</v>
      </c>
      <c r="B798" t="s">
        <v>1753</v>
      </c>
      <c r="D798" t="s">
        <v>27</v>
      </c>
      <c r="E798" t="s">
        <v>113</v>
      </c>
      <c r="F798" s="1">
        <v>44450</v>
      </c>
      <c r="G798">
        <v>2010</v>
      </c>
      <c r="H798" t="s">
        <v>70</v>
      </c>
      <c r="I798" t="s">
        <v>95</v>
      </c>
      <c r="K798">
        <v>7.9</v>
      </c>
      <c r="L798">
        <v>15912458</v>
      </c>
      <c r="M798">
        <v>1486301</v>
      </c>
      <c r="N798">
        <v>74</v>
      </c>
      <c r="O798" t="s">
        <v>41</v>
      </c>
      <c r="P798" t="s">
        <v>87</v>
      </c>
    </row>
    <row r="799" spans="1:16" x14ac:dyDescent="0.35">
      <c r="A799" t="s">
        <v>1754</v>
      </c>
      <c r="B799" t="s">
        <v>1755</v>
      </c>
      <c r="C799" t="s">
        <v>35</v>
      </c>
      <c r="D799" t="s">
        <v>19</v>
      </c>
      <c r="E799" t="s">
        <v>62</v>
      </c>
      <c r="F799" s="1">
        <v>46044</v>
      </c>
      <c r="G799">
        <v>2016</v>
      </c>
      <c r="H799" t="s">
        <v>121</v>
      </c>
      <c r="I799" t="s">
        <v>39</v>
      </c>
      <c r="J799" t="s">
        <v>40</v>
      </c>
      <c r="K799">
        <v>8</v>
      </c>
      <c r="L799">
        <v>1141020</v>
      </c>
      <c r="M799">
        <v>1419617</v>
      </c>
      <c r="N799">
        <v>76</v>
      </c>
      <c r="O799" t="s">
        <v>123</v>
      </c>
      <c r="P799" t="s">
        <v>42</v>
      </c>
    </row>
    <row r="800" spans="1:16" x14ac:dyDescent="0.35">
      <c r="A800" t="s">
        <v>1756</v>
      </c>
      <c r="B800" t="s">
        <v>1757</v>
      </c>
      <c r="C800" t="s">
        <v>35</v>
      </c>
      <c r="D800" t="s">
        <v>61</v>
      </c>
      <c r="E800" t="s">
        <v>62</v>
      </c>
      <c r="F800" s="1">
        <v>43374</v>
      </c>
      <c r="G800">
        <v>2008</v>
      </c>
      <c r="H800" t="s">
        <v>121</v>
      </c>
      <c r="I800" t="s">
        <v>162</v>
      </c>
      <c r="K800">
        <v>6.8</v>
      </c>
      <c r="L800">
        <v>2174152</v>
      </c>
      <c r="M800">
        <v>224134</v>
      </c>
      <c r="N800">
        <v>70</v>
      </c>
      <c r="O800" t="s">
        <v>31</v>
      </c>
      <c r="P800" t="s">
        <v>50</v>
      </c>
    </row>
    <row r="801" spans="1:16" x14ac:dyDescent="0.35">
      <c r="A801" t="s">
        <v>1758</v>
      </c>
      <c r="B801" t="s">
        <v>1759</v>
      </c>
      <c r="C801" t="s">
        <v>84</v>
      </c>
      <c r="D801" t="s">
        <v>61</v>
      </c>
      <c r="E801" t="s">
        <v>80</v>
      </c>
      <c r="F801" s="1">
        <v>42163</v>
      </c>
      <c r="G801">
        <v>2008</v>
      </c>
      <c r="H801" t="s">
        <v>38</v>
      </c>
      <c r="I801" t="s">
        <v>1065</v>
      </c>
      <c r="J801" t="s">
        <v>153</v>
      </c>
      <c r="K801">
        <v>6.3</v>
      </c>
      <c r="L801">
        <v>17991357</v>
      </c>
      <c r="M801">
        <v>4827131</v>
      </c>
      <c r="N801">
        <v>78</v>
      </c>
      <c r="O801" t="s">
        <v>123</v>
      </c>
      <c r="P801" t="s">
        <v>42</v>
      </c>
    </row>
    <row r="802" spans="1:16" x14ac:dyDescent="0.35">
      <c r="A802" t="s">
        <v>1760</v>
      </c>
      <c r="B802" t="s">
        <v>1759</v>
      </c>
      <c r="C802" t="s">
        <v>35</v>
      </c>
      <c r="D802" t="s">
        <v>75</v>
      </c>
      <c r="E802" t="s">
        <v>99</v>
      </c>
      <c r="F802" s="1">
        <v>45890</v>
      </c>
      <c r="G802">
        <v>2009</v>
      </c>
      <c r="H802" t="s">
        <v>81</v>
      </c>
      <c r="I802" t="s">
        <v>64</v>
      </c>
      <c r="J802" t="s">
        <v>100</v>
      </c>
      <c r="K802">
        <v>4.9000000000000004</v>
      </c>
      <c r="L802">
        <v>398506</v>
      </c>
      <c r="M802">
        <v>556960</v>
      </c>
      <c r="N802">
        <v>68</v>
      </c>
      <c r="P802" t="s">
        <v>87</v>
      </c>
    </row>
    <row r="803" spans="1:16" x14ac:dyDescent="0.35">
      <c r="A803" t="s">
        <v>1761</v>
      </c>
      <c r="B803" t="s">
        <v>1762</v>
      </c>
      <c r="C803" t="s">
        <v>84</v>
      </c>
      <c r="D803" t="s">
        <v>54</v>
      </c>
      <c r="E803" t="s">
        <v>62</v>
      </c>
      <c r="F803" s="1">
        <v>43073</v>
      </c>
      <c r="G803">
        <v>2010</v>
      </c>
      <c r="H803" t="s">
        <v>21</v>
      </c>
      <c r="I803" t="s">
        <v>763</v>
      </c>
      <c r="J803" t="s">
        <v>96</v>
      </c>
      <c r="K803">
        <v>9.1999999999999993</v>
      </c>
      <c r="L803">
        <v>15692567</v>
      </c>
      <c r="M803">
        <v>3972908</v>
      </c>
      <c r="N803">
        <v>43</v>
      </c>
      <c r="O803" t="s">
        <v>123</v>
      </c>
      <c r="P803" t="s">
        <v>50</v>
      </c>
    </row>
    <row r="804" spans="1:16" x14ac:dyDescent="0.35">
      <c r="A804" t="s">
        <v>1763</v>
      </c>
      <c r="B804" t="s">
        <v>1764</v>
      </c>
      <c r="E804" t="s">
        <v>165</v>
      </c>
      <c r="F804" s="1">
        <v>42944</v>
      </c>
      <c r="G804">
        <v>2021</v>
      </c>
      <c r="H804" t="s">
        <v>81</v>
      </c>
      <c r="I804" t="s">
        <v>162</v>
      </c>
      <c r="J804" t="s">
        <v>100</v>
      </c>
      <c r="K804">
        <v>8.4</v>
      </c>
      <c r="L804">
        <v>7158965</v>
      </c>
      <c r="M804">
        <v>858431</v>
      </c>
      <c r="N804">
        <v>120</v>
      </c>
      <c r="O804" t="s">
        <v>91</v>
      </c>
      <c r="P804" t="s">
        <v>87</v>
      </c>
    </row>
    <row r="805" spans="1:16" x14ac:dyDescent="0.35">
      <c r="A805" t="s">
        <v>1765</v>
      </c>
      <c r="B805" t="s">
        <v>1766</v>
      </c>
      <c r="C805" t="s">
        <v>18</v>
      </c>
      <c r="D805" t="s">
        <v>19</v>
      </c>
      <c r="E805" t="s">
        <v>62</v>
      </c>
      <c r="F805" s="1">
        <v>46052</v>
      </c>
      <c r="G805">
        <v>2008</v>
      </c>
      <c r="H805" t="s">
        <v>121</v>
      </c>
      <c r="I805" t="s">
        <v>231</v>
      </c>
      <c r="J805" t="s">
        <v>57</v>
      </c>
      <c r="K805">
        <v>8.1999999999999993</v>
      </c>
      <c r="L805">
        <v>19696711</v>
      </c>
      <c r="M805">
        <v>2311360</v>
      </c>
      <c r="N805">
        <v>84</v>
      </c>
      <c r="O805" t="s">
        <v>123</v>
      </c>
      <c r="P805" t="s">
        <v>87</v>
      </c>
    </row>
    <row r="806" spans="1:16" x14ac:dyDescent="0.35">
      <c r="A806" t="s">
        <v>1767</v>
      </c>
      <c r="B806" t="s">
        <v>1768</v>
      </c>
      <c r="D806" t="s">
        <v>156</v>
      </c>
      <c r="E806" t="s">
        <v>80</v>
      </c>
      <c r="F806" s="1">
        <v>45852</v>
      </c>
      <c r="G806">
        <v>2025</v>
      </c>
      <c r="H806" t="s">
        <v>70</v>
      </c>
      <c r="I806" t="s">
        <v>118</v>
      </c>
      <c r="J806" t="s">
        <v>153</v>
      </c>
      <c r="K806">
        <v>8.4</v>
      </c>
      <c r="L806">
        <v>13785772</v>
      </c>
      <c r="M806">
        <v>2244505</v>
      </c>
      <c r="N806">
        <v>94</v>
      </c>
      <c r="O806" t="s">
        <v>65</v>
      </c>
    </row>
    <row r="807" spans="1:16" x14ac:dyDescent="0.35">
      <c r="A807" t="s">
        <v>1769</v>
      </c>
      <c r="B807" t="s">
        <v>1770</v>
      </c>
      <c r="C807" t="s">
        <v>53</v>
      </c>
      <c r="D807" t="s">
        <v>90</v>
      </c>
      <c r="E807" t="s">
        <v>69</v>
      </c>
      <c r="F807" s="1">
        <v>44601</v>
      </c>
      <c r="G807">
        <v>2010</v>
      </c>
      <c r="H807" t="s">
        <v>63</v>
      </c>
      <c r="I807" t="s">
        <v>71</v>
      </c>
      <c r="J807" t="s">
        <v>96</v>
      </c>
      <c r="K807">
        <v>7.3</v>
      </c>
      <c r="L807">
        <v>17733177</v>
      </c>
      <c r="M807">
        <v>2691968</v>
      </c>
      <c r="N807">
        <v>41</v>
      </c>
      <c r="O807" t="s">
        <v>123</v>
      </c>
      <c r="P807" t="s">
        <v>50</v>
      </c>
    </row>
    <row r="808" spans="1:16" x14ac:dyDescent="0.35">
      <c r="A808" t="s">
        <v>1771</v>
      </c>
      <c r="B808" t="s">
        <v>1772</v>
      </c>
      <c r="D808" t="s">
        <v>61</v>
      </c>
      <c r="E808" t="s">
        <v>80</v>
      </c>
      <c r="F808" s="1">
        <v>45361</v>
      </c>
      <c r="G808">
        <v>2010</v>
      </c>
      <c r="I808" t="s">
        <v>39</v>
      </c>
      <c r="K808">
        <v>9.6999999999999993</v>
      </c>
      <c r="L808">
        <v>22976706</v>
      </c>
      <c r="M808">
        <v>600665</v>
      </c>
      <c r="N808">
        <v>86</v>
      </c>
      <c r="O808" t="s">
        <v>49</v>
      </c>
      <c r="P808" t="s">
        <v>50</v>
      </c>
    </row>
    <row r="809" spans="1:16" x14ac:dyDescent="0.35">
      <c r="A809" t="s">
        <v>1773</v>
      </c>
      <c r="B809" t="s">
        <v>1774</v>
      </c>
      <c r="C809" t="s">
        <v>79</v>
      </c>
      <c r="E809" t="s">
        <v>113</v>
      </c>
      <c r="F809" s="1">
        <v>45014</v>
      </c>
      <c r="G809">
        <v>2020</v>
      </c>
      <c r="H809" t="s">
        <v>107</v>
      </c>
      <c r="I809" t="s">
        <v>963</v>
      </c>
      <c r="J809" t="s">
        <v>133</v>
      </c>
      <c r="K809">
        <v>8</v>
      </c>
      <c r="L809">
        <v>907998</v>
      </c>
      <c r="M809">
        <v>2523079</v>
      </c>
      <c r="N809">
        <v>94</v>
      </c>
      <c r="O809" t="s">
        <v>91</v>
      </c>
      <c r="P809" t="s">
        <v>87</v>
      </c>
    </row>
    <row r="810" spans="1:16" x14ac:dyDescent="0.35">
      <c r="A810" t="s">
        <v>1775</v>
      </c>
      <c r="B810" t="s">
        <v>1776</v>
      </c>
      <c r="C810" t="s">
        <v>79</v>
      </c>
      <c r="D810" t="s">
        <v>90</v>
      </c>
      <c r="E810" t="s">
        <v>62</v>
      </c>
      <c r="F810" s="1">
        <v>42694</v>
      </c>
      <c r="G810">
        <v>2016</v>
      </c>
      <c r="H810" t="s">
        <v>21</v>
      </c>
      <c r="I810" t="s">
        <v>1777</v>
      </c>
      <c r="J810" t="s">
        <v>100</v>
      </c>
      <c r="K810">
        <v>8.8000000000000007</v>
      </c>
      <c r="L810">
        <v>24495823</v>
      </c>
      <c r="M810">
        <v>611925</v>
      </c>
      <c r="N810">
        <v>59</v>
      </c>
      <c r="O810" t="s">
        <v>41</v>
      </c>
      <c r="P810" t="s">
        <v>32</v>
      </c>
    </row>
    <row r="811" spans="1:16" x14ac:dyDescent="0.35">
      <c r="A811" t="s">
        <v>1778</v>
      </c>
      <c r="B811" t="s">
        <v>1779</v>
      </c>
      <c r="C811" t="s">
        <v>79</v>
      </c>
      <c r="D811" t="s">
        <v>75</v>
      </c>
      <c r="E811" t="s">
        <v>28</v>
      </c>
      <c r="F811" s="1">
        <v>43902</v>
      </c>
      <c r="G811">
        <v>2017</v>
      </c>
      <c r="H811" t="s">
        <v>46</v>
      </c>
      <c r="I811" t="s">
        <v>411</v>
      </c>
      <c r="J811" t="s">
        <v>48</v>
      </c>
      <c r="K811">
        <v>9.3000000000000007</v>
      </c>
      <c r="L811">
        <v>8276826</v>
      </c>
      <c r="M811">
        <v>3782710</v>
      </c>
      <c r="N811">
        <v>73</v>
      </c>
      <c r="O811" t="s">
        <v>58</v>
      </c>
      <c r="P811" t="s">
        <v>42</v>
      </c>
    </row>
    <row r="812" spans="1:16" x14ac:dyDescent="0.35">
      <c r="A812" t="s">
        <v>1780</v>
      </c>
      <c r="B812" t="s">
        <v>1781</v>
      </c>
      <c r="C812" t="s">
        <v>79</v>
      </c>
      <c r="E812" t="s">
        <v>37</v>
      </c>
      <c r="F812" s="1">
        <v>45122</v>
      </c>
      <c r="G812">
        <v>2025</v>
      </c>
      <c r="I812" t="s">
        <v>1032</v>
      </c>
      <c r="J812" t="s">
        <v>100</v>
      </c>
      <c r="K812">
        <v>7.9</v>
      </c>
      <c r="L812">
        <v>10495756</v>
      </c>
      <c r="M812">
        <v>1772095</v>
      </c>
      <c r="N812">
        <v>81</v>
      </c>
      <c r="O812" t="s">
        <v>123</v>
      </c>
      <c r="P812" t="s">
        <v>32</v>
      </c>
    </row>
    <row r="813" spans="1:16" x14ac:dyDescent="0.35">
      <c r="A813" t="s">
        <v>1782</v>
      </c>
      <c r="B813" t="s">
        <v>1783</v>
      </c>
      <c r="C813" t="s">
        <v>84</v>
      </c>
      <c r="D813" t="s">
        <v>19</v>
      </c>
      <c r="E813" t="s">
        <v>45</v>
      </c>
      <c r="F813" s="1">
        <v>43583</v>
      </c>
      <c r="G813">
        <v>2021</v>
      </c>
      <c r="H813" t="s">
        <v>46</v>
      </c>
      <c r="I813" t="s">
        <v>411</v>
      </c>
      <c r="J813" t="s">
        <v>57</v>
      </c>
      <c r="K813">
        <v>8.6</v>
      </c>
      <c r="L813">
        <v>7745717</v>
      </c>
      <c r="M813">
        <v>2450578</v>
      </c>
      <c r="N813">
        <v>97</v>
      </c>
      <c r="O813" t="s">
        <v>24</v>
      </c>
      <c r="P813" t="s">
        <v>32</v>
      </c>
    </row>
    <row r="814" spans="1:16" x14ac:dyDescent="0.35">
      <c r="A814" t="s">
        <v>1784</v>
      </c>
      <c r="B814" t="s">
        <v>1785</v>
      </c>
      <c r="D814" t="s">
        <v>19</v>
      </c>
      <c r="E814" t="s">
        <v>28</v>
      </c>
      <c r="F814" s="1">
        <v>44584</v>
      </c>
      <c r="G814">
        <v>2005</v>
      </c>
      <c r="H814" t="s">
        <v>114</v>
      </c>
      <c r="I814" t="s">
        <v>118</v>
      </c>
      <c r="J814" t="s">
        <v>76</v>
      </c>
      <c r="K814">
        <v>7.6</v>
      </c>
      <c r="L814">
        <v>16567061</v>
      </c>
      <c r="M814">
        <v>1821153</v>
      </c>
      <c r="N814">
        <v>86</v>
      </c>
      <c r="O814" t="s">
        <v>58</v>
      </c>
      <c r="P814" t="s">
        <v>42</v>
      </c>
    </row>
    <row r="815" spans="1:16" x14ac:dyDescent="0.35">
      <c r="A815" t="s">
        <v>1786</v>
      </c>
      <c r="B815" t="s">
        <v>1787</v>
      </c>
      <c r="C815" t="s">
        <v>35</v>
      </c>
      <c r="D815" t="s">
        <v>54</v>
      </c>
      <c r="F815" s="1">
        <v>43189</v>
      </c>
      <c r="G815">
        <v>2024</v>
      </c>
      <c r="H815" t="s">
        <v>114</v>
      </c>
      <c r="I815" t="s">
        <v>162</v>
      </c>
      <c r="J815" t="s">
        <v>72</v>
      </c>
      <c r="K815">
        <v>9.4</v>
      </c>
      <c r="L815">
        <v>10563295</v>
      </c>
      <c r="M815">
        <v>4248987</v>
      </c>
      <c r="N815">
        <v>62</v>
      </c>
      <c r="P815" t="s">
        <v>50</v>
      </c>
    </row>
    <row r="816" spans="1:16" x14ac:dyDescent="0.35">
      <c r="A816" t="s">
        <v>1788</v>
      </c>
      <c r="B816" t="s">
        <v>1789</v>
      </c>
      <c r="C816" t="s">
        <v>18</v>
      </c>
      <c r="D816" t="s">
        <v>68</v>
      </c>
      <c r="E816" t="s">
        <v>69</v>
      </c>
      <c r="F816" s="1">
        <v>46058</v>
      </c>
      <c r="G816">
        <v>2003</v>
      </c>
      <c r="H816" t="s">
        <v>38</v>
      </c>
      <c r="I816" t="s">
        <v>608</v>
      </c>
      <c r="J816" t="s">
        <v>100</v>
      </c>
      <c r="K816">
        <v>9.6999999999999993</v>
      </c>
      <c r="L816">
        <v>15077291</v>
      </c>
      <c r="M816">
        <v>4864890</v>
      </c>
      <c r="N816">
        <v>53</v>
      </c>
      <c r="O816" t="s">
        <v>31</v>
      </c>
      <c r="P816" t="s">
        <v>50</v>
      </c>
    </row>
    <row r="817" spans="1:16" x14ac:dyDescent="0.35">
      <c r="A817" t="s">
        <v>1790</v>
      </c>
      <c r="B817" t="s">
        <v>1791</v>
      </c>
      <c r="D817" t="s">
        <v>36</v>
      </c>
      <c r="E817" t="s">
        <v>131</v>
      </c>
      <c r="F817" s="1">
        <v>42520</v>
      </c>
      <c r="G817">
        <v>2022</v>
      </c>
      <c r="H817" t="s">
        <v>38</v>
      </c>
      <c r="I817" t="s">
        <v>56</v>
      </c>
      <c r="J817" t="s">
        <v>76</v>
      </c>
      <c r="K817">
        <v>5.4</v>
      </c>
      <c r="L817">
        <v>1930804</v>
      </c>
      <c r="M817">
        <v>3709399</v>
      </c>
      <c r="N817">
        <v>44</v>
      </c>
      <c r="O817" t="s">
        <v>31</v>
      </c>
      <c r="P817" t="s">
        <v>50</v>
      </c>
    </row>
    <row r="818" spans="1:16" x14ac:dyDescent="0.35">
      <c r="A818" t="s">
        <v>1792</v>
      </c>
      <c r="B818" t="s">
        <v>1793</v>
      </c>
      <c r="C818" t="s">
        <v>84</v>
      </c>
      <c r="F818" s="1">
        <v>44659</v>
      </c>
      <c r="G818">
        <v>2011</v>
      </c>
      <c r="I818" t="s">
        <v>312</v>
      </c>
      <c r="J818" t="s">
        <v>23</v>
      </c>
      <c r="K818">
        <v>8.4</v>
      </c>
      <c r="L818">
        <v>22626772</v>
      </c>
      <c r="M818">
        <v>358818</v>
      </c>
      <c r="N818">
        <v>71</v>
      </c>
      <c r="O818" t="s">
        <v>24</v>
      </c>
      <c r="P818" t="s">
        <v>32</v>
      </c>
    </row>
    <row r="819" spans="1:16" x14ac:dyDescent="0.35">
      <c r="A819" t="s">
        <v>1794</v>
      </c>
      <c r="B819" t="s">
        <v>1795</v>
      </c>
      <c r="C819" t="s">
        <v>53</v>
      </c>
      <c r="D819" t="s">
        <v>61</v>
      </c>
      <c r="E819" t="s">
        <v>37</v>
      </c>
      <c r="F819" s="1">
        <v>44763</v>
      </c>
      <c r="G819">
        <v>2014</v>
      </c>
      <c r="I819" t="s">
        <v>95</v>
      </c>
      <c r="J819" t="s">
        <v>103</v>
      </c>
      <c r="K819">
        <v>7.8</v>
      </c>
      <c r="L819">
        <v>21524238</v>
      </c>
      <c r="M819">
        <v>2882943</v>
      </c>
      <c r="N819">
        <v>65</v>
      </c>
      <c r="O819" t="s">
        <v>123</v>
      </c>
    </row>
    <row r="820" spans="1:16" x14ac:dyDescent="0.35">
      <c r="A820" t="s">
        <v>1796</v>
      </c>
      <c r="B820" t="s">
        <v>1797</v>
      </c>
      <c r="C820" t="s">
        <v>79</v>
      </c>
      <c r="D820" t="s">
        <v>75</v>
      </c>
      <c r="E820" t="s">
        <v>20</v>
      </c>
      <c r="F820" s="1">
        <v>42172</v>
      </c>
      <c r="G820">
        <v>2024</v>
      </c>
      <c r="H820" t="s">
        <v>107</v>
      </c>
      <c r="I820" t="s">
        <v>963</v>
      </c>
      <c r="J820" t="s">
        <v>72</v>
      </c>
      <c r="K820">
        <v>6.4</v>
      </c>
      <c r="L820">
        <v>1207989</v>
      </c>
      <c r="M820">
        <v>1662965</v>
      </c>
      <c r="N820">
        <v>72</v>
      </c>
      <c r="O820" t="s">
        <v>91</v>
      </c>
      <c r="P820" t="s">
        <v>32</v>
      </c>
    </row>
    <row r="821" spans="1:16" x14ac:dyDescent="0.35">
      <c r="A821" t="s">
        <v>1798</v>
      </c>
      <c r="B821" t="s">
        <v>1799</v>
      </c>
      <c r="C821" t="s">
        <v>79</v>
      </c>
      <c r="D821" t="s">
        <v>54</v>
      </c>
      <c r="E821" t="s">
        <v>113</v>
      </c>
      <c r="F821" s="1">
        <v>42357</v>
      </c>
      <c r="G821">
        <v>2012</v>
      </c>
      <c r="H821" t="s">
        <v>81</v>
      </c>
      <c r="I821" t="s">
        <v>108</v>
      </c>
      <c r="J821" t="s">
        <v>153</v>
      </c>
      <c r="K821">
        <v>9.1999999999999993</v>
      </c>
      <c r="L821">
        <v>6384123</v>
      </c>
      <c r="M821">
        <v>1481638</v>
      </c>
      <c r="N821">
        <v>51</v>
      </c>
      <c r="O821" t="s">
        <v>91</v>
      </c>
      <c r="P821" t="s">
        <v>32</v>
      </c>
    </row>
    <row r="822" spans="1:16" x14ac:dyDescent="0.35">
      <c r="A822" t="s">
        <v>1800</v>
      </c>
      <c r="B822" t="s">
        <v>1801</v>
      </c>
      <c r="C822" t="s">
        <v>35</v>
      </c>
      <c r="D822" t="s">
        <v>27</v>
      </c>
      <c r="E822" t="s">
        <v>62</v>
      </c>
      <c r="F822" s="1">
        <v>44749</v>
      </c>
      <c r="G822">
        <v>2016</v>
      </c>
      <c r="H822" t="s">
        <v>46</v>
      </c>
      <c r="I822" t="s">
        <v>118</v>
      </c>
      <c r="J822" t="s">
        <v>72</v>
      </c>
      <c r="K822">
        <v>7.3</v>
      </c>
      <c r="L822">
        <v>10478272</v>
      </c>
      <c r="M822">
        <v>2433173</v>
      </c>
      <c r="N822">
        <v>86</v>
      </c>
      <c r="O822" t="s">
        <v>91</v>
      </c>
    </row>
    <row r="823" spans="1:16" x14ac:dyDescent="0.35">
      <c r="A823" t="s">
        <v>1802</v>
      </c>
      <c r="B823" t="s">
        <v>1803</v>
      </c>
      <c r="C823" t="s">
        <v>79</v>
      </c>
      <c r="D823" t="s">
        <v>19</v>
      </c>
      <c r="E823" t="s">
        <v>113</v>
      </c>
      <c r="F823" s="1">
        <v>42452</v>
      </c>
      <c r="G823">
        <v>2012</v>
      </c>
      <c r="H823" t="s">
        <v>21</v>
      </c>
      <c r="I823" t="s">
        <v>958</v>
      </c>
      <c r="J823" t="s">
        <v>133</v>
      </c>
      <c r="K823">
        <v>7.4</v>
      </c>
      <c r="L823">
        <v>24075057</v>
      </c>
      <c r="M823">
        <v>3495659</v>
      </c>
      <c r="N823">
        <v>42</v>
      </c>
      <c r="O823" t="s">
        <v>91</v>
      </c>
      <c r="P823" t="s">
        <v>50</v>
      </c>
    </row>
    <row r="824" spans="1:16" x14ac:dyDescent="0.35">
      <c r="A824" t="s">
        <v>1804</v>
      </c>
      <c r="B824" t="s">
        <v>1805</v>
      </c>
      <c r="D824" t="s">
        <v>68</v>
      </c>
      <c r="E824" t="s">
        <v>37</v>
      </c>
      <c r="F824" s="1">
        <v>42100</v>
      </c>
      <c r="G824">
        <v>2007</v>
      </c>
      <c r="H824" t="s">
        <v>114</v>
      </c>
      <c r="I824" t="s">
        <v>136</v>
      </c>
      <c r="J824" t="s">
        <v>48</v>
      </c>
      <c r="K824">
        <v>6.9</v>
      </c>
      <c r="L824">
        <v>85280</v>
      </c>
      <c r="M824">
        <v>2875284</v>
      </c>
      <c r="N824">
        <v>52</v>
      </c>
      <c r="O824" t="s">
        <v>41</v>
      </c>
      <c r="P824" t="s">
        <v>32</v>
      </c>
    </row>
    <row r="825" spans="1:16" x14ac:dyDescent="0.35">
      <c r="A825" t="s">
        <v>1806</v>
      </c>
      <c r="B825" t="s">
        <v>1807</v>
      </c>
      <c r="C825" t="s">
        <v>84</v>
      </c>
      <c r="D825" t="s">
        <v>54</v>
      </c>
      <c r="E825" t="s">
        <v>62</v>
      </c>
      <c r="F825" s="1">
        <v>42437</v>
      </c>
      <c r="G825">
        <v>2009</v>
      </c>
      <c r="H825" t="s">
        <v>46</v>
      </c>
      <c r="I825" t="s">
        <v>249</v>
      </c>
      <c r="K825">
        <v>5.8</v>
      </c>
      <c r="L825">
        <v>14402760</v>
      </c>
      <c r="M825">
        <v>4008293</v>
      </c>
      <c r="N825">
        <v>68</v>
      </c>
      <c r="O825" t="s">
        <v>65</v>
      </c>
      <c r="P825" t="s">
        <v>50</v>
      </c>
    </row>
    <row r="826" spans="1:16" x14ac:dyDescent="0.35">
      <c r="A826" t="s">
        <v>1808</v>
      </c>
      <c r="B826" t="s">
        <v>1809</v>
      </c>
      <c r="C826" t="s">
        <v>18</v>
      </c>
      <c r="E826" t="s">
        <v>62</v>
      </c>
      <c r="F826" s="1">
        <v>44085</v>
      </c>
      <c r="G826">
        <v>2008</v>
      </c>
      <c r="H826" t="s">
        <v>85</v>
      </c>
      <c r="J826" t="s">
        <v>23</v>
      </c>
      <c r="K826">
        <v>7.5</v>
      </c>
      <c r="L826">
        <v>6128945</v>
      </c>
      <c r="M826">
        <v>1075029</v>
      </c>
      <c r="N826">
        <v>75</v>
      </c>
      <c r="O826" t="s">
        <v>31</v>
      </c>
      <c r="P826" t="s">
        <v>42</v>
      </c>
    </row>
    <row r="827" spans="1:16" x14ac:dyDescent="0.35">
      <c r="A827" t="s">
        <v>1810</v>
      </c>
      <c r="B827" t="s">
        <v>1811</v>
      </c>
      <c r="D827" t="s">
        <v>75</v>
      </c>
      <c r="E827" t="s">
        <v>20</v>
      </c>
      <c r="F827" s="1">
        <v>42254</v>
      </c>
      <c r="G827">
        <v>2000</v>
      </c>
      <c r="H827" t="s">
        <v>21</v>
      </c>
      <c r="I827" t="s">
        <v>162</v>
      </c>
      <c r="J827" t="s">
        <v>100</v>
      </c>
      <c r="K827">
        <v>8.1</v>
      </c>
      <c r="L827">
        <v>22520890</v>
      </c>
      <c r="M827">
        <v>4014695</v>
      </c>
      <c r="N827">
        <v>88</v>
      </c>
      <c r="O827" t="s">
        <v>58</v>
      </c>
    </row>
    <row r="828" spans="1:16" x14ac:dyDescent="0.35">
      <c r="A828" t="s">
        <v>1812</v>
      </c>
      <c r="B828" t="s">
        <v>1813</v>
      </c>
      <c r="C828" t="s">
        <v>18</v>
      </c>
      <c r="D828" t="s">
        <v>75</v>
      </c>
      <c r="E828" t="s">
        <v>99</v>
      </c>
      <c r="F828" s="1">
        <v>44632</v>
      </c>
      <c r="G828">
        <v>2004</v>
      </c>
      <c r="H828" t="s">
        <v>81</v>
      </c>
      <c r="I828" t="s">
        <v>231</v>
      </c>
      <c r="J828" t="s">
        <v>103</v>
      </c>
      <c r="K828">
        <v>6.7</v>
      </c>
      <c r="L828">
        <v>14552762</v>
      </c>
      <c r="M828">
        <v>3863701</v>
      </c>
      <c r="N828">
        <v>44</v>
      </c>
      <c r="O828" t="s">
        <v>123</v>
      </c>
    </row>
    <row r="829" spans="1:16" x14ac:dyDescent="0.35">
      <c r="A829" t="s">
        <v>1814</v>
      </c>
      <c r="B829" t="s">
        <v>1815</v>
      </c>
      <c r="C829" t="s">
        <v>84</v>
      </c>
      <c r="D829" t="s">
        <v>68</v>
      </c>
      <c r="F829" s="1">
        <v>43602</v>
      </c>
      <c r="G829">
        <v>2007</v>
      </c>
      <c r="H829" t="s">
        <v>70</v>
      </c>
      <c r="I829" t="s">
        <v>275</v>
      </c>
      <c r="J829" t="s">
        <v>23</v>
      </c>
      <c r="K829">
        <v>9.4</v>
      </c>
      <c r="L829">
        <v>4360432</v>
      </c>
      <c r="M829">
        <v>1607616</v>
      </c>
      <c r="N829">
        <v>100</v>
      </c>
      <c r="O829" t="s">
        <v>91</v>
      </c>
    </row>
    <row r="830" spans="1:16" x14ac:dyDescent="0.35">
      <c r="A830" t="s">
        <v>1816</v>
      </c>
      <c r="B830" t="s">
        <v>1817</v>
      </c>
      <c r="C830" t="s">
        <v>84</v>
      </c>
      <c r="D830" t="s">
        <v>75</v>
      </c>
      <c r="F830" s="1">
        <v>46134</v>
      </c>
      <c r="G830">
        <v>2019</v>
      </c>
      <c r="H830" t="s">
        <v>63</v>
      </c>
      <c r="I830" t="s">
        <v>331</v>
      </c>
      <c r="J830" t="s">
        <v>76</v>
      </c>
      <c r="K830">
        <v>5.6</v>
      </c>
      <c r="L830">
        <v>9798931</v>
      </c>
      <c r="M830">
        <v>1692905</v>
      </c>
      <c r="N830">
        <v>87</v>
      </c>
      <c r="O830" t="s">
        <v>24</v>
      </c>
      <c r="P830" t="s">
        <v>50</v>
      </c>
    </row>
    <row r="831" spans="1:16" x14ac:dyDescent="0.35">
      <c r="A831" t="s">
        <v>1818</v>
      </c>
      <c r="B831" t="s">
        <v>1819</v>
      </c>
      <c r="C831" t="s">
        <v>53</v>
      </c>
      <c r="D831" t="s">
        <v>156</v>
      </c>
      <c r="E831" t="s">
        <v>99</v>
      </c>
      <c r="F831" s="1">
        <v>45457</v>
      </c>
      <c r="G831">
        <v>2016</v>
      </c>
      <c r="H831" t="s">
        <v>63</v>
      </c>
      <c r="I831" t="s">
        <v>64</v>
      </c>
      <c r="J831" t="s">
        <v>100</v>
      </c>
      <c r="K831">
        <v>11.2</v>
      </c>
      <c r="L831">
        <v>2525404</v>
      </c>
      <c r="M831">
        <v>3762811</v>
      </c>
      <c r="N831">
        <v>47</v>
      </c>
      <c r="O831" t="s">
        <v>49</v>
      </c>
      <c r="P831" t="s">
        <v>50</v>
      </c>
    </row>
    <row r="832" spans="1:16" x14ac:dyDescent="0.35">
      <c r="A832" t="s">
        <v>1820</v>
      </c>
      <c r="B832" t="s">
        <v>1821</v>
      </c>
      <c r="C832" t="s">
        <v>79</v>
      </c>
      <c r="D832" t="s">
        <v>68</v>
      </c>
      <c r="F832" s="1">
        <v>45019</v>
      </c>
      <c r="G832">
        <v>2011</v>
      </c>
      <c r="H832" t="s">
        <v>81</v>
      </c>
      <c r="I832" t="s">
        <v>299</v>
      </c>
      <c r="J832" t="s">
        <v>40</v>
      </c>
      <c r="K832">
        <v>9.4</v>
      </c>
      <c r="L832">
        <v>21830463</v>
      </c>
      <c r="M832">
        <v>2597367</v>
      </c>
      <c r="N832">
        <v>99</v>
      </c>
      <c r="O832" t="s">
        <v>65</v>
      </c>
    </row>
    <row r="833" spans="1:16" x14ac:dyDescent="0.35">
      <c r="A833" t="s">
        <v>1822</v>
      </c>
      <c r="B833" t="s">
        <v>1823</v>
      </c>
      <c r="C833" t="s">
        <v>18</v>
      </c>
      <c r="D833" t="s">
        <v>75</v>
      </c>
      <c r="E833" t="s">
        <v>69</v>
      </c>
      <c r="F833" s="1">
        <v>43391</v>
      </c>
      <c r="G833">
        <v>2013</v>
      </c>
      <c r="H833" t="s">
        <v>70</v>
      </c>
      <c r="I833" t="s">
        <v>336</v>
      </c>
      <c r="J833" t="s">
        <v>100</v>
      </c>
      <c r="K833">
        <v>8.5</v>
      </c>
      <c r="L833">
        <v>22442880</v>
      </c>
      <c r="M833">
        <v>377920</v>
      </c>
      <c r="N833">
        <v>43</v>
      </c>
      <c r="O833" t="s">
        <v>65</v>
      </c>
      <c r="P833" t="s">
        <v>50</v>
      </c>
    </row>
    <row r="834" spans="1:16" x14ac:dyDescent="0.35">
      <c r="A834" t="s">
        <v>1824</v>
      </c>
      <c r="B834" t="s">
        <v>1825</v>
      </c>
      <c r="C834" t="s">
        <v>53</v>
      </c>
      <c r="D834" t="s">
        <v>54</v>
      </c>
      <c r="E834" t="s">
        <v>45</v>
      </c>
      <c r="F834" s="1">
        <v>44295</v>
      </c>
      <c r="G834">
        <v>2009</v>
      </c>
      <c r="H834" t="s">
        <v>121</v>
      </c>
      <c r="I834" t="s">
        <v>136</v>
      </c>
      <c r="K834">
        <v>6.1</v>
      </c>
      <c r="L834">
        <v>7095863</v>
      </c>
      <c r="M834">
        <v>1788393</v>
      </c>
      <c r="N834">
        <v>53</v>
      </c>
      <c r="P834" t="s">
        <v>50</v>
      </c>
    </row>
    <row r="835" spans="1:16" x14ac:dyDescent="0.35">
      <c r="A835" t="s">
        <v>1826</v>
      </c>
      <c r="B835" t="s">
        <v>1827</v>
      </c>
      <c r="C835" t="s">
        <v>84</v>
      </c>
      <c r="D835" t="s">
        <v>54</v>
      </c>
      <c r="E835" t="s">
        <v>55</v>
      </c>
      <c r="F835" s="1">
        <v>45361</v>
      </c>
      <c r="G835">
        <v>2026</v>
      </c>
      <c r="H835" t="s">
        <v>121</v>
      </c>
      <c r="I835" t="s">
        <v>1023</v>
      </c>
      <c r="K835">
        <v>5.0999999999999996</v>
      </c>
      <c r="L835">
        <v>20217115</v>
      </c>
      <c r="M835">
        <v>1892471</v>
      </c>
      <c r="N835">
        <v>48</v>
      </c>
      <c r="O835" t="s">
        <v>31</v>
      </c>
      <c r="P835" t="s">
        <v>42</v>
      </c>
    </row>
    <row r="836" spans="1:16" x14ac:dyDescent="0.35">
      <c r="A836" t="s">
        <v>1828</v>
      </c>
      <c r="B836" t="s">
        <v>1829</v>
      </c>
      <c r="D836" t="s">
        <v>156</v>
      </c>
      <c r="E836" t="s">
        <v>99</v>
      </c>
      <c r="F836" s="1">
        <v>45496</v>
      </c>
      <c r="G836">
        <v>2001</v>
      </c>
      <c r="H836" t="s">
        <v>21</v>
      </c>
      <c r="I836" t="s">
        <v>71</v>
      </c>
      <c r="J836" t="s">
        <v>153</v>
      </c>
      <c r="K836">
        <v>6.2</v>
      </c>
      <c r="L836">
        <v>8460383</v>
      </c>
      <c r="M836">
        <v>1034931</v>
      </c>
      <c r="N836">
        <v>91</v>
      </c>
      <c r="O836" t="s">
        <v>24</v>
      </c>
      <c r="P836" t="s">
        <v>87</v>
      </c>
    </row>
    <row r="837" spans="1:16" x14ac:dyDescent="0.35">
      <c r="A837" t="s">
        <v>1830</v>
      </c>
      <c r="B837" t="s">
        <v>1831</v>
      </c>
      <c r="C837" t="s">
        <v>53</v>
      </c>
      <c r="F837" s="1">
        <v>42939</v>
      </c>
      <c r="G837">
        <v>2026</v>
      </c>
      <c r="H837" t="s">
        <v>21</v>
      </c>
      <c r="I837" t="s">
        <v>136</v>
      </c>
      <c r="J837" t="s">
        <v>30</v>
      </c>
      <c r="K837">
        <v>7.4</v>
      </c>
      <c r="L837">
        <v>22074413</v>
      </c>
      <c r="M837">
        <v>1446637</v>
      </c>
      <c r="N837">
        <v>91</v>
      </c>
      <c r="O837" t="s">
        <v>41</v>
      </c>
    </row>
    <row r="838" spans="1:16" x14ac:dyDescent="0.35">
      <c r="A838" t="s">
        <v>1832</v>
      </c>
      <c r="B838" t="s">
        <v>1833</v>
      </c>
      <c r="C838" t="s">
        <v>84</v>
      </c>
      <c r="D838" t="s">
        <v>54</v>
      </c>
      <c r="E838" t="s">
        <v>165</v>
      </c>
      <c r="F838" s="1">
        <v>42252</v>
      </c>
      <c r="G838">
        <v>2005</v>
      </c>
      <c r="H838" t="s">
        <v>81</v>
      </c>
      <c r="J838" t="s">
        <v>23</v>
      </c>
      <c r="K838">
        <v>9.1</v>
      </c>
      <c r="L838">
        <v>22857462</v>
      </c>
      <c r="M838">
        <v>2860164</v>
      </c>
      <c r="N838">
        <v>60</v>
      </c>
      <c r="O838" t="s">
        <v>49</v>
      </c>
      <c r="P838" t="s">
        <v>50</v>
      </c>
    </row>
    <row r="839" spans="1:16" x14ac:dyDescent="0.35">
      <c r="A839" t="s">
        <v>1834</v>
      </c>
      <c r="B839" t="s">
        <v>1835</v>
      </c>
      <c r="C839" t="s">
        <v>53</v>
      </c>
      <c r="D839" t="s">
        <v>94</v>
      </c>
      <c r="E839" t="s">
        <v>113</v>
      </c>
      <c r="F839" s="1">
        <v>44194</v>
      </c>
      <c r="G839">
        <v>2005</v>
      </c>
      <c r="H839" t="s">
        <v>121</v>
      </c>
      <c r="I839" t="s">
        <v>95</v>
      </c>
      <c r="J839" t="s">
        <v>72</v>
      </c>
      <c r="K839">
        <v>8.9</v>
      </c>
      <c r="L839">
        <v>6719018</v>
      </c>
      <c r="M839">
        <v>1787770</v>
      </c>
      <c r="N839">
        <v>73</v>
      </c>
      <c r="O839" t="s">
        <v>123</v>
      </c>
    </row>
    <row r="840" spans="1:16" x14ac:dyDescent="0.35">
      <c r="A840" t="s">
        <v>1836</v>
      </c>
      <c r="B840" t="s">
        <v>1837</v>
      </c>
      <c r="C840" t="s">
        <v>84</v>
      </c>
      <c r="D840" t="s">
        <v>36</v>
      </c>
      <c r="F840" s="1">
        <v>45722</v>
      </c>
      <c r="G840">
        <v>2011</v>
      </c>
      <c r="H840" t="s">
        <v>63</v>
      </c>
      <c r="I840" t="s">
        <v>282</v>
      </c>
      <c r="J840" t="s">
        <v>23</v>
      </c>
      <c r="K840">
        <v>7</v>
      </c>
      <c r="L840">
        <v>11614044</v>
      </c>
      <c r="M840">
        <v>175564</v>
      </c>
      <c r="N840">
        <v>44</v>
      </c>
      <c r="O840" t="s">
        <v>65</v>
      </c>
      <c r="P840" t="s">
        <v>32</v>
      </c>
    </row>
    <row r="841" spans="1:16" x14ac:dyDescent="0.35">
      <c r="A841" t="s">
        <v>1838</v>
      </c>
      <c r="B841" t="s">
        <v>1839</v>
      </c>
      <c r="C841" t="s">
        <v>84</v>
      </c>
      <c r="F841" s="1">
        <v>43461</v>
      </c>
      <c r="G841">
        <v>2002</v>
      </c>
      <c r="H841" t="s">
        <v>121</v>
      </c>
      <c r="I841" t="s">
        <v>794</v>
      </c>
      <c r="J841" t="s">
        <v>100</v>
      </c>
      <c r="K841">
        <v>7.9</v>
      </c>
      <c r="L841">
        <v>7271416</v>
      </c>
      <c r="M841">
        <v>3268237</v>
      </c>
      <c r="N841">
        <v>40</v>
      </c>
      <c r="O841" t="s">
        <v>49</v>
      </c>
      <c r="P841" t="s">
        <v>42</v>
      </c>
    </row>
    <row r="842" spans="1:16" x14ac:dyDescent="0.35">
      <c r="A842" t="s">
        <v>1840</v>
      </c>
      <c r="B842" t="s">
        <v>1841</v>
      </c>
      <c r="C842" t="s">
        <v>79</v>
      </c>
      <c r="E842" t="s">
        <v>69</v>
      </c>
      <c r="F842" s="1">
        <v>45787</v>
      </c>
      <c r="G842">
        <v>2008</v>
      </c>
      <c r="H842" t="s">
        <v>38</v>
      </c>
      <c r="I842" t="s">
        <v>115</v>
      </c>
      <c r="J842" t="s">
        <v>23</v>
      </c>
      <c r="K842">
        <v>5.5</v>
      </c>
      <c r="L842">
        <v>16910924</v>
      </c>
      <c r="M842">
        <v>3846388</v>
      </c>
      <c r="N842">
        <v>62</v>
      </c>
      <c r="O842" t="s">
        <v>58</v>
      </c>
      <c r="P842" t="s">
        <v>87</v>
      </c>
    </row>
    <row r="843" spans="1:16" x14ac:dyDescent="0.35">
      <c r="A843" t="s">
        <v>1842</v>
      </c>
      <c r="B843" t="s">
        <v>1843</v>
      </c>
      <c r="C843" t="s">
        <v>53</v>
      </c>
      <c r="D843" t="s">
        <v>68</v>
      </c>
      <c r="E843" t="s">
        <v>113</v>
      </c>
      <c r="F843" s="1">
        <v>42626</v>
      </c>
      <c r="G843">
        <v>2013</v>
      </c>
      <c r="H843" t="s">
        <v>70</v>
      </c>
      <c r="I843" t="s">
        <v>136</v>
      </c>
      <c r="J843" t="s">
        <v>96</v>
      </c>
      <c r="K843">
        <v>8.8000000000000007</v>
      </c>
      <c r="L843">
        <v>14422725</v>
      </c>
      <c r="M843">
        <v>1998452</v>
      </c>
      <c r="N843">
        <v>86</v>
      </c>
      <c r="O843" t="s">
        <v>65</v>
      </c>
      <c r="P843" t="s">
        <v>50</v>
      </c>
    </row>
    <row r="844" spans="1:16" x14ac:dyDescent="0.35">
      <c r="A844" t="s">
        <v>1844</v>
      </c>
      <c r="B844" t="s">
        <v>1845</v>
      </c>
      <c r="C844" t="s">
        <v>35</v>
      </c>
      <c r="D844" t="s">
        <v>61</v>
      </c>
      <c r="E844" t="s">
        <v>113</v>
      </c>
      <c r="F844" s="1">
        <v>44155</v>
      </c>
      <c r="G844">
        <v>2014</v>
      </c>
      <c r="H844" t="s">
        <v>38</v>
      </c>
      <c r="I844" t="s">
        <v>56</v>
      </c>
      <c r="J844" t="s">
        <v>57</v>
      </c>
      <c r="K844">
        <v>5.3</v>
      </c>
      <c r="L844">
        <v>8482226</v>
      </c>
      <c r="M844">
        <v>2576115</v>
      </c>
      <c r="N844">
        <v>62</v>
      </c>
      <c r="O844" t="s">
        <v>31</v>
      </c>
      <c r="P844" t="s">
        <v>50</v>
      </c>
    </row>
    <row r="845" spans="1:16" x14ac:dyDescent="0.35">
      <c r="A845" t="s">
        <v>1846</v>
      </c>
      <c r="B845" t="s">
        <v>1847</v>
      </c>
      <c r="C845" t="s">
        <v>35</v>
      </c>
      <c r="D845" t="s">
        <v>75</v>
      </c>
      <c r="E845" t="s">
        <v>20</v>
      </c>
      <c r="F845" s="1">
        <v>45269</v>
      </c>
      <c r="G845">
        <v>2009</v>
      </c>
      <c r="H845" t="s">
        <v>38</v>
      </c>
      <c r="I845" t="s">
        <v>39</v>
      </c>
      <c r="J845" t="s">
        <v>76</v>
      </c>
      <c r="K845">
        <v>8.6</v>
      </c>
      <c r="L845">
        <v>7613715</v>
      </c>
      <c r="M845">
        <v>1271820</v>
      </c>
      <c r="N845">
        <v>51</v>
      </c>
      <c r="O845" t="s">
        <v>31</v>
      </c>
    </row>
    <row r="846" spans="1:16" x14ac:dyDescent="0.35">
      <c r="A846" t="s">
        <v>1848</v>
      </c>
      <c r="B846" t="s">
        <v>1849</v>
      </c>
      <c r="C846" t="s">
        <v>18</v>
      </c>
      <c r="D846" t="s">
        <v>19</v>
      </c>
      <c r="E846" t="s">
        <v>99</v>
      </c>
      <c r="F846" s="1">
        <v>45915</v>
      </c>
      <c r="G846">
        <v>2019</v>
      </c>
      <c r="H846" t="s">
        <v>46</v>
      </c>
      <c r="I846" t="s">
        <v>108</v>
      </c>
      <c r="J846" t="s">
        <v>133</v>
      </c>
      <c r="K846">
        <v>8.1999999999999993</v>
      </c>
      <c r="L846">
        <v>9194870</v>
      </c>
      <c r="M846">
        <v>626586</v>
      </c>
      <c r="N846">
        <v>73</v>
      </c>
      <c r="O846" t="s">
        <v>65</v>
      </c>
      <c r="P846" t="s">
        <v>32</v>
      </c>
    </row>
    <row r="847" spans="1:16" x14ac:dyDescent="0.35">
      <c r="A847" t="s">
        <v>1850</v>
      </c>
      <c r="B847" t="s">
        <v>1851</v>
      </c>
      <c r="C847" t="s">
        <v>79</v>
      </c>
      <c r="D847" t="s">
        <v>27</v>
      </c>
      <c r="E847" t="s">
        <v>131</v>
      </c>
      <c r="F847" s="1">
        <v>43843</v>
      </c>
      <c r="G847">
        <v>2015</v>
      </c>
      <c r="H847" t="s">
        <v>85</v>
      </c>
      <c r="I847" t="s">
        <v>696</v>
      </c>
      <c r="J847" t="s">
        <v>23</v>
      </c>
      <c r="K847">
        <v>5.7</v>
      </c>
      <c r="L847">
        <v>24080301</v>
      </c>
      <c r="M847">
        <v>2123794</v>
      </c>
      <c r="N847">
        <v>54</v>
      </c>
      <c r="O847" t="s">
        <v>65</v>
      </c>
      <c r="P847" t="s">
        <v>32</v>
      </c>
    </row>
    <row r="848" spans="1:16" x14ac:dyDescent="0.35">
      <c r="A848" t="s">
        <v>1852</v>
      </c>
      <c r="B848" t="s">
        <v>1853</v>
      </c>
      <c r="C848" t="s">
        <v>35</v>
      </c>
      <c r="D848" t="s">
        <v>19</v>
      </c>
      <c r="E848" t="s">
        <v>55</v>
      </c>
      <c r="F848" s="1">
        <v>43212</v>
      </c>
      <c r="G848">
        <v>2011</v>
      </c>
      <c r="H848" t="s">
        <v>46</v>
      </c>
      <c r="I848" t="s">
        <v>162</v>
      </c>
      <c r="J848" t="s">
        <v>72</v>
      </c>
      <c r="K848">
        <v>9</v>
      </c>
      <c r="L848">
        <v>20718239</v>
      </c>
      <c r="M848">
        <v>4380600</v>
      </c>
      <c r="N848">
        <v>52</v>
      </c>
      <c r="O848" t="s">
        <v>31</v>
      </c>
      <c r="P848" t="s">
        <v>42</v>
      </c>
    </row>
    <row r="849" spans="1:16" x14ac:dyDescent="0.35">
      <c r="A849" t="s">
        <v>1854</v>
      </c>
      <c r="B849" t="s">
        <v>1855</v>
      </c>
      <c r="C849" t="s">
        <v>53</v>
      </c>
      <c r="F849" s="1">
        <v>44343</v>
      </c>
      <c r="G849">
        <v>2015</v>
      </c>
      <c r="H849" t="s">
        <v>38</v>
      </c>
      <c r="I849" t="s">
        <v>136</v>
      </c>
      <c r="K849">
        <v>5.2</v>
      </c>
      <c r="L849">
        <v>14659347</v>
      </c>
      <c r="M849">
        <v>3302594</v>
      </c>
      <c r="N849">
        <v>70</v>
      </c>
      <c r="O849" t="s">
        <v>41</v>
      </c>
      <c r="P849" t="s">
        <v>32</v>
      </c>
    </row>
    <row r="850" spans="1:16" x14ac:dyDescent="0.35">
      <c r="A850" t="s">
        <v>1856</v>
      </c>
      <c r="B850" t="s">
        <v>1857</v>
      </c>
      <c r="C850" t="s">
        <v>79</v>
      </c>
      <c r="D850" t="s">
        <v>54</v>
      </c>
      <c r="E850" t="s">
        <v>113</v>
      </c>
      <c r="F850" s="1">
        <v>42985</v>
      </c>
      <c r="G850">
        <v>2024</v>
      </c>
      <c r="H850" t="s">
        <v>46</v>
      </c>
      <c r="I850" t="s">
        <v>958</v>
      </c>
      <c r="J850" t="s">
        <v>30</v>
      </c>
      <c r="K850">
        <v>9.1999999999999993</v>
      </c>
      <c r="L850">
        <v>11153050</v>
      </c>
      <c r="M850">
        <v>3266507</v>
      </c>
      <c r="N850">
        <v>50</v>
      </c>
      <c r="O850" t="s">
        <v>104</v>
      </c>
      <c r="P850" t="s">
        <v>42</v>
      </c>
    </row>
    <row r="851" spans="1:16" x14ac:dyDescent="0.35">
      <c r="A851" t="s">
        <v>1858</v>
      </c>
      <c r="B851" t="s">
        <v>1859</v>
      </c>
      <c r="C851" t="s">
        <v>53</v>
      </c>
      <c r="D851" t="s">
        <v>90</v>
      </c>
      <c r="E851" t="s">
        <v>131</v>
      </c>
      <c r="F851" s="1">
        <v>43103</v>
      </c>
      <c r="G851">
        <v>2006</v>
      </c>
      <c r="H851" t="s">
        <v>21</v>
      </c>
      <c r="I851" t="s">
        <v>162</v>
      </c>
      <c r="J851" t="s">
        <v>30</v>
      </c>
      <c r="K851">
        <v>9.4</v>
      </c>
      <c r="L851">
        <v>8436654</v>
      </c>
      <c r="M851">
        <v>205676</v>
      </c>
      <c r="N851">
        <v>86</v>
      </c>
      <c r="O851" t="s">
        <v>41</v>
      </c>
      <c r="P851" t="s">
        <v>50</v>
      </c>
    </row>
    <row r="852" spans="1:16" x14ac:dyDescent="0.35">
      <c r="A852" t="s">
        <v>1860</v>
      </c>
      <c r="B852" t="s">
        <v>1861</v>
      </c>
      <c r="C852" t="s">
        <v>18</v>
      </c>
      <c r="F852" s="1">
        <v>42179</v>
      </c>
      <c r="G852">
        <v>2000</v>
      </c>
      <c r="H852" t="s">
        <v>81</v>
      </c>
      <c r="I852" t="s">
        <v>1606</v>
      </c>
      <c r="J852" t="s">
        <v>76</v>
      </c>
      <c r="K852">
        <v>8.1999999999999993</v>
      </c>
      <c r="L852">
        <v>2567630</v>
      </c>
      <c r="M852">
        <v>1757799</v>
      </c>
      <c r="N852">
        <v>50</v>
      </c>
      <c r="O852" t="s">
        <v>104</v>
      </c>
      <c r="P852" t="s">
        <v>42</v>
      </c>
    </row>
    <row r="853" spans="1:16" x14ac:dyDescent="0.35">
      <c r="A853" t="s">
        <v>1862</v>
      </c>
      <c r="B853" t="s">
        <v>1863</v>
      </c>
      <c r="C853" t="s">
        <v>79</v>
      </c>
      <c r="F853" s="1">
        <v>45228</v>
      </c>
      <c r="G853">
        <v>2011</v>
      </c>
      <c r="H853" t="s">
        <v>70</v>
      </c>
      <c r="I853" t="s">
        <v>187</v>
      </c>
      <c r="J853" t="s">
        <v>72</v>
      </c>
      <c r="K853">
        <v>6.6</v>
      </c>
      <c r="L853">
        <v>20906972</v>
      </c>
      <c r="M853">
        <v>2943672</v>
      </c>
      <c r="N853">
        <v>90</v>
      </c>
      <c r="O853" t="s">
        <v>123</v>
      </c>
      <c r="P853" t="s">
        <v>50</v>
      </c>
    </row>
    <row r="854" spans="1:16" x14ac:dyDescent="0.35">
      <c r="A854" t="s">
        <v>1864</v>
      </c>
      <c r="B854" t="s">
        <v>1865</v>
      </c>
      <c r="D854" t="s">
        <v>36</v>
      </c>
      <c r="E854" t="s">
        <v>20</v>
      </c>
      <c r="F854" s="1">
        <v>43799</v>
      </c>
      <c r="G854">
        <v>2006</v>
      </c>
      <c r="H854" t="s">
        <v>38</v>
      </c>
      <c r="I854" t="s">
        <v>39</v>
      </c>
      <c r="J854" t="s">
        <v>48</v>
      </c>
      <c r="K854">
        <v>7.5</v>
      </c>
      <c r="L854">
        <v>6500147</v>
      </c>
      <c r="M854">
        <v>4455288</v>
      </c>
      <c r="N854">
        <v>67</v>
      </c>
      <c r="O854" t="s">
        <v>123</v>
      </c>
    </row>
    <row r="855" spans="1:16" x14ac:dyDescent="0.35">
      <c r="A855" t="s">
        <v>1866</v>
      </c>
      <c r="B855" t="s">
        <v>1867</v>
      </c>
      <c r="C855" t="s">
        <v>53</v>
      </c>
      <c r="D855" t="s">
        <v>94</v>
      </c>
      <c r="E855" t="s">
        <v>55</v>
      </c>
      <c r="F855" s="1">
        <v>42316</v>
      </c>
      <c r="G855">
        <v>2019</v>
      </c>
      <c r="H855" t="s">
        <v>46</v>
      </c>
      <c r="I855" t="s">
        <v>71</v>
      </c>
      <c r="J855" t="s">
        <v>76</v>
      </c>
      <c r="K855">
        <v>6.9</v>
      </c>
      <c r="L855">
        <v>19330729</v>
      </c>
      <c r="M855">
        <v>3514719</v>
      </c>
      <c r="N855">
        <v>73</v>
      </c>
      <c r="O855" t="s">
        <v>41</v>
      </c>
      <c r="P855" t="s">
        <v>87</v>
      </c>
    </row>
    <row r="856" spans="1:16" x14ac:dyDescent="0.35">
      <c r="A856" t="s">
        <v>1868</v>
      </c>
      <c r="B856" t="s">
        <v>1869</v>
      </c>
      <c r="C856" t="s">
        <v>18</v>
      </c>
      <c r="D856" t="s">
        <v>94</v>
      </c>
      <c r="E856" t="s">
        <v>165</v>
      </c>
      <c r="F856" s="1">
        <v>44310</v>
      </c>
      <c r="G856">
        <v>2007</v>
      </c>
      <c r="H856" t="s">
        <v>70</v>
      </c>
      <c r="I856" t="s">
        <v>754</v>
      </c>
      <c r="J856" t="s">
        <v>133</v>
      </c>
      <c r="K856">
        <v>9</v>
      </c>
      <c r="L856">
        <v>18591272</v>
      </c>
      <c r="M856">
        <v>4401646</v>
      </c>
      <c r="N856">
        <v>56</v>
      </c>
      <c r="O856" t="s">
        <v>31</v>
      </c>
      <c r="P856" t="s">
        <v>42</v>
      </c>
    </row>
    <row r="857" spans="1:16" x14ac:dyDescent="0.35">
      <c r="A857" t="s">
        <v>1870</v>
      </c>
      <c r="B857" t="s">
        <v>1871</v>
      </c>
      <c r="E857" t="s">
        <v>28</v>
      </c>
      <c r="F857" s="1">
        <v>45936</v>
      </c>
      <c r="G857">
        <v>2008</v>
      </c>
      <c r="H857" t="s">
        <v>121</v>
      </c>
      <c r="I857" t="s">
        <v>39</v>
      </c>
      <c r="J857" t="s">
        <v>96</v>
      </c>
      <c r="K857">
        <v>6.4</v>
      </c>
      <c r="L857">
        <v>21040355</v>
      </c>
      <c r="M857">
        <v>922742</v>
      </c>
      <c r="N857">
        <v>90</v>
      </c>
      <c r="O857" t="s">
        <v>41</v>
      </c>
      <c r="P857" t="s">
        <v>87</v>
      </c>
    </row>
    <row r="858" spans="1:16" x14ac:dyDescent="0.35">
      <c r="A858" t="s">
        <v>1872</v>
      </c>
      <c r="B858" t="s">
        <v>1873</v>
      </c>
      <c r="C858" t="s">
        <v>84</v>
      </c>
      <c r="D858" t="s">
        <v>27</v>
      </c>
      <c r="E858" t="s">
        <v>99</v>
      </c>
      <c r="F858" s="1">
        <v>44687</v>
      </c>
      <c r="G858">
        <v>2006</v>
      </c>
      <c r="H858" t="s">
        <v>114</v>
      </c>
      <c r="I858" t="s">
        <v>195</v>
      </c>
      <c r="J858" t="s">
        <v>30</v>
      </c>
      <c r="K858">
        <v>9.8000000000000007</v>
      </c>
      <c r="L858">
        <v>1812380</v>
      </c>
      <c r="M858">
        <v>4445429</v>
      </c>
      <c r="N858">
        <v>93</v>
      </c>
      <c r="O858" t="s">
        <v>31</v>
      </c>
      <c r="P858" t="s">
        <v>50</v>
      </c>
    </row>
    <row r="859" spans="1:16" x14ac:dyDescent="0.35">
      <c r="A859" t="s">
        <v>1874</v>
      </c>
      <c r="B859" t="s">
        <v>1875</v>
      </c>
      <c r="C859" t="s">
        <v>18</v>
      </c>
      <c r="D859" t="s">
        <v>36</v>
      </c>
      <c r="E859" t="s">
        <v>55</v>
      </c>
      <c r="F859" s="1">
        <v>44093</v>
      </c>
      <c r="G859">
        <v>2016</v>
      </c>
      <c r="H859" t="s">
        <v>107</v>
      </c>
      <c r="I859" t="s">
        <v>696</v>
      </c>
      <c r="J859" t="s">
        <v>40</v>
      </c>
      <c r="K859">
        <v>6.9</v>
      </c>
      <c r="L859">
        <v>19184897</v>
      </c>
      <c r="M859">
        <v>1586666</v>
      </c>
      <c r="N859">
        <v>90</v>
      </c>
      <c r="O859" t="s">
        <v>65</v>
      </c>
      <c r="P859" t="s">
        <v>50</v>
      </c>
    </row>
    <row r="860" spans="1:16" x14ac:dyDescent="0.35">
      <c r="A860" t="s">
        <v>1876</v>
      </c>
      <c r="B860" t="s">
        <v>1877</v>
      </c>
      <c r="D860" t="s">
        <v>61</v>
      </c>
      <c r="E860" t="s">
        <v>62</v>
      </c>
      <c r="F860" s="1">
        <v>43311</v>
      </c>
      <c r="G860">
        <v>2019</v>
      </c>
      <c r="H860" t="s">
        <v>21</v>
      </c>
      <c r="I860" t="s">
        <v>39</v>
      </c>
      <c r="J860" t="s">
        <v>57</v>
      </c>
      <c r="K860">
        <v>5</v>
      </c>
      <c r="L860">
        <v>22802945</v>
      </c>
      <c r="M860">
        <v>408070</v>
      </c>
      <c r="N860">
        <v>61</v>
      </c>
      <c r="O860" t="s">
        <v>123</v>
      </c>
      <c r="P860" t="s">
        <v>32</v>
      </c>
    </row>
    <row r="861" spans="1:16" x14ac:dyDescent="0.35">
      <c r="A861" t="s">
        <v>1878</v>
      </c>
      <c r="B861" t="s">
        <v>1879</v>
      </c>
      <c r="D861" t="s">
        <v>90</v>
      </c>
      <c r="E861" t="s">
        <v>113</v>
      </c>
      <c r="F861" s="1">
        <v>43517</v>
      </c>
      <c r="G861">
        <v>2016</v>
      </c>
      <c r="H861" t="s">
        <v>85</v>
      </c>
      <c r="I861" t="s">
        <v>64</v>
      </c>
      <c r="J861" t="s">
        <v>23</v>
      </c>
      <c r="K861">
        <v>4.9000000000000004</v>
      </c>
      <c r="L861">
        <v>22959235</v>
      </c>
      <c r="M861">
        <v>4991486</v>
      </c>
      <c r="N861">
        <v>41</v>
      </c>
      <c r="O861" t="s">
        <v>58</v>
      </c>
      <c r="P861" t="s">
        <v>32</v>
      </c>
    </row>
    <row r="862" spans="1:16" x14ac:dyDescent="0.35">
      <c r="A862" t="s">
        <v>1880</v>
      </c>
      <c r="B862" t="s">
        <v>1881</v>
      </c>
      <c r="C862" t="s">
        <v>18</v>
      </c>
      <c r="D862" t="s">
        <v>94</v>
      </c>
      <c r="E862" t="s">
        <v>131</v>
      </c>
      <c r="F862" s="1">
        <v>44658</v>
      </c>
      <c r="G862">
        <v>2016</v>
      </c>
      <c r="H862" t="s">
        <v>46</v>
      </c>
      <c r="I862" t="s">
        <v>1032</v>
      </c>
      <c r="J862" t="s">
        <v>72</v>
      </c>
      <c r="K862">
        <v>4.7</v>
      </c>
      <c r="L862">
        <v>13590096</v>
      </c>
      <c r="M862">
        <v>183846</v>
      </c>
      <c r="N862">
        <v>55</v>
      </c>
      <c r="O862" t="s">
        <v>91</v>
      </c>
      <c r="P862" t="s">
        <v>32</v>
      </c>
    </row>
    <row r="863" spans="1:16" x14ac:dyDescent="0.35">
      <c r="A863" t="s">
        <v>1882</v>
      </c>
      <c r="B863" t="s">
        <v>1883</v>
      </c>
      <c r="D863" t="s">
        <v>36</v>
      </c>
      <c r="F863" s="1">
        <v>42577</v>
      </c>
      <c r="G863">
        <v>2011</v>
      </c>
      <c r="H863" t="s">
        <v>21</v>
      </c>
      <c r="I863" t="s">
        <v>71</v>
      </c>
      <c r="J863" t="s">
        <v>23</v>
      </c>
      <c r="K863">
        <v>9.6999999999999993</v>
      </c>
      <c r="L863">
        <v>17586428</v>
      </c>
      <c r="M863">
        <v>2863025</v>
      </c>
      <c r="N863">
        <v>92</v>
      </c>
    </row>
    <row r="864" spans="1:16" x14ac:dyDescent="0.35">
      <c r="A864" t="s">
        <v>1884</v>
      </c>
      <c r="B864" t="s">
        <v>1885</v>
      </c>
      <c r="C864" t="s">
        <v>35</v>
      </c>
      <c r="D864" t="s">
        <v>19</v>
      </c>
      <c r="E864" t="s">
        <v>62</v>
      </c>
      <c r="F864" s="1">
        <v>43153</v>
      </c>
      <c r="G864">
        <v>2014</v>
      </c>
      <c r="H864" t="s">
        <v>63</v>
      </c>
      <c r="I864" t="s">
        <v>39</v>
      </c>
      <c r="J864" t="s">
        <v>30</v>
      </c>
      <c r="K864">
        <v>8.3000000000000007</v>
      </c>
      <c r="L864">
        <v>15274484</v>
      </c>
      <c r="M864">
        <v>2965693</v>
      </c>
      <c r="N864">
        <v>86</v>
      </c>
      <c r="P864" t="s">
        <v>50</v>
      </c>
    </row>
    <row r="865" spans="1:16" x14ac:dyDescent="0.35">
      <c r="A865" t="s">
        <v>1886</v>
      </c>
      <c r="B865" t="s">
        <v>1887</v>
      </c>
      <c r="C865" t="s">
        <v>53</v>
      </c>
      <c r="D865" t="s">
        <v>36</v>
      </c>
      <c r="E865" t="s">
        <v>62</v>
      </c>
      <c r="F865" s="1">
        <v>45748</v>
      </c>
      <c r="G865">
        <v>2007</v>
      </c>
      <c r="H865" t="s">
        <v>85</v>
      </c>
      <c r="I865" t="s">
        <v>136</v>
      </c>
      <c r="J865" t="s">
        <v>76</v>
      </c>
      <c r="K865">
        <v>4.7</v>
      </c>
      <c r="L865">
        <v>18049243</v>
      </c>
      <c r="M865">
        <v>3200554</v>
      </c>
      <c r="N865">
        <v>90</v>
      </c>
      <c r="O865" t="s">
        <v>58</v>
      </c>
      <c r="P865" t="s">
        <v>87</v>
      </c>
    </row>
    <row r="866" spans="1:16" x14ac:dyDescent="0.35">
      <c r="A866" t="s">
        <v>1888</v>
      </c>
      <c r="B866" t="s">
        <v>1889</v>
      </c>
      <c r="C866" t="s">
        <v>18</v>
      </c>
      <c r="D866" t="s">
        <v>54</v>
      </c>
      <c r="E866" t="s">
        <v>62</v>
      </c>
      <c r="F866" s="1">
        <v>45850</v>
      </c>
      <c r="G866">
        <v>2011</v>
      </c>
      <c r="H866" t="s">
        <v>21</v>
      </c>
      <c r="I866" t="s">
        <v>411</v>
      </c>
      <c r="J866" t="s">
        <v>103</v>
      </c>
      <c r="K866">
        <v>6.1</v>
      </c>
      <c r="L866">
        <v>8074069</v>
      </c>
      <c r="M866">
        <v>3775688</v>
      </c>
      <c r="N866">
        <v>82</v>
      </c>
      <c r="O866" t="s">
        <v>24</v>
      </c>
      <c r="P866" t="s">
        <v>32</v>
      </c>
    </row>
    <row r="867" spans="1:16" x14ac:dyDescent="0.35">
      <c r="A867" t="s">
        <v>1890</v>
      </c>
      <c r="B867" t="s">
        <v>1891</v>
      </c>
      <c r="C867" t="s">
        <v>18</v>
      </c>
      <c r="E867" t="s">
        <v>131</v>
      </c>
      <c r="F867" s="1">
        <v>45272</v>
      </c>
      <c r="G867">
        <v>2015</v>
      </c>
      <c r="H867" t="s">
        <v>63</v>
      </c>
      <c r="I867" t="s">
        <v>894</v>
      </c>
      <c r="J867" t="s">
        <v>40</v>
      </c>
      <c r="K867">
        <v>5.5</v>
      </c>
      <c r="L867">
        <v>15521778</v>
      </c>
      <c r="M867">
        <v>9948</v>
      </c>
      <c r="N867">
        <v>75</v>
      </c>
      <c r="O867" t="s">
        <v>24</v>
      </c>
    </row>
    <row r="868" spans="1:16" x14ac:dyDescent="0.35">
      <c r="A868" t="s">
        <v>1892</v>
      </c>
      <c r="B868" t="s">
        <v>1893</v>
      </c>
      <c r="C868" t="s">
        <v>35</v>
      </c>
      <c r="D868" t="s">
        <v>36</v>
      </c>
      <c r="E868" t="s">
        <v>20</v>
      </c>
      <c r="F868" s="1">
        <v>45969</v>
      </c>
      <c r="G868">
        <v>2003</v>
      </c>
      <c r="I868" t="s">
        <v>71</v>
      </c>
      <c r="J868" t="s">
        <v>30</v>
      </c>
      <c r="K868">
        <v>8.9</v>
      </c>
      <c r="L868">
        <v>21380588</v>
      </c>
      <c r="M868">
        <v>4903592</v>
      </c>
      <c r="N868">
        <v>60</v>
      </c>
      <c r="P868" t="s">
        <v>87</v>
      </c>
    </row>
    <row r="869" spans="1:16" x14ac:dyDescent="0.35">
      <c r="A869" t="s">
        <v>1894</v>
      </c>
      <c r="B869" t="s">
        <v>1895</v>
      </c>
      <c r="C869" t="s">
        <v>84</v>
      </c>
      <c r="E869" t="s">
        <v>80</v>
      </c>
      <c r="F869" s="1">
        <v>43303</v>
      </c>
      <c r="G869">
        <v>2005</v>
      </c>
      <c r="H869" t="s">
        <v>38</v>
      </c>
      <c r="I869" t="s">
        <v>150</v>
      </c>
      <c r="J869" t="s">
        <v>40</v>
      </c>
      <c r="K869">
        <v>9.1999999999999993</v>
      </c>
      <c r="L869">
        <v>13091260</v>
      </c>
      <c r="M869">
        <v>4882244</v>
      </c>
      <c r="N869">
        <v>85</v>
      </c>
      <c r="O869" t="s">
        <v>104</v>
      </c>
    </row>
    <row r="870" spans="1:16" x14ac:dyDescent="0.35">
      <c r="A870" t="s">
        <v>1896</v>
      </c>
      <c r="B870" t="s">
        <v>1897</v>
      </c>
      <c r="D870" t="s">
        <v>27</v>
      </c>
      <c r="F870" s="1">
        <v>44396</v>
      </c>
      <c r="G870">
        <v>2020</v>
      </c>
      <c r="H870" t="s">
        <v>121</v>
      </c>
      <c r="I870" t="s">
        <v>56</v>
      </c>
      <c r="J870" t="s">
        <v>57</v>
      </c>
      <c r="K870">
        <v>11.2</v>
      </c>
      <c r="L870">
        <v>9640879</v>
      </c>
      <c r="M870">
        <v>1542786</v>
      </c>
      <c r="N870">
        <v>59</v>
      </c>
      <c r="O870" t="s">
        <v>31</v>
      </c>
      <c r="P870" t="s">
        <v>50</v>
      </c>
    </row>
    <row r="871" spans="1:16" x14ac:dyDescent="0.35">
      <c r="A871" t="s">
        <v>1898</v>
      </c>
      <c r="B871" t="s">
        <v>1899</v>
      </c>
      <c r="C871" t="s">
        <v>84</v>
      </c>
      <c r="D871" t="s">
        <v>61</v>
      </c>
      <c r="E871" t="s">
        <v>99</v>
      </c>
      <c r="F871" s="1">
        <v>43817</v>
      </c>
      <c r="G871">
        <v>2017</v>
      </c>
      <c r="H871" t="s">
        <v>114</v>
      </c>
      <c r="I871" t="s">
        <v>361</v>
      </c>
      <c r="J871" t="s">
        <v>133</v>
      </c>
      <c r="K871">
        <v>7.7</v>
      </c>
      <c r="L871">
        <v>4084053</v>
      </c>
      <c r="M871">
        <v>4549461</v>
      </c>
      <c r="N871">
        <v>72</v>
      </c>
      <c r="O871" t="s">
        <v>58</v>
      </c>
      <c r="P871" t="s">
        <v>87</v>
      </c>
    </row>
    <row r="872" spans="1:16" x14ac:dyDescent="0.35">
      <c r="A872" t="s">
        <v>1900</v>
      </c>
      <c r="B872" t="s">
        <v>1901</v>
      </c>
      <c r="C872" t="s">
        <v>84</v>
      </c>
      <c r="D872" t="s">
        <v>156</v>
      </c>
      <c r="E872" t="s">
        <v>62</v>
      </c>
      <c r="F872" s="1">
        <v>43171</v>
      </c>
      <c r="G872">
        <v>2005</v>
      </c>
      <c r="H872" t="s">
        <v>107</v>
      </c>
      <c r="I872" t="s">
        <v>966</v>
      </c>
      <c r="J872" t="s">
        <v>100</v>
      </c>
      <c r="K872">
        <v>6</v>
      </c>
      <c r="L872">
        <v>22216092</v>
      </c>
      <c r="M872">
        <v>1629170</v>
      </c>
      <c r="N872">
        <v>120</v>
      </c>
      <c r="O872" t="s">
        <v>58</v>
      </c>
      <c r="P872" t="s">
        <v>87</v>
      </c>
    </row>
    <row r="873" spans="1:16" x14ac:dyDescent="0.35">
      <c r="A873" t="s">
        <v>1902</v>
      </c>
      <c r="B873" t="s">
        <v>1903</v>
      </c>
      <c r="C873" t="s">
        <v>79</v>
      </c>
      <c r="D873" t="s">
        <v>94</v>
      </c>
      <c r="E873" t="s">
        <v>99</v>
      </c>
      <c r="F873" s="1">
        <v>44336</v>
      </c>
      <c r="G873">
        <v>2026</v>
      </c>
      <c r="H873" t="s">
        <v>85</v>
      </c>
      <c r="I873" t="s">
        <v>1904</v>
      </c>
      <c r="J873" t="s">
        <v>30</v>
      </c>
      <c r="K873">
        <v>8.9</v>
      </c>
      <c r="L873">
        <v>14086253</v>
      </c>
      <c r="M873">
        <v>1153858</v>
      </c>
      <c r="N873">
        <v>77</v>
      </c>
      <c r="O873" t="s">
        <v>104</v>
      </c>
      <c r="P873" t="s">
        <v>50</v>
      </c>
    </row>
    <row r="874" spans="1:16" x14ac:dyDescent="0.35">
      <c r="A874" t="s">
        <v>1905</v>
      </c>
      <c r="B874" t="s">
        <v>1906</v>
      </c>
      <c r="C874" t="s">
        <v>53</v>
      </c>
      <c r="D874" t="s">
        <v>90</v>
      </c>
      <c r="E874" t="s">
        <v>62</v>
      </c>
      <c r="F874" s="1">
        <v>45354</v>
      </c>
      <c r="G874">
        <v>2010</v>
      </c>
      <c r="I874" t="s">
        <v>118</v>
      </c>
      <c r="J874" t="s">
        <v>103</v>
      </c>
      <c r="K874">
        <v>7.2</v>
      </c>
      <c r="L874">
        <v>1898437</v>
      </c>
      <c r="M874">
        <v>264449</v>
      </c>
      <c r="N874">
        <v>44</v>
      </c>
      <c r="O874" t="s">
        <v>41</v>
      </c>
      <c r="P874" t="s">
        <v>87</v>
      </c>
    </row>
    <row r="875" spans="1:16" x14ac:dyDescent="0.35">
      <c r="A875" t="s">
        <v>1907</v>
      </c>
      <c r="B875" t="s">
        <v>1908</v>
      </c>
      <c r="C875" t="s">
        <v>18</v>
      </c>
      <c r="D875" t="s">
        <v>90</v>
      </c>
      <c r="E875" t="s">
        <v>131</v>
      </c>
      <c r="F875" s="1">
        <v>44066</v>
      </c>
      <c r="G875">
        <v>2018</v>
      </c>
      <c r="H875" t="s">
        <v>46</v>
      </c>
      <c r="I875" t="s">
        <v>184</v>
      </c>
      <c r="J875" t="s">
        <v>57</v>
      </c>
      <c r="K875">
        <v>4.5</v>
      </c>
      <c r="L875">
        <v>13081369</v>
      </c>
      <c r="M875">
        <v>4439098</v>
      </c>
      <c r="N875">
        <v>52</v>
      </c>
      <c r="O875" t="s">
        <v>91</v>
      </c>
      <c r="P875" t="s">
        <v>42</v>
      </c>
    </row>
    <row r="876" spans="1:16" x14ac:dyDescent="0.35">
      <c r="A876" t="s">
        <v>1909</v>
      </c>
      <c r="B876" t="s">
        <v>1910</v>
      </c>
      <c r="C876" t="s">
        <v>84</v>
      </c>
      <c r="D876" t="s">
        <v>27</v>
      </c>
      <c r="E876" t="s">
        <v>45</v>
      </c>
      <c r="F876" s="1">
        <v>42382</v>
      </c>
      <c r="G876">
        <v>2010</v>
      </c>
      <c r="H876" t="s">
        <v>114</v>
      </c>
      <c r="I876" t="s">
        <v>1225</v>
      </c>
      <c r="J876" t="s">
        <v>76</v>
      </c>
      <c r="K876">
        <v>8.5</v>
      </c>
      <c r="L876">
        <v>24459683</v>
      </c>
      <c r="M876">
        <v>2810698</v>
      </c>
      <c r="N876">
        <v>55</v>
      </c>
      <c r="O876" t="s">
        <v>24</v>
      </c>
    </row>
    <row r="877" spans="1:16" x14ac:dyDescent="0.35">
      <c r="A877" t="s">
        <v>1911</v>
      </c>
      <c r="B877" t="s">
        <v>1912</v>
      </c>
      <c r="E877" t="s">
        <v>113</v>
      </c>
      <c r="F877" s="1">
        <v>45447</v>
      </c>
      <c r="G877">
        <v>2016</v>
      </c>
      <c r="H877" t="s">
        <v>63</v>
      </c>
      <c r="I877" t="s">
        <v>118</v>
      </c>
      <c r="J877" t="s">
        <v>103</v>
      </c>
      <c r="K877">
        <v>7.7</v>
      </c>
      <c r="L877">
        <v>13715409</v>
      </c>
      <c r="M877">
        <v>1749031</v>
      </c>
      <c r="N877">
        <v>77</v>
      </c>
      <c r="O877" t="s">
        <v>31</v>
      </c>
      <c r="P877" t="s">
        <v>32</v>
      </c>
    </row>
    <row r="878" spans="1:16" x14ac:dyDescent="0.35">
      <c r="A878" t="s">
        <v>1913</v>
      </c>
      <c r="B878" t="s">
        <v>1914</v>
      </c>
      <c r="C878" t="s">
        <v>35</v>
      </c>
      <c r="D878" t="s">
        <v>75</v>
      </c>
      <c r="E878" t="s">
        <v>80</v>
      </c>
      <c r="F878" s="1">
        <v>45653</v>
      </c>
      <c r="G878">
        <v>2008</v>
      </c>
      <c r="H878" t="s">
        <v>21</v>
      </c>
      <c r="I878" t="s">
        <v>39</v>
      </c>
      <c r="J878" t="s">
        <v>103</v>
      </c>
      <c r="K878">
        <v>9.1999999999999993</v>
      </c>
      <c r="L878">
        <v>20037546</v>
      </c>
      <c r="M878">
        <v>582480</v>
      </c>
      <c r="N878">
        <v>83</v>
      </c>
      <c r="O878" t="s">
        <v>41</v>
      </c>
      <c r="P878" t="s">
        <v>50</v>
      </c>
    </row>
    <row r="879" spans="1:16" x14ac:dyDescent="0.35">
      <c r="A879" t="s">
        <v>1915</v>
      </c>
      <c r="B879" t="s">
        <v>1916</v>
      </c>
      <c r="C879" t="s">
        <v>35</v>
      </c>
      <c r="E879" t="s">
        <v>69</v>
      </c>
      <c r="F879" s="1">
        <v>43374</v>
      </c>
      <c r="G879">
        <v>2005</v>
      </c>
      <c r="H879" t="s">
        <v>38</v>
      </c>
      <c r="I879" t="s">
        <v>71</v>
      </c>
      <c r="J879" t="s">
        <v>76</v>
      </c>
      <c r="K879">
        <v>5.3</v>
      </c>
      <c r="L879">
        <v>16274160</v>
      </c>
      <c r="M879">
        <v>3027747</v>
      </c>
      <c r="N879">
        <v>85</v>
      </c>
      <c r="P879" t="s">
        <v>42</v>
      </c>
    </row>
    <row r="880" spans="1:16" x14ac:dyDescent="0.35">
      <c r="A880" t="s">
        <v>1917</v>
      </c>
      <c r="B880" t="s">
        <v>1916</v>
      </c>
      <c r="C880" t="s">
        <v>35</v>
      </c>
      <c r="D880" t="s">
        <v>36</v>
      </c>
      <c r="E880" t="s">
        <v>80</v>
      </c>
      <c r="F880" s="1">
        <v>45202</v>
      </c>
      <c r="G880">
        <v>2002</v>
      </c>
      <c r="H880" t="s">
        <v>121</v>
      </c>
      <c r="I880" t="s">
        <v>56</v>
      </c>
      <c r="J880" t="s">
        <v>72</v>
      </c>
      <c r="K880">
        <v>5.0999999999999996</v>
      </c>
      <c r="L880">
        <v>23042660</v>
      </c>
      <c r="M880">
        <v>3733488</v>
      </c>
      <c r="N880">
        <v>53</v>
      </c>
      <c r="O880" t="s">
        <v>123</v>
      </c>
    </row>
    <row r="881" spans="1:16" x14ac:dyDescent="0.35">
      <c r="A881" t="s">
        <v>1918</v>
      </c>
      <c r="B881" t="s">
        <v>1919</v>
      </c>
      <c r="D881" t="s">
        <v>75</v>
      </c>
      <c r="E881" t="s">
        <v>113</v>
      </c>
      <c r="F881" s="1">
        <v>45798</v>
      </c>
      <c r="G881">
        <v>2023</v>
      </c>
      <c r="H881" t="s">
        <v>46</v>
      </c>
      <c r="I881" t="s">
        <v>118</v>
      </c>
      <c r="J881" t="s">
        <v>100</v>
      </c>
      <c r="K881">
        <v>8.1999999999999993</v>
      </c>
      <c r="L881">
        <v>17793982</v>
      </c>
      <c r="M881">
        <v>568947</v>
      </c>
      <c r="N881">
        <v>90</v>
      </c>
      <c r="O881" t="s">
        <v>58</v>
      </c>
      <c r="P881" t="s">
        <v>87</v>
      </c>
    </row>
    <row r="882" spans="1:16" x14ac:dyDescent="0.35">
      <c r="A882" t="s">
        <v>1920</v>
      </c>
      <c r="B882" t="s">
        <v>1921</v>
      </c>
      <c r="C882" t="s">
        <v>18</v>
      </c>
      <c r="D882" t="s">
        <v>68</v>
      </c>
      <c r="E882" t="s">
        <v>131</v>
      </c>
      <c r="F882" s="1">
        <v>45861</v>
      </c>
      <c r="G882">
        <v>2001</v>
      </c>
      <c r="H882" t="s">
        <v>70</v>
      </c>
      <c r="I882" t="s">
        <v>236</v>
      </c>
      <c r="J882" t="s">
        <v>100</v>
      </c>
      <c r="K882">
        <v>8.6</v>
      </c>
      <c r="L882">
        <v>5271244</v>
      </c>
      <c r="M882">
        <v>815426</v>
      </c>
      <c r="N882">
        <v>46</v>
      </c>
      <c r="O882" t="s">
        <v>49</v>
      </c>
    </row>
    <row r="883" spans="1:16" x14ac:dyDescent="0.35">
      <c r="A883" t="s">
        <v>1922</v>
      </c>
      <c r="B883" t="s">
        <v>1923</v>
      </c>
      <c r="C883" t="s">
        <v>18</v>
      </c>
      <c r="D883" t="s">
        <v>19</v>
      </c>
      <c r="E883" t="s">
        <v>69</v>
      </c>
      <c r="F883" s="1">
        <v>45360</v>
      </c>
      <c r="G883">
        <v>2016</v>
      </c>
      <c r="H883" t="s">
        <v>38</v>
      </c>
      <c r="I883" t="s">
        <v>505</v>
      </c>
      <c r="J883" t="s">
        <v>76</v>
      </c>
      <c r="K883">
        <v>7.2</v>
      </c>
      <c r="L883">
        <v>1810776</v>
      </c>
      <c r="M883">
        <v>2846466</v>
      </c>
      <c r="N883">
        <v>44</v>
      </c>
      <c r="O883" t="s">
        <v>104</v>
      </c>
    </row>
    <row r="884" spans="1:16" x14ac:dyDescent="0.35">
      <c r="A884" t="s">
        <v>1924</v>
      </c>
      <c r="B884" t="s">
        <v>1925</v>
      </c>
      <c r="C884" t="s">
        <v>35</v>
      </c>
      <c r="D884" t="s">
        <v>61</v>
      </c>
      <c r="E884" t="s">
        <v>55</v>
      </c>
      <c r="F884" s="1">
        <v>45286</v>
      </c>
      <c r="G884">
        <v>2018</v>
      </c>
      <c r="H884" t="s">
        <v>114</v>
      </c>
      <c r="I884" t="s">
        <v>118</v>
      </c>
      <c r="J884" t="s">
        <v>76</v>
      </c>
      <c r="K884">
        <v>8.9</v>
      </c>
      <c r="L884">
        <v>7841022</v>
      </c>
      <c r="M884">
        <v>3867467</v>
      </c>
      <c r="N884">
        <v>77</v>
      </c>
      <c r="O884" t="s">
        <v>41</v>
      </c>
      <c r="P884" t="s">
        <v>42</v>
      </c>
    </row>
    <row r="885" spans="1:16" x14ac:dyDescent="0.35">
      <c r="A885" t="s">
        <v>1926</v>
      </c>
      <c r="B885" t="s">
        <v>1927</v>
      </c>
      <c r="C885" t="s">
        <v>53</v>
      </c>
      <c r="D885" t="s">
        <v>75</v>
      </c>
      <c r="E885" t="s">
        <v>165</v>
      </c>
      <c r="F885" s="1">
        <v>42601</v>
      </c>
      <c r="G885">
        <v>2019</v>
      </c>
      <c r="H885" t="s">
        <v>38</v>
      </c>
      <c r="I885" t="s">
        <v>64</v>
      </c>
      <c r="J885" t="s">
        <v>40</v>
      </c>
      <c r="K885">
        <v>7.9</v>
      </c>
      <c r="L885">
        <v>21566452</v>
      </c>
      <c r="M885">
        <v>3731318</v>
      </c>
      <c r="N885">
        <v>77</v>
      </c>
      <c r="O885" t="s">
        <v>104</v>
      </c>
      <c r="P885" t="s">
        <v>87</v>
      </c>
    </row>
    <row r="886" spans="1:16" x14ac:dyDescent="0.35">
      <c r="A886" t="s">
        <v>1928</v>
      </c>
      <c r="B886" t="s">
        <v>1929</v>
      </c>
      <c r="C886" t="s">
        <v>79</v>
      </c>
      <c r="D886" t="s">
        <v>54</v>
      </c>
      <c r="F886" s="1">
        <v>44939</v>
      </c>
      <c r="G886">
        <v>2014</v>
      </c>
      <c r="H886" t="s">
        <v>70</v>
      </c>
      <c r="I886" t="s">
        <v>147</v>
      </c>
      <c r="J886" t="s">
        <v>133</v>
      </c>
      <c r="K886">
        <v>7.8</v>
      </c>
      <c r="L886">
        <v>11916261</v>
      </c>
      <c r="M886">
        <v>687924</v>
      </c>
      <c r="N886">
        <v>85</v>
      </c>
    </row>
    <row r="887" spans="1:16" x14ac:dyDescent="0.35">
      <c r="A887" t="s">
        <v>1930</v>
      </c>
      <c r="B887" t="s">
        <v>1931</v>
      </c>
      <c r="C887" t="s">
        <v>79</v>
      </c>
      <c r="D887" t="s">
        <v>68</v>
      </c>
      <c r="E887" t="s">
        <v>62</v>
      </c>
      <c r="F887" s="1">
        <v>42332</v>
      </c>
      <c r="G887">
        <v>2026</v>
      </c>
      <c r="H887" t="s">
        <v>121</v>
      </c>
      <c r="I887" t="s">
        <v>397</v>
      </c>
      <c r="J887" t="s">
        <v>23</v>
      </c>
      <c r="K887">
        <v>9.1</v>
      </c>
      <c r="L887">
        <v>16544920</v>
      </c>
      <c r="M887">
        <v>2575180</v>
      </c>
      <c r="N887">
        <v>65</v>
      </c>
      <c r="O887" t="s">
        <v>58</v>
      </c>
      <c r="P887" t="s">
        <v>32</v>
      </c>
    </row>
    <row r="888" spans="1:16" x14ac:dyDescent="0.35">
      <c r="A888" t="s">
        <v>1932</v>
      </c>
      <c r="B888" t="s">
        <v>1933</v>
      </c>
      <c r="D888" t="s">
        <v>75</v>
      </c>
      <c r="F888" s="1">
        <v>42253</v>
      </c>
      <c r="G888">
        <v>2007</v>
      </c>
      <c r="H888" t="s">
        <v>114</v>
      </c>
      <c r="I888" t="s">
        <v>56</v>
      </c>
      <c r="J888" t="s">
        <v>57</v>
      </c>
      <c r="K888">
        <v>7.5</v>
      </c>
      <c r="L888">
        <v>19983263</v>
      </c>
      <c r="M888">
        <v>4811542</v>
      </c>
      <c r="N888">
        <v>97</v>
      </c>
      <c r="O888" t="s">
        <v>49</v>
      </c>
      <c r="P888" t="s">
        <v>32</v>
      </c>
    </row>
    <row r="889" spans="1:16" x14ac:dyDescent="0.35">
      <c r="A889" t="s">
        <v>1934</v>
      </c>
      <c r="B889" t="s">
        <v>1935</v>
      </c>
      <c r="C889" t="s">
        <v>18</v>
      </c>
      <c r="D889" t="s">
        <v>75</v>
      </c>
      <c r="E889" t="s">
        <v>20</v>
      </c>
      <c r="F889" s="1">
        <v>43535</v>
      </c>
      <c r="G889">
        <v>2009</v>
      </c>
      <c r="H889" t="s">
        <v>70</v>
      </c>
      <c r="I889" t="s">
        <v>402</v>
      </c>
      <c r="J889" t="s">
        <v>153</v>
      </c>
      <c r="K889">
        <v>8.4</v>
      </c>
      <c r="L889">
        <v>6399822</v>
      </c>
      <c r="M889">
        <v>1379569</v>
      </c>
      <c r="N889">
        <v>70</v>
      </c>
      <c r="O889" t="s">
        <v>49</v>
      </c>
      <c r="P889" t="s">
        <v>50</v>
      </c>
    </row>
    <row r="890" spans="1:16" x14ac:dyDescent="0.35">
      <c r="A890" t="s">
        <v>1936</v>
      </c>
      <c r="B890" t="s">
        <v>1937</v>
      </c>
      <c r="C890" t="s">
        <v>18</v>
      </c>
      <c r="D890" t="s">
        <v>90</v>
      </c>
      <c r="F890" s="1">
        <v>43519</v>
      </c>
      <c r="G890">
        <v>2012</v>
      </c>
      <c r="H890" t="s">
        <v>121</v>
      </c>
      <c r="I890" t="s">
        <v>720</v>
      </c>
      <c r="J890" t="s">
        <v>96</v>
      </c>
      <c r="K890">
        <v>5.4</v>
      </c>
      <c r="L890">
        <v>22819744</v>
      </c>
      <c r="M890">
        <v>636018</v>
      </c>
      <c r="N890">
        <v>88</v>
      </c>
      <c r="O890" t="s">
        <v>49</v>
      </c>
      <c r="P890" t="s">
        <v>50</v>
      </c>
    </row>
    <row r="891" spans="1:16" x14ac:dyDescent="0.35">
      <c r="A891" t="s">
        <v>1938</v>
      </c>
      <c r="B891" t="s">
        <v>1939</v>
      </c>
      <c r="C891" t="s">
        <v>35</v>
      </c>
      <c r="D891" t="s">
        <v>36</v>
      </c>
      <c r="E891" t="s">
        <v>28</v>
      </c>
      <c r="F891" s="1">
        <v>43105</v>
      </c>
      <c r="G891">
        <v>2024</v>
      </c>
      <c r="H891" t="s">
        <v>63</v>
      </c>
      <c r="I891" t="s">
        <v>136</v>
      </c>
      <c r="J891" t="s">
        <v>76</v>
      </c>
      <c r="K891">
        <v>7.8</v>
      </c>
      <c r="L891">
        <v>20781536</v>
      </c>
      <c r="M891">
        <v>1258930</v>
      </c>
      <c r="N891">
        <v>58</v>
      </c>
      <c r="O891" t="s">
        <v>31</v>
      </c>
      <c r="P891" t="s">
        <v>50</v>
      </c>
    </row>
    <row r="892" spans="1:16" x14ac:dyDescent="0.35">
      <c r="A892" t="s">
        <v>1940</v>
      </c>
      <c r="B892" t="s">
        <v>1941</v>
      </c>
      <c r="C892" t="s">
        <v>84</v>
      </c>
      <c r="D892" t="s">
        <v>27</v>
      </c>
      <c r="E892" t="s">
        <v>80</v>
      </c>
      <c r="F892" s="1">
        <v>43074</v>
      </c>
      <c r="G892">
        <v>2000</v>
      </c>
      <c r="H892" t="s">
        <v>70</v>
      </c>
      <c r="I892" t="s">
        <v>82</v>
      </c>
      <c r="K892">
        <v>6.6</v>
      </c>
      <c r="L892">
        <v>14702249</v>
      </c>
      <c r="M892">
        <v>3067362</v>
      </c>
      <c r="N892">
        <v>79</v>
      </c>
      <c r="O892" t="s">
        <v>65</v>
      </c>
      <c r="P892" t="s">
        <v>87</v>
      </c>
    </row>
    <row r="893" spans="1:16" x14ac:dyDescent="0.35">
      <c r="A893" t="s">
        <v>1942</v>
      </c>
      <c r="B893" t="s">
        <v>1943</v>
      </c>
      <c r="C893" t="s">
        <v>35</v>
      </c>
      <c r="D893" t="s">
        <v>75</v>
      </c>
      <c r="E893" t="s">
        <v>99</v>
      </c>
      <c r="F893" s="1">
        <v>45968</v>
      </c>
      <c r="G893">
        <v>2016</v>
      </c>
      <c r="H893" t="s">
        <v>107</v>
      </c>
      <c r="I893" t="s">
        <v>136</v>
      </c>
      <c r="J893" t="s">
        <v>133</v>
      </c>
      <c r="K893">
        <v>9.1</v>
      </c>
      <c r="L893">
        <v>6231167</v>
      </c>
      <c r="M893">
        <v>3632255</v>
      </c>
      <c r="N893">
        <v>83</v>
      </c>
      <c r="O893" t="s">
        <v>58</v>
      </c>
      <c r="P893" t="s">
        <v>42</v>
      </c>
    </row>
    <row r="894" spans="1:16" x14ac:dyDescent="0.35">
      <c r="A894" t="s">
        <v>1944</v>
      </c>
      <c r="B894" t="s">
        <v>1945</v>
      </c>
      <c r="C894" t="s">
        <v>53</v>
      </c>
      <c r="E894" t="s">
        <v>28</v>
      </c>
      <c r="F894" s="1">
        <v>45341</v>
      </c>
      <c r="G894">
        <v>2026</v>
      </c>
      <c r="H894" t="s">
        <v>70</v>
      </c>
      <c r="I894" t="s">
        <v>64</v>
      </c>
      <c r="J894" t="s">
        <v>57</v>
      </c>
      <c r="K894">
        <v>9.1999999999999993</v>
      </c>
      <c r="L894">
        <v>386059</v>
      </c>
      <c r="M894">
        <v>2182268</v>
      </c>
      <c r="N894">
        <v>73</v>
      </c>
      <c r="O894" t="s">
        <v>104</v>
      </c>
      <c r="P894" t="s">
        <v>50</v>
      </c>
    </row>
    <row r="895" spans="1:16" x14ac:dyDescent="0.35">
      <c r="A895" t="s">
        <v>1946</v>
      </c>
      <c r="B895" t="s">
        <v>1947</v>
      </c>
      <c r="C895" t="s">
        <v>35</v>
      </c>
      <c r="D895" t="s">
        <v>94</v>
      </c>
      <c r="E895" t="s">
        <v>45</v>
      </c>
      <c r="F895" s="1">
        <v>42519</v>
      </c>
      <c r="G895">
        <v>2001</v>
      </c>
      <c r="H895" t="s">
        <v>21</v>
      </c>
      <c r="I895" t="s">
        <v>118</v>
      </c>
      <c r="J895" t="s">
        <v>30</v>
      </c>
      <c r="K895">
        <v>9.4</v>
      </c>
      <c r="L895">
        <v>18802931</v>
      </c>
      <c r="M895">
        <v>2657548</v>
      </c>
      <c r="N895">
        <v>60</v>
      </c>
      <c r="O895" t="s">
        <v>49</v>
      </c>
      <c r="P895" t="s">
        <v>32</v>
      </c>
    </row>
    <row r="896" spans="1:16" x14ac:dyDescent="0.35">
      <c r="A896" t="s">
        <v>1948</v>
      </c>
      <c r="B896" t="s">
        <v>1949</v>
      </c>
      <c r="C896" t="s">
        <v>35</v>
      </c>
      <c r="D896" t="s">
        <v>27</v>
      </c>
      <c r="E896" t="s">
        <v>165</v>
      </c>
      <c r="F896" s="1">
        <v>43189</v>
      </c>
      <c r="G896">
        <v>2009</v>
      </c>
      <c r="I896" t="s">
        <v>118</v>
      </c>
      <c r="J896" t="s">
        <v>23</v>
      </c>
      <c r="K896">
        <v>9.3000000000000007</v>
      </c>
      <c r="L896">
        <v>22850428</v>
      </c>
      <c r="M896">
        <v>3878352</v>
      </c>
      <c r="N896">
        <v>64</v>
      </c>
      <c r="O896" t="s">
        <v>91</v>
      </c>
      <c r="P896" t="s">
        <v>87</v>
      </c>
    </row>
    <row r="897" spans="1:16" x14ac:dyDescent="0.35">
      <c r="A897" t="s">
        <v>1950</v>
      </c>
      <c r="B897" t="s">
        <v>1951</v>
      </c>
      <c r="C897" t="s">
        <v>79</v>
      </c>
      <c r="D897" t="s">
        <v>75</v>
      </c>
      <c r="E897" t="s">
        <v>113</v>
      </c>
      <c r="F897" s="1">
        <v>42744</v>
      </c>
      <c r="G897">
        <v>2003</v>
      </c>
      <c r="H897" t="s">
        <v>81</v>
      </c>
      <c r="I897" t="s">
        <v>361</v>
      </c>
      <c r="J897" t="s">
        <v>23</v>
      </c>
      <c r="K897">
        <v>7.5</v>
      </c>
      <c r="L897">
        <v>9033594</v>
      </c>
      <c r="M897">
        <v>1046306</v>
      </c>
      <c r="N897">
        <v>67</v>
      </c>
      <c r="O897" t="s">
        <v>123</v>
      </c>
      <c r="P897" t="s">
        <v>42</v>
      </c>
    </row>
    <row r="898" spans="1:16" x14ac:dyDescent="0.35">
      <c r="A898" t="s">
        <v>1952</v>
      </c>
      <c r="B898" t="s">
        <v>1953</v>
      </c>
      <c r="C898" t="s">
        <v>79</v>
      </c>
      <c r="D898" t="s">
        <v>156</v>
      </c>
      <c r="E898" t="s">
        <v>80</v>
      </c>
      <c r="F898" s="1">
        <v>45499</v>
      </c>
      <c r="G898">
        <v>2009</v>
      </c>
      <c r="H898" t="s">
        <v>121</v>
      </c>
      <c r="I898" t="s">
        <v>287</v>
      </c>
      <c r="J898" t="s">
        <v>153</v>
      </c>
      <c r="K898">
        <v>6.6</v>
      </c>
      <c r="L898">
        <v>10142541</v>
      </c>
      <c r="M898">
        <v>4119115</v>
      </c>
      <c r="N898">
        <v>89</v>
      </c>
      <c r="O898" t="s">
        <v>104</v>
      </c>
      <c r="P898" t="s">
        <v>42</v>
      </c>
    </row>
    <row r="899" spans="1:16" x14ac:dyDescent="0.35">
      <c r="A899" t="s">
        <v>1954</v>
      </c>
      <c r="B899" t="s">
        <v>1955</v>
      </c>
      <c r="C899" t="s">
        <v>79</v>
      </c>
      <c r="D899" t="s">
        <v>94</v>
      </c>
      <c r="E899" t="s">
        <v>45</v>
      </c>
      <c r="F899" s="1">
        <v>43852</v>
      </c>
      <c r="G899">
        <v>2011</v>
      </c>
      <c r="H899" t="s">
        <v>121</v>
      </c>
      <c r="I899" t="s">
        <v>312</v>
      </c>
      <c r="J899" t="s">
        <v>48</v>
      </c>
      <c r="K899">
        <v>7.6</v>
      </c>
      <c r="L899">
        <v>16085229</v>
      </c>
      <c r="M899">
        <v>3999030</v>
      </c>
      <c r="N899">
        <v>77</v>
      </c>
      <c r="P899" t="s">
        <v>87</v>
      </c>
    </row>
    <row r="900" spans="1:16" x14ac:dyDescent="0.35">
      <c r="A900" t="s">
        <v>1956</v>
      </c>
      <c r="B900" t="s">
        <v>1957</v>
      </c>
      <c r="C900" t="s">
        <v>79</v>
      </c>
      <c r="D900" t="s">
        <v>94</v>
      </c>
      <c r="E900" t="s">
        <v>62</v>
      </c>
      <c r="F900" s="1">
        <v>45141</v>
      </c>
      <c r="G900">
        <v>2010</v>
      </c>
      <c r="H900" t="s">
        <v>63</v>
      </c>
      <c r="I900" t="s">
        <v>608</v>
      </c>
      <c r="J900" t="s">
        <v>100</v>
      </c>
      <c r="K900">
        <v>4.8</v>
      </c>
      <c r="L900">
        <v>17588770</v>
      </c>
      <c r="M900">
        <v>4743713</v>
      </c>
      <c r="N900">
        <v>76</v>
      </c>
      <c r="O900" t="s">
        <v>58</v>
      </c>
      <c r="P900" t="s">
        <v>32</v>
      </c>
    </row>
    <row r="901" spans="1:16" x14ac:dyDescent="0.35">
      <c r="A901" t="s">
        <v>1958</v>
      </c>
      <c r="B901" t="s">
        <v>1959</v>
      </c>
      <c r="C901" t="s">
        <v>18</v>
      </c>
      <c r="D901" t="s">
        <v>90</v>
      </c>
      <c r="E901" t="s">
        <v>45</v>
      </c>
      <c r="F901" s="1">
        <v>44554</v>
      </c>
      <c r="G901">
        <v>2023</v>
      </c>
      <c r="H901" t="s">
        <v>81</v>
      </c>
      <c r="I901" t="s">
        <v>817</v>
      </c>
      <c r="J901" t="s">
        <v>72</v>
      </c>
      <c r="K901">
        <v>9.8000000000000007</v>
      </c>
      <c r="L901">
        <v>7162534</v>
      </c>
      <c r="M901">
        <v>340291</v>
      </c>
      <c r="N901">
        <v>64</v>
      </c>
      <c r="O901" t="s">
        <v>65</v>
      </c>
      <c r="P901" t="s">
        <v>42</v>
      </c>
    </row>
    <row r="902" spans="1:16" x14ac:dyDescent="0.35">
      <c r="A902" t="s">
        <v>1960</v>
      </c>
      <c r="B902" t="s">
        <v>1961</v>
      </c>
      <c r="C902" t="s">
        <v>84</v>
      </c>
      <c r="D902" t="s">
        <v>27</v>
      </c>
      <c r="E902" t="s">
        <v>80</v>
      </c>
      <c r="F902" s="1">
        <v>42231</v>
      </c>
      <c r="G902">
        <v>2000</v>
      </c>
      <c r="H902" t="s">
        <v>63</v>
      </c>
      <c r="I902" t="s">
        <v>86</v>
      </c>
      <c r="K902">
        <v>5.6</v>
      </c>
      <c r="L902">
        <v>1598464</v>
      </c>
      <c r="M902">
        <v>1002925</v>
      </c>
      <c r="N902">
        <v>47</v>
      </c>
      <c r="O902" t="s">
        <v>58</v>
      </c>
      <c r="P902" t="s">
        <v>50</v>
      </c>
    </row>
    <row r="903" spans="1:16" x14ac:dyDescent="0.35">
      <c r="A903" t="s">
        <v>1962</v>
      </c>
      <c r="B903" t="s">
        <v>1963</v>
      </c>
      <c r="D903" t="s">
        <v>68</v>
      </c>
      <c r="E903" t="s">
        <v>131</v>
      </c>
      <c r="F903" s="1">
        <v>45090</v>
      </c>
      <c r="G903">
        <v>2003</v>
      </c>
      <c r="H903" t="s">
        <v>107</v>
      </c>
      <c r="I903" t="s">
        <v>95</v>
      </c>
      <c r="J903" t="s">
        <v>103</v>
      </c>
      <c r="K903">
        <v>9.4</v>
      </c>
      <c r="L903">
        <v>2224981</v>
      </c>
      <c r="M903">
        <v>3360573</v>
      </c>
      <c r="N903">
        <v>71</v>
      </c>
      <c r="O903" t="s">
        <v>65</v>
      </c>
      <c r="P903" t="s">
        <v>32</v>
      </c>
    </row>
    <row r="904" spans="1:16" x14ac:dyDescent="0.35">
      <c r="A904" t="s">
        <v>1964</v>
      </c>
      <c r="B904" t="s">
        <v>1965</v>
      </c>
      <c r="C904" t="s">
        <v>79</v>
      </c>
      <c r="D904" t="s">
        <v>54</v>
      </c>
      <c r="E904" t="s">
        <v>20</v>
      </c>
      <c r="F904" s="1">
        <v>45709</v>
      </c>
      <c r="G904">
        <v>2020</v>
      </c>
      <c r="H904" t="s">
        <v>70</v>
      </c>
      <c r="I904" t="s">
        <v>1242</v>
      </c>
      <c r="J904" t="s">
        <v>76</v>
      </c>
      <c r="K904">
        <v>6.4</v>
      </c>
      <c r="L904">
        <v>10010117</v>
      </c>
      <c r="M904">
        <v>2365529</v>
      </c>
      <c r="N904">
        <v>59</v>
      </c>
      <c r="P904" t="s">
        <v>42</v>
      </c>
    </row>
    <row r="905" spans="1:16" x14ac:dyDescent="0.35">
      <c r="A905" t="s">
        <v>1966</v>
      </c>
      <c r="B905" t="s">
        <v>1967</v>
      </c>
      <c r="C905" t="s">
        <v>79</v>
      </c>
      <c r="D905" t="s">
        <v>94</v>
      </c>
      <c r="E905" t="s">
        <v>45</v>
      </c>
      <c r="F905" s="1">
        <v>42419</v>
      </c>
      <c r="G905">
        <v>2003</v>
      </c>
      <c r="H905" t="s">
        <v>81</v>
      </c>
      <c r="I905" t="s">
        <v>738</v>
      </c>
      <c r="K905">
        <v>8.3000000000000007</v>
      </c>
      <c r="L905">
        <v>16810619</v>
      </c>
      <c r="M905">
        <v>1131419</v>
      </c>
      <c r="N905">
        <v>80</v>
      </c>
      <c r="O905" t="s">
        <v>123</v>
      </c>
    </row>
    <row r="906" spans="1:16" x14ac:dyDescent="0.35">
      <c r="A906" t="s">
        <v>1968</v>
      </c>
      <c r="B906" t="s">
        <v>1969</v>
      </c>
      <c r="C906" t="s">
        <v>53</v>
      </c>
      <c r="D906" t="s">
        <v>156</v>
      </c>
      <c r="E906" t="s">
        <v>131</v>
      </c>
      <c r="F906" s="1">
        <v>44113</v>
      </c>
      <c r="G906">
        <v>2013</v>
      </c>
      <c r="H906" t="s">
        <v>38</v>
      </c>
      <c r="I906" t="s">
        <v>136</v>
      </c>
      <c r="J906" t="s">
        <v>100</v>
      </c>
      <c r="K906">
        <v>4.5999999999999996</v>
      </c>
      <c r="L906">
        <v>11123560</v>
      </c>
      <c r="M906">
        <v>2412091</v>
      </c>
      <c r="N906">
        <v>77</v>
      </c>
      <c r="O906" t="s">
        <v>91</v>
      </c>
      <c r="P906" t="s">
        <v>87</v>
      </c>
    </row>
    <row r="907" spans="1:16" x14ac:dyDescent="0.35">
      <c r="A907" t="s">
        <v>1970</v>
      </c>
      <c r="B907" t="s">
        <v>1971</v>
      </c>
      <c r="C907" t="s">
        <v>35</v>
      </c>
      <c r="D907" t="s">
        <v>90</v>
      </c>
      <c r="E907" t="s">
        <v>99</v>
      </c>
      <c r="F907" s="1">
        <v>45180</v>
      </c>
      <c r="G907">
        <v>2007</v>
      </c>
      <c r="H907" t="s">
        <v>70</v>
      </c>
      <c r="I907" t="s">
        <v>95</v>
      </c>
      <c r="J907" t="s">
        <v>40</v>
      </c>
      <c r="K907">
        <v>9.6999999999999993</v>
      </c>
      <c r="L907">
        <v>16204775</v>
      </c>
      <c r="M907">
        <v>2995699</v>
      </c>
      <c r="N907">
        <v>82</v>
      </c>
      <c r="O907" t="s">
        <v>104</v>
      </c>
      <c r="P907" t="s">
        <v>50</v>
      </c>
    </row>
    <row r="908" spans="1:16" x14ac:dyDescent="0.35">
      <c r="A908" t="s">
        <v>1972</v>
      </c>
      <c r="B908" t="s">
        <v>1971</v>
      </c>
      <c r="D908" t="s">
        <v>19</v>
      </c>
      <c r="E908" t="s">
        <v>80</v>
      </c>
      <c r="F908" s="1">
        <v>43817</v>
      </c>
      <c r="G908">
        <v>2016</v>
      </c>
      <c r="H908" t="s">
        <v>21</v>
      </c>
      <c r="I908" t="s">
        <v>71</v>
      </c>
      <c r="J908" t="s">
        <v>72</v>
      </c>
      <c r="K908">
        <v>8</v>
      </c>
      <c r="L908">
        <v>438643</v>
      </c>
      <c r="M908">
        <v>21272</v>
      </c>
      <c r="N908">
        <v>69</v>
      </c>
      <c r="O908" t="s">
        <v>91</v>
      </c>
    </row>
    <row r="909" spans="1:16" x14ac:dyDescent="0.35">
      <c r="A909" t="s">
        <v>1973</v>
      </c>
      <c r="B909" t="s">
        <v>1974</v>
      </c>
      <c r="C909" t="s">
        <v>18</v>
      </c>
      <c r="D909" t="s">
        <v>36</v>
      </c>
      <c r="E909" t="s">
        <v>131</v>
      </c>
      <c r="F909" s="1">
        <v>42661</v>
      </c>
      <c r="G909">
        <v>2009</v>
      </c>
      <c r="H909" t="s">
        <v>46</v>
      </c>
      <c r="I909" t="s">
        <v>1975</v>
      </c>
      <c r="J909" t="s">
        <v>96</v>
      </c>
      <c r="K909">
        <v>8</v>
      </c>
      <c r="L909">
        <v>17956286</v>
      </c>
      <c r="M909">
        <v>1786586</v>
      </c>
      <c r="N909">
        <v>41</v>
      </c>
      <c r="O909" t="s">
        <v>24</v>
      </c>
    </row>
    <row r="910" spans="1:16" x14ac:dyDescent="0.35">
      <c r="A910" t="s">
        <v>1976</v>
      </c>
      <c r="B910" t="s">
        <v>1977</v>
      </c>
      <c r="C910" t="s">
        <v>18</v>
      </c>
      <c r="E910" t="s">
        <v>45</v>
      </c>
      <c r="F910" s="1">
        <v>45906</v>
      </c>
      <c r="G910">
        <v>2001</v>
      </c>
      <c r="H910" t="s">
        <v>46</v>
      </c>
      <c r="I910" t="s">
        <v>917</v>
      </c>
      <c r="J910" t="s">
        <v>100</v>
      </c>
      <c r="K910">
        <v>5.8</v>
      </c>
      <c r="L910">
        <v>919372</v>
      </c>
      <c r="M910">
        <v>4624384</v>
      </c>
      <c r="N910">
        <v>91</v>
      </c>
      <c r="O910" t="s">
        <v>58</v>
      </c>
      <c r="P910" t="s">
        <v>50</v>
      </c>
    </row>
    <row r="911" spans="1:16" x14ac:dyDescent="0.35">
      <c r="A911" t="s">
        <v>1978</v>
      </c>
      <c r="B911" t="s">
        <v>1979</v>
      </c>
      <c r="D911" t="s">
        <v>19</v>
      </c>
      <c r="E911" t="s">
        <v>55</v>
      </c>
      <c r="F911" s="1">
        <v>44872</v>
      </c>
      <c r="G911">
        <v>2010</v>
      </c>
      <c r="I911" t="s">
        <v>56</v>
      </c>
      <c r="J911" t="s">
        <v>30</v>
      </c>
      <c r="K911">
        <v>8.8000000000000007</v>
      </c>
      <c r="L911">
        <v>6592081</v>
      </c>
      <c r="M911">
        <v>3622052</v>
      </c>
      <c r="N911">
        <v>75</v>
      </c>
      <c r="O911" t="s">
        <v>31</v>
      </c>
      <c r="P911" t="s">
        <v>42</v>
      </c>
    </row>
    <row r="912" spans="1:16" x14ac:dyDescent="0.35">
      <c r="A912" t="s">
        <v>1980</v>
      </c>
      <c r="B912" t="s">
        <v>1981</v>
      </c>
      <c r="C912" t="s">
        <v>18</v>
      </c>
      <c r="E912" t="s">
        <v>99</v>
      </c>
      <c r="F912" s="1">
        <v>42863</v>
      </c>
      <c r="G912">
        <v>2019</v>
      </c>
      <c r="H912" t="s">
        <v>114</v>
      </c>
      <c r="I912" t="s">
        <v>1171</v>
      </c>
      <c r="J912" t="s">
        <v>40</v>
      </c>
      <c r="K912">
        <v>7.3</v>
      </c>
      <c r="L912">
        <v>2521410</v>
      </c>
      <c r="M912">
        <v>534168</v>
      </c>
      <c r="N912">
        <v>93</v>
      </c>
      <c r="O912" t="s">
        <v>123</v>
      </c>
      <c r="P912" t="s">
        <v>42</v>
      </c>
    </row>
    <row r="913" spans="1:16" x14ac:dyDescent="0.35">
      <c r="A913" t="s">
        <v>1982</v>
      </c>
      <c r="B913" t="s">
        <v>1983</v>
      </c>
      <c r="C913" t="s">
        <v>53</v>
      </c>
      <c r="F913" s="1">
        <v>45770</v>
      </c>
      <c r="G913">
        <v>2017</v>
      </c>
      <c r="H913" t="s">
        <v>38</v>
      </c>
      <c r="I913" t="s">
        <v>136</v>
      </c>
      <c r="J913" t="s">
        <v>100</v>
      </c>
      <c r="K913">
        <v>8.5</v>
      </c>
      <c r="L913">
        <v>21941605</v>
      </c>
      <c r="M913">
        <v>4639406</v>
      </c>
      <c r="N913">
        <v>43</v>
      </c>
      <c r="O913" t="s">
        <v>41</v>
      </c>
    </row>
    <row r="914" spans="1:16" x14ac:dyDescent="0.35">
      <c r="A914" t="s">
        <v>1984</v>
      </c>
      <c r="B914" t="s">
        <v>1985</v>
      </c>
      <c r="C914" t="s">
        <v>53</v>
      </c>
      <c r="D914" t="s">
        <v>61</v>
      </c>
      <c r="F914" s="1">
        <v>42446</v>
      </c>
      <c r="G914">
        <v>2007</v>
      </c>
      <c r="H914" t="s">
        <v>46</v>
      </c>
      <c r="I914" t="s">
        <v>136</v>
      </c>
      <c r="J914" t="s">
        <v>153</v>
      </c>
      <c r="K914">
        <v>8.5</v>
      </c>
      <c r="L914">
        <v>6258343</v>
      </c>
      <c r="M914">
        <v>3191880</v>
      </c>
      <c r="N914">
        <v>91</v>
      </c>
      <c r="O914" t="s">
        <v>24</v>
      </c>
      <c r="P914" t="s">
        <v>50</v>
      </c>
    </row>
    <row r="915" spans="1:16" x14ac:dyDescent="0.35">
      <c r="A915" t="s">
        <v>1986</v>
      </c>
      <c r="B915" t="s">
        <v>1987</v>
      </c>
      <c r="C915" t="s">
        <v>18</v>
      </c>
      <c r="D915" t="s">
        <v>61</v>
      </c>
      <c r="E915" t="s">
        <v>80</v>
      </c>
      <c r="F915" s="1">
        <v>42872</v>
      </c>
      <c r="G915">
        <v>2014</v>
      </c>
      <c r="H915" t="s">
        <v>46</v>
      </c>
      <c r="I915" t="s">
        <v>122</v>
      </c>
      <c r="J915" t="s">
        <v>100</v>
      </c>
      <c r="K915">
        <v>7</v>
      </c>
      <c r="L915">
        <v>4815741</v>
      </c>
      <c r="M915">
        <v>19022</v>
      </c>
      <c r="N915">
        <v>59</v>
      </c>
      <c r="O915" t="s">
        <v>91</v>
      </c>
    </row>
    <row r="916" spans="1:16" x14ac:dyDescent="0.35">
      <c r="A916" t="s">
        <v>1988</v>
      </c>
      <c r="B916" t="s">
        <v>1989</v>
      </c>
      <c r="C916" t="s">
        <v>79</v>
      </c>
      <c r="E916" t="s">
        <v>165</v>
      </c>
      <c r="F916" s="1">
        <v>43524</v>
      </c>
      <c r="G916">
        <v>2007</v>
      </c>
      <c r="H916" t="s">
        <v>46</v>
      </c>
      <c r="I916" t="s">
        <v>865</v>
      </c>
      <c r="J916" t="s">
        <v>96</v>
      </c>
      <c r="K916">
        <v>4.7</v>
      </c>
      <c r="L916">
        <v>2408617</v>
      </c>
      <c r="M916">
        <v>322766</v>
      </c>
      <c r="N916">
        <v>55</v>
      </c>
      <c r="O916" t="s">
        <v>123</v>
      </c>
      <c r="P916" t="s">
        <v>42</v>
      </c>
    </row>
    <row r="917" spans="1:16" x14ac:dyDescent="0.35">
      <c r="A917" t="s">
        <v>1990</v>
      </c>
      <c r="B917" t="s">
        <v>1991</v>
      </c>
      <c r="D917" t="s">
        <v>19</v>
      </c>
      <c r="E917" t="s">
        <v>62</v>
      </c>
      <c r="F917" s="1">
        <v>44291</v>
      </c>
      <c r="G917">
        <v>2025</v>
      </c>
      <c r="I917" t="s">
        <v>162</v>
      </c>
      <c r="J917" t="s">
        <v>72</v>
      </c>
      <c r="K917">
        <v>7.3</v>
      </c>
      <c r="L917">
        <v>24439823</v>
      </c>
      <c r="M917">
        <v>1593219</v>
      </c>
      <c r="N917">
        <v>60</v>
      </c>
      <c r="O917" t="s">
        <v>58</v>
      </c>
      <c r="P917" t="s">
        <v>50</v>
      </c>
    </row>
    <row r="918" spans="1:16" x14ac:dyDescent="0.35">
      <c r="A918" t="s">
        <v>1992</v>
      </c>
      <c r="B918" t="s">
        <v>1993</v>
      </c>
      <c r="C918" t="s">
        <v>18</v>
      </c>
      <c r="D918" t="s">
        <v>36</v>
      </c>
      <c r="E918" t="s">
        <v>37</v>
      </c>
      <c r="F918" s="1">
        <v>44314</v>
      </c>
      <c r="G918">
        <v>2009</v>
      </c>
      <c r="H918" t="s">
        <v>85</v>
      </c>
      <c r="I918" t="s">
        <v>299</v>
      </c>
      <c r="J918" t="s">
        <v>40</v>
      </c>
      <c r="K918">
        <v>7.7</v>
      </c>
      <c r="L918">
        <v>968006</v>
      </c>
      <c r="M918">
        <v>1194931</v>
      </c>
      <c r="N918">
        <v>79</v>
      </c>
      <c r="O918" t="s">
        <v>49</v>
      </c>
      <c r="P918" t="s">
        <v>32</v>
      </c>
    </row>
    <row r="919" spans="1:16" x14ac:dyDescent="0.35">
      <c r="A919" t="s">
        <v>1994</v>
      </c>
      <c r="B919" t="s">
        <v>1995</v>
      </c>
      <c r="C919" t="s">
        <v>84</v>
      </c>
      <c r="D919" t="s">
        <v>36</v>
      </c>
      <c r="F919" s="1">
        <v>46137</v>
      </c>
      <c r="G919">
        <v>2021</v>
      </c>
      <c r="I919" t="s">
        <v>508</v>
      </c>
      <c r="J919" t="s">
        <v>72</v>
      </c>
      <c r="K919">
        <v>7</v>
      </c>
      <c r="L919">
        <v>2372016</v>
      </c>
      <c r="M919">
        <v>2321832</v>
      </c>
      <c r="N919">
        <v>45</v>
      </c>
      <c r="O919" t="s">
        <v>58</v>
      </c>
    </row>
    <row r="920" spans="1:16" x14ac:dyDescent="0.35">
      <c r="A920" t="s">
        <v>1996</v>
      </c>
      <c r="B920" t="s">
        <v>1997</v>
      </c>
      <c r="C920" t="s">
        <v>53</v>
      </c>
      <c r="D920" t="s">
        <v>75</v>
      </c>
      <c r="E920" t="s">
        <v>55</v>
      </c>
      <c r="F920" s="1">
        <v>45498</v>
      </c>
      <c r="G920">
        <v>2026</v>
      </c>
      <c r="I920" t="s">
        <v>118</v>
      </c>
      <c r="J920" t="s">
        <v>30</v>
      </c>
      <c r="K920">
        <v>7.4</v>
      </c>
      <c r="L920">
        <v>21626012</v>
      </c>
      <c r="M920">
        <v>232716</v>
      </c>
      <c r="N920">
        <v>120</v>
      </c>
      <c r="O920" t="s">
        <v>123</v>
      </c>
      <c r="P920" t="s">
        <v>42</v>
      </c>
    </row>
    <row r="921" spans="1:16" x14ac:dyDescent="0.35">
      <c r="A921" t="s">
        <v>1998</v>
      </c>
      <c r="B921" t="s">
        <v>1999</v>
      </c>
      <c r="C921" t="s">
        <v>53</v>
      </c>
      <c r="D921" t="s">
        <v>61</v>
      </c>
      <c r="F921" s="1">
        <v>44655</v>
      </c>
      <c r="G921">
        <v>2024</v>
      </c>
      <c r="H921" t="s">
        <v>85</v>
      </c>
      <c r="I921" t="s">
        <v>162</v>
      </c>
      <c r="J921" t="s">
        <v>100</v>
      </c>
      <c r="K921">
        <v>5.3</v>
      </c>
      <c r="L921">
        <v>2883530</v>
      </c>
      <c r="M921">
        <v>4130147</v>
      </c>
      <c r="N921">
        <v>71</v>
      </c>
      <c r="O921" t="s">
        <v>24</v>
      </c>
      <c r="P921" t="s">
        <v>50</v>
      </c>
    </row>
    <row r="922" spans="1:16" x14ac:dyDescent="0.35">
      <c r="A922" t="s">
        <v>2000</v>
      </c>
      <c r="B922" t="s">
        <v>2001</v>
      </c>
      <c r="C922" t="s">
        <v>35</v>
      </c>
      <c r="D922" t="s">
        <v>36</v>
      </c>
      <c r="F922" s="1">
        <v>45428</v>
      </c>
      <c r="G922">
        <v>2021</v>
      </c>
      <c r="H922" t="s">
        <v>114</v>
      </c>
      <c r="I922" t="s">
        <v>162</v>
      </c>
      <c r="J922" t="s">
        <v>100</v>
      </c>
      <c r="K922">
        <v>6.7</v>
      </c>
      <c r="L922">
        <v>10422599</v>
      </c>
      <c r="M922">
        <v>811998</v>
      </c>
      <c r="N922">
        <v>52</v>
      </c>
      <c r="O922" t="s">
        <v>104</v>
      </c>
      <c r="P922" t="s">
        <v>87</v>
      </c>
    </row>
    <row r="923" spans="1:16" x14ac:dyDescent="0.35">
      <c r="A923" t="s">
        <v>2002</v>
      </c>
      <c r="B923" t="s">
        <v>2003</v>
      </c>
      <c r="C923" t="s">
        <v>79</v>
      </c>
      <c r="D923" t="s">
        <v>36</v>
      </c>
      <c r="E923" t="s">
        <v>69</v>
      </c>
      <c r="F923" s="1">
        <v>42897</v>
      </c>
      <c r="G923">
        <v>2009</v>
      </c>
      <c r="H923" t="s">
        <v>81</v>
      </c>
      <c r="I923" t="s">
        <v>236</v>
      </c>
      <c r="J923" t="s">
        <v>76</v>
      </c>
      <c r="K923">
        <v>9.1</v>
      </c>
      <c r="L923">
        <v>17486112</v>
      </c>
      <c r="M923">
        <v>4457623</v>
      </c>
      <c r="N923">
        <v>95</v>
      </c>
      <c r="O923" t="s">
        <v>31</v>
      </c>
      <c r="P923" t="s">
        <v>32</v>
      </c>
    </row>
    <row r="924" spans="1:16" x14ac:dyDescent="0.35">
      <c r="A924" t="s">
        <v>2004</v>
      </c>
      <c r="B924" t="s">
        <v>2005</v>
      </c>
      <c r="C924" t="s">
        <v>18</v>
      </c>
      <c r="E924" t="s">
        <v>45</v>
      </c>
      <c r="F924" s="1">
        <v>44633</v>
      </c>
      <c r="G924">
        <v>2017</v>
      </c>
      <c r="H924" t="s">
        <v>121</v>
      </c>
      <c r="I924" t="s">
        <v>312</v>
      </c>
      <c r="J924" t="s">
        <v>40</v>
      </c>
      <c r="K924">
        <v>6</v>
      </c>
      <c r="L924">
        <v>10037193</v>
      </c>
      <c r="M924">
        <v>2755457</v>
      </c>
      <c r="N924">
        <v>98</v>
      </c>
      <c r="P924" t="s">
        <v>50</v>
      </c>
    </row>
    <row r="925" spans="1:16" x14ac:dyDescent="0.35">
      <c r="A925" t="s">
        <v>2006</v>
      </c>
      <c r="B925" t="s">
        <v>2007</v>
      </c>
      <c r="C925" t="s">
        <v>18</v>
      </c>
      <c r="D925" t="s">
        <v>90</v>
      </c>
      <c r="E925" t="s">
        <v>28</v>
      </c>
      <c r="F925" s="1">
        <v>42146</v>
      </c>
      <c r="G925">
        <v>2003</v>
      </c>
      <c r="H925" t="s">
        <v>21</v>
      </c>
      <c r="I925" t="s">
        <v>966</v>
      </c>
      <c r="J925" t="s">
        <v>96</v>
      </c>
      <c r="K925">
        <v>4.7</v>
      </c>
      <c r="L925">
        <v>16483860</v>
      </c>
      <c r="M925">
        <v>2879994</v>
      </c>
      <c r="N925">
        <v>85</v>
      </c>
      <c r="O925" t="s">
        <v>91</v>
      </c>
      <c r="P925" t="s">
        <v>50</v>
      </c>
    </row>
    <row r="926" spans="1:16" x14ac:dyDescent="0.35">
      <c r="A926" t="s">
        <v>2008</v>
      </c>
      <c r="B926" t="s">
        <v>2009</v>
      </c>
      <c r="C926" t="s">
        <v>35</v>
      </c>
      <c r="D926" t="s">
        <v>61</v>
      </c>
      <c r="F926" s="1">
        <v>43170</v>
      </c>
      <c r="G926">
        <v>2004</v>
      </c>
      <c r="H926" t="s">
        <v>70</v>
      </c>
      <c r="I926" t="s">
        <v>136</v>
      </c>
      <c r="J926" t="s">
        <v>76</v>
      </c>
      <c r="K926">
        <v>11.2</v>
      </c>
      <c r="L926">
        <v>-860</v>
      </c>
      <c r="M926">
        <v>2868266</v>
      </c>
      <c r="N926">
        <v>86</v>
      </c>
      <c r="O926" t="s">
        <v>65</v>
      </c>
      <c r="P926" t="s">
        <v>50</v>
      </c>
    </row>
    <row r="927" spans="1:16" x14ac:dyDescent="0.35">
      <c r="A927" t="s">
        <v>2010</v>
      </c>
      <c r="B927" t="s">
        <v>2011</v>
      </c>
      <c r="C927" t="s">
        <v>79</v>
      </c>
      <c r="D927" t="s">
        <v>75</v>
      </c>
      <c r="F927" s="1">
        <v>43929</v>
      </c>
      <c r="G927">
        <v>2001</v>
      </c>
      <c r="H927" t="s">
        <v>70</v>
      </c>
      <c r="I927" t="s">
        <v>132</v>
      </c>
      <c r="J927" t="s">
        <v>153</v>
      </c>
      <c r="K927">
        <v>5.3</v>
      </c>
      <c r="L927">
        <v>19872969</v>
      </c>
      <c r="M927">
        <v>321537</v>
      </c>
      <c r="N927">
        <v>100</v>
      </c>
      <c r="O927" t="s">
        <v>49</v>
      </c>
      <c r="P927" t="s">
        <v>42</v>
      </c>
    </row>
    <row r="928" spans="1:16" x14ac:dyDescent="0.35">
      <c r="A928" t="s">
        <v>2012</v>
      </c>
      <c r="B928" t="s">
        <v>2013</v>
      </c>
      <c r="C928" t="s">
        <v>35</v>
      </c>
      <c r="F928" s="1">
        <v>43803</v>
      </c>
      <c r="G928">
        <v>2017</v>
      </c>
      <c r="H928" t="s">
        <v>114</v>
      </c>
      <c r="I928" t="s">
        <v>56</v>
      </c>
      <c r="J928" t="s">
        <v>40</v>
      </c>
      <c r="K928">
        <v>5.3</v>
      </c>
      <c r="L928">
        <v>17273832</v>
      </c>
      <c r="M928">
        <v>2894939</v>
      </c>
      <c r="N928">
        <v>91</v>
      </c>
      <c r="O928" t="s">
        <v>24</v>
      </c>
      <c r="P928" t="s">
        <v>32</v>
      </c>
    </row>
    <row r="929" spans="1:16" x14ac:dyDescent="0.35">
      <c r="A929" t="s">
        <v>2014</v>
      </c>
      <c r="B929" t="s">
        <v>2015</v>
      </c>
      <c r="F929" s="1">
        <v>42210</v>
      </c>
      <c r="G929">
        <v>2026</v>
      </c>
      <c r="H929" t="s">
        <v>46</v>
      </c>
      <c r="I929" t="s">
        <v>136</v>
      </c>
      <c r="J929" t="s">
        <v>133</v>
      </c>
      <c r="K929">
        <v>6.6</v>
      </c>
      <c r="L929">
        <v>1272641</v>
      </c>
      <c r="M929">
        <v>252957</v>
      </c>
      <c r="N929">
        <v>45</v>
      </c>
      <c r="O929" t="s">
        <v>49</v>
      </c>
      <c r="P929" t="s">
        <v>42</v>
      </c>
    </row>
    <row r="930" spans="1:16" x14ac:dyDescent="0.35">
      <c r="A930" t="s">
        <v>2016</v>
      </c>
      <c r="B930" t="s">
        <v>2017</v>
      </c>
      <c r="C930" t="s">
        <v>18</v>
      </c>
      <c r="E930" t="s">
        <v>37</v>
      </c>
      <c r="F930" s="1">
        <v>43572</v>
      </c>
      <c r="G930">
        <v>2011</v>
      </c>
      <c r="H930" t="s">
        <v>107</v>
      </c>
      <c r="I930" t="s">
        <v>184</v>
      </c>
      <c r="J930" t="s">
        <v>48</v>
      </c>
      <c r="K930">
        <v>5.4</v>
      </c>
      <c r="L930">
        <v>14852080</v>
      </c>
      <c r="M930">
        <v>3848283</v>
      </c>
      <c r="N930">
        <v>120</v>
      </c>
      <c r="O930" t="s">
        <v>58</v>
      </c>
      <c r="P930" t="s">
        <v>42</v>
      </c>
    </row>
    <row r="931" spans="1:16" x14ac:dyDescent="0.35">
      <c r="A931" t="s">
        <v>2018</v>
      </c>
      <c r="B931" t="s">
        <v>2019</v>
      </c>
      <c r="C931" t="s">
        <v>84</v>
      </c>
      <c r="D931" t="s">
        <v>27</v>
      </c>
      <c r="E931" t="s">
        <v>113</v>
      </c>
      <c r="F931" s="1">
        <v>42017</v>
      </c>
      <c r="G931">
        <v>2000</v>
      </c>
      <c r="H931" t="s">
        <v>107</v>
      </c>
      <c r="I931" t="s">
        <v>195</v>
      </c>
      <c r="J931" t="s">
        <v>133</v>
      </c>
      <c r="K931">
        <v>8</v>
      </c>
      <c r="L931">
        <v>22506651</v>
      </c>
      <c r="M931">
        <v>788111</v>
      </c>
      <c r="N931">
        <v>80</v>
      </c>
      <c r="O931" t="s">
        <v>123</v>
      </c>
      <c r="P931" t="s">
        <v>32</v>
      </c>
    </row>
    <row r="932" spans="1:16" x14ac:dyDescent="0.35">
      <c r="A932" t="s">
        <v>2020</v>
      </c>
      <c r="B932" t="s">
        <v>2021</v>
      </c>
      <c r="E932" t="s">
        <v>20</v>
      </c>
      <c r="G932">
        <v>2015</v>
      </c>
      <c r="H932" t="s">
        <v>81</v>
      </c>
      <c r="I932" t="s">
        <v>71</v>
      </c>
      <c r="J932" t="s">
        <v>76</v>
      </c>
      <c r="K932">
        <v>7.7</v>
      </c>
      <c r="L932">
        <v>10353263</v>
      </c>
      <c r="M932">
        <v>708201</v>
      </c>
      <c r="N932">
        <v>65</v>
      </c>
      <c r="O932" t="s">
        <v>24</v>
      </c>
      <c r="P932" t="s">
        <v>32</v>
      </c>
    </row>
    <row r="933" spans="1:16" x14ac:dyDescent="0.35">
      <c r="A933" t="s">
        <v>2022</v>
      </c>
      <c r="B933" t="s">
        <v>2023</v>
      </c>
      <c r="C933" t="s">
        <v>79</v>
      </c>
      <c r="D933" t="s">
        <v>75</v>
      </c>
      <c r="E933" t="s">
        <v>45</v>
      </c>
      <c r="F933" s="1">
        <v>42718</v>
      </c>
      <c r="G933">
        <v>2016</v>
      </c>
      <c r="H933" t="s">
        <v>38</v>
      </c>
      <c r="I933" t="s">
        <v>472</v>
      </c>
      <c r="J933" t="s">
        <v>100</v>
      </c>
      <c r="K933">
        <v>5.8</v>
      </c>
      <c r="L933">
        <v>14090149</v>
      </c>
      <c r="M933">
        <v>1866901</v>
      </c>
      <c r="N933">
        <v>74</v>
      </c>
      <c r="O933" t="s">
        <v>49</v>
      </c>
      <c r="P933" t="s">
        <v>42</v>
      </c>
    </row>
    <row r="934" spans="1:16" x14ac:dyDescent="0.35">
      <c r="A934" t="s">
        <v>2024</v>
      </c>
      <c r="B934" t="s">
        <v>2025</v>
      </c>
      <c r="C934" t="s">
        <v>84</v>
      </c>
      <c r="D934" t="s">
        <v>68</v>
      </c>
      <c r="E934" t="s">
        <v>55</v>
      </c>
      <c r="F934" s="1">
        <v>45791</v>
      </c>
      <c r="G934">
        <v>2008</v>
      </c>
      <c r="H934" t="s">
        <v>46</v>
      </c>
      <c r="I934" t="s">
        <v>865</v>
      </c>
      <c r="J934" t="s">
        <v>72</v>
      </c>
      <c r="K934">
        <v>5.8</v>
      </c>
      <c r="L934">
        <v>13110876</v>
      </c>
      <c r="M934">
        <v>209709</v>
      </c>
      <c r="N934">
        <v>66</v>
      </c>
      <c r="O934" t="s">
        <v>123</v>
      </c>
      <c r="P934" t="s">
        <v>32</v>
      </c>
    </row>
    <row r="935" spans="1:16" x14ac:dyDescent="0.35">
      <c r="A935" t="s">
        <v>2026</v>
      </c>
      <c r="B935" t="s">
        <v>2027</v>
      </c>
      <c r="C935" t="s">
        <v>18</v>
      </c>
      <c r="F935" s="1">
        <v>42181</v>
      </c>
      <c r="G935">
        <v>2018</v>
      </c>
      <c r="H935" t="s">
        <v>70</v>
      </c>
      <c r="I935" t="s">
        <v>917</v>
      </c>
      <c r="J935" t="s">
        <v>133</v>
      </c>
      <c r="K935">
        <v>8.1</v>
      </c>
      <c r="L935">
        <v>4437264</v>
      </c>
      <c r="M935">
        <v>2167265</v>
      </c>
      <c r="N935">
        <v>86</v>
      </c>
      <c r="O935" t="s">
        <v>65</v>
      </c>
      <c r="P935" t="s">
        <v>50</v>
      </c>
    </row>
    <row r="936" spans="1:16" x14ac:dyDescent="0.35">
      <c r="A936" t="s">
        <v>2028</v>
      </c>
      <c r="B936" t="s">
        <v>2029</v>
      </c>
      <c r="C936" t="s">
        <v>84</v>
      </c>
      <c r="D936" t="s">
        <v>75</v>
      </c>
      <c r="E936" t="s">
        <v>45</v>
      </c>
      <c r="F936" s="1">
        <v>43281</v>
      </c>
      <c r="G936">
        <v>2017</v>
      </c>
      <c r="I936" t="s">
        <v>1333</v>
      </c>
      <c r="J936" t="s">
        <v>30</v>
      </c>
      <c r="K936">
        <v>6.2</v>
      </c>
      <c r="L936">
        <v>16040887</v>
      </c>
      <c r="M936">
        <v>4648003</v>
      </c>
      <c r="N936">
        <v>44</v>
      </c>
      <c r="O936" t="s">
        <v>41</v>
      </c>
      <c r="P936" t="s">
        <v>87</v>
      </c>
    </row>
    <row r="937" spans="1:16" x14ac:dyDescent="0.35">
      <c r="A937" t="s">
        <v>2030</v>
      </c>
      <c r="B937" t="s">
        <v>2031</v>
      </c>
      <c r="E937" t="s">
        <v>62</v>
      </c>
      <c r="F937" s="1">
        <v>45574</v>
      </c>
      <c r="G937">
        <v>2015</v>
      </c>
      <c r="I937" t="s">
        <v>39</v>
      </c>
      <c r="J937" t="s">
        <v>40</v>
      </c>
      <c r="K937">
        <v>6.7</v>
      </c>
      <c r="L937">
        <v>13189313</v>
      </c>
      <c r="M937">
        <v>2492422</v>
      </c>
      <c r="N937">
        <v>100</v>
      </c>
      <c r="O937" t="s">
        <v>91</v>
      </c>
      <c r="P937" t="s">
        <v>50</v>
      </c>
    </row>
    <row r="938" spans="1:16" x14ac:dyDescent="0.35">
      <c r="A938" t="s">
        <v>2032</v>
      </c>
      <c r="B938" t="s">
        <v>2033</v>
      </c>
      <c r="C938" t="s">
        <v>79</v>
      </c>
      <c r="E938" t="s">
        <v>99</v>
      </c>
      <c r="G938">
        <v>2023</v>
      </c>
      <c r="H938" t="s">
        <v>121</v>
      </c>
      <c r="I938" t="s">
        <v>275</v>
      </c>
      <c r="J938" t="s">
        <v>96</v>
      </c>
      <c r="K938">
        <v>9</v>
      </c>
      <c r="L938">
        <v>24003001</v>
      </c>
      <c r="M938">
        <v>4933270</v>
      </c>
      <c r="N938">
        <v>89</v>
      </c>
      <c r="O938" t="s">
        <v>24</v>
      </c>
      <c r="P938" t="s">
        <v>50</v>
      </c>
    </row>
    <row r="939" spans="1:16" x14ac:dyDescent="0.35">
      <c r="A939" t="s">
        <v>2034</v>
      </c>
      <c r="B939" t="s">
        <v>2035</v>
      </c>
      <c r="C939" t="s">
        <v>53</v>
      </c>
      <c r="D939" t="s">
        <v>27</v>
      </c>
      <c r="E939" t="s">
        <v>45</v>
      </c>
      <c r="F939" s="1">
        <v>43122</v>
      </c>
      <c r="G939">
        <v>2008</v>
      </c>
      <c r="H939" t="s">
        <v>46</v>
      </c>
      <c r="I939" t="s">
        <v>136</v>
      </c>
      <c r="J939" t="s">
        <v>48</v>
      </c>
      <c r="K939">
        <v>7.8</v>
      </c>
      <c r="L939">
        <v>15088812</v>
      </c>
      <c r="M939">
        <v>2670557</v>
      </c>
      <c r="N939">
        <v>65</v>
      </c>
      <c r="O939" t="s">
        <v>24</v>
      </c>
      <c r="P939" t="s">
        <v>32</v>
      </c>
    </row>
    <row r="940" spans="1:16" x14ac:dyDescent="0.35">
      <c r="A940" t="s">
        <v>2036</v>
      </c>
      <c r="B940" t="s">
        <v>2037</v>
      </c>
      <c r="C940" t="s">
        <v>53</v>
      </c>
      <c r="E940" t="s">
        <v>37</v>
      </c>
      <c r="F940" s="1">
        <v>42197</v>
      </c>
      <c r="G940">
        <v>2010</v>
      </c>
      <c r="H940" t="s">
        <v>38</v>
      </c>
      <c r="I940" t="s">
        <v>56</v>
      </c>
      <c r="J940" t="s">
        <v>96</v>
      </c>
      <c r="K940">
        <v>5.9</v>
      </c>
      <c r="L940">
        <v>8049591</v>
      </c>
      <c r="M940">
        <v>2470601</v>
      </c>
      <c r="N940">
        <v>45</v>
      </c>
      <c r="O940" t="s">
        <v>41</v>
      </c>
    </row>
    <row r="941" spans="1:16" x14ac:dyDescent="0.35">
      <c r="A941" t="s">
        <v>2038</v>
      </c>
      <c r="B941" t="s">
        <v>2039</v>
      </c>
      <c r="C941" t="s">
        <v>79</v>
      </c>
      <c r="D941" t="s">
        <v>90</v>
      </c>
      <c r="F941" s="1">
        <v>45078</v>
      </c>
      <c r="G941">
        <v>2003</v>
      </c>
      <c r="I941" t="s">
        <v>794</v>
      </c>
      <c r="J941" t="s">
        <v>72</v>
      </c>
      <c r="K941">
        <v>5.5</v>
      </c>
      <c r="L941">
        <v>3768972</v>
      </c>
      <c r="M941">
        <v>3239907</v>
      </c>
      <c r="N941">
        <v>46</v>
      </c>
      <c r="O941" t="s">
        <v>65</v>
      </c>
      <c r="P941" t="s">
        <v>50</v>
      </c>
    </row>
    <row r="942" spans="1:16" x14ac:dyDescent="0.35">
      <c r="A942" t="s">
        <v>2040</v>
      </c>
      <c r="B942" t="s">
        <v>2041</v>
      </c>
      <c r="C942" t="s">
        <v>18</v>
      </c>
      <c r="D942" t="s">
        <v>36</v>
      </c>
      <c r="E942" t="s">
        <v>28</v>
      </c>
      <c r="F942" s="1">
        <v>43179</v>
      </c>
      <c r="G942">
        <v>2017</v>
      </c>
      <c r="H942" t="s">
        <v>121</v>
      </c>
      <c r="I942" t="s">
        <v>472</v>
      </c>
      <c r="K942">
        <v>8.1</v>
      </c>
      <c r="L942">
        <v>12241936</v>
      </c>
      <c r="M942">
        <v>1154609</v>
      </c>
      <c r="N942">
        <v>76</v>
      </c>
      <c r="O942" t="s">
        <v>49</v>
      </c>
      <c r="P942" t="s">
        <v>42</v>
      </c>
    </row>
    <row r="943" spans="1:16" x14ac:dyDescent="0.35">
      <c r="A943" t="s">
        <v>2042</v>
      </c>
      <c r="B943" t="s">
        <v>2043</v>
      </c>
      <c r="C943" t="s">
        <v>79</v>
      </c>
      <c r="D943" t="s">
        <v>94</v>
      </c>
      <c r="E943" t="s">
        <v>99</v>
      </c>
      <c r="F943" s="1">
        <v>46025</v>
      </c>
      <c r="G943">
        <v>2016</v>
      </c>
      <c r="H943" t="s">
        <v>114</v>
      </c>
      <c r="I943" t="s">
        <v>320</v>
      </c>
      <c r="J943" t="s">
        <v>48</v>
      </c>
      <c r="K943">
        <v>8.6999999999999993</v>
      </c>
      <c r="L943">
        <v>8611997</v>
      </c>
      <c r="M943">
        <v>1866628</v>
      </c>
      <c r="N943">
        <v>66</v>
      </c>
      <c r="O943" t="s">
        <v>65</v>
      </c>
      <c r="P943" t="s">
        <v>50</v>
      </c>
    </row>
    <row r="944" spans="1:16" x14ac:dyDescent="0.35">
      <c r="A944" t="s">
        <v>2044</v>
      </c>
      <c r="B944" t="s">
        <v>2045</v>
      </c>
      <c r="C944" t="s">
        <v>18</v>
      </c>
      <c r="D944" t="s">
        <v>94</v>
      </c>
      <c r="E944" t="s">
        <v>113</v>
      </c>
      <c r="G944">
        <v>2013</v>
      </c>
      <c r="H944" t="s">
        <v>114</v>
      </c>
      <c r="I944" t="s">
        <v>331</v>
      </c>
      <c r="J944" t="s">
        <v>133</v>
      </c>
      <c r="K944">
        <v>6.3</v>
      </c>
      <c r="L944">
        <v>5086793</v>
      </c>
      <c r="M944">
        <v>3151395</v>
      </c>
      <c r="N944">
        <v>99</v>
      </c>
      <c r="O944" t="s">
        <v>104</v>
      </c>
      <c r="P944" t="s">
        <v>42</v>
      </c>
    </row>
    <row r="945" spans="1:16" x14ac:dyDescent="0.35">
      <c r="A945" t="s">
        <v>2046</v>
      </c>
      <c r="B945" t="s">
        <v>2047</v>
      </c>
      <c r="D945" t="s">
        <v>36</v>
      </c>
      <c r="F945" s="1">
        <v>43483</v>
      </c>
      <c r="G945">
        <v>2009</v>
      </c>
      <c r="H945" t="s">
        <v>63</v>
      </c>
      <c r="I945" t="s">
        <v>64</v>
      </c>
      <c r="J945" t="s">
        <v>72</v>
      </c>
      <c r="K945">
        <v>8.1</v>
      </c>
      <c r="L945">
        <v>10975639</v>
      </c>
      <c r="M945">
        <v>1969376</v>
      </c>
      <c r="N945">
        <v>96</v>
      </c>
    </row>
    <row r="946" spans="1:16" x14ac:dyDescent="0.35">
      <c r="A946" t="s">
        <v>2048</v>
      </c>
      <c r="B946" t="s">
        <v>2049</v>
      </c>
      <c r="C946" t="s">
        <v>18</v>
      </c>
      <c r="D946" t="s">
        <v>90</v>
      </c>
      <c r="E946" t="s">
        <v>55</v>
      </c>
      <c r="F946" s="1">
        <v>44305</v>
      </c>
      <c r="G946">
        <v>2019</v>
      </c>
      <c r="H946" t="s">
        <v>21</v>
      </c>
      <c r="I946" t="s">
        <v>963</v>
      </c>
      <c r="J946" t="s">
        <v>72</v>
      </c>
      <c r="K946">
        <v>7.9</v>
      </c>
      <c r="L946">
        <v>4509658</v>
      </c>
      <c r="M946">
        <v>15241</v>
      </c>
      <c r="N946">
        <v>43</v>
      </c>
      <c r="P946" t="s">
        <v>32</v>
      </c>
    </row>
    <row r="947" spans="1:16" x14ac:dyDescent="0.35">
      <c r="A947" t="s">
        <v>2050</v>
      </c>
      <c r="B947" t="s">
        <v>2051</v>
      </c>
      <c r="C947" t="s">
        <v>79</v>
      </c>
      <c r="D947" t="s">
        <v>75</v>
      </c>
      <c r="E947" t="s">
        <v>80</v>
      </c>
      <c r="F947" s="1">
        <v>44561</v>
      </c>
      <c r="G947">
        <v>2011</v>
      </c>
      <c r="H947" t="s">
        <v>38</v>
      </c>
      <c r="I947" t="s">
        <v>594</v>
      </c>
      <c r="J947" t="s">
        <v>40</v>
      </c>
      <c r="K947">
        <v>6.8</v>
      </c>
      <c r="L947">
        <v>394475</v>
      </c>
      <c r="M947">
        <v>1952932</v>
      </c>
      <c r="N947">
        <v>94</v>
      </c>
      <c r="O947" t="s">
        <v>49</v>
      </c>
      <c r="P947" t="s">
        <v>87</v>
      </c>
    </row>
    <row r="948" spans="1:16" x14ac:dyDescent="0.35">
      <c r="A948" t="s">
        <v>2052</v>
      </c>
      <c r="B948" t="s">
        <v>2053</v>
      </c>
      <c r="C948" t="s">
        <v>53</v>
      </c>
      <c r="D948" t="s">
        <v>90</v>
      </c>
      <c r="E948" t="s">
        <v>131</v>
      </c>
      <c r="F948" s="1">
        <v>42488</v>
      </c>
      <c r="G948">
        <v>2020</v>
      </c>
      <c r="H948" t="s">
        <v>107</v>
      </c>
      <c r="I948" t="s">
        <v>71</v>
      </c>
      <c r="J948" t="s">
        <v>153</v>
      </c>
      <c r="K948">
        <v>9.5</v>
      </c>
      <c r="L948">
        <v>9574846</v>
      </c>
      <c r="M948">
        <v>2619609</v>
      </c>
      <c r="N948">
        <v>47</v>
      </c>
      <c r="O948" t="s">
        <v>49</v>
      </c>
      <c r="P948" t="s">
        <v>42</v>
      </c>
    </row>
    <row r="949" spans="1:16" x14ac:dyDescent="0.35">
      <c r="A949" t="s">
        <v>2054</v>
      </c>
      <c r="B949" t="s">
        <v>2055</v>
      </c>
      <c r="D949" t="s">
        <v>61</v>
      </c>
      <c r="E949" t="s">
        <v>55</v>
      </c>
      <c r="G949">
        <v>2002</v>
      </c>
      <c r="H949" t="s">
        <v>70</v>
      </c>
      <c r="I949" t="s">
        <v>136</v>
      </c>
      <c r="J949" t="s">
        <v>48</v>
      </c>
      <c r="K949">
        <v>9.6</v>
      </c>
      <c r="L949">
        <v>18662722</v>
      </c>
      <c r="M949">
        <v>1851253</v>
      </c>
      <c r="N949">
        <v>41</v>
      </c>
      <c r="O949" t="s">
        <v>41</v>
      </c>
    </row>
    <row r="950" spans="1:16" x14ac:dyDescent="0.35">
      <c r="A950" t="s">
        <v>2056</v>
      </c>
      <c r="B950" t="s">
        <v>2057</v>
      </c>
      <c r="D950" t="s">
        <v>19</v>
      </c>
      <c r="E950" t="s">
        <v>37</v>
      </c>
      <c r="F950" s="1">
        <v>42601</v>
      </c>
      <c r="G950">
        <v>2024</v>
      </c>
      <c r="H950" t="s">
        <v>121</v>
      </c>
      <c r="I950" t="s">
        <v>136</v>
      </c>
      <c r="J950" t="s">
        <v>30</v>
      </c>
      <c r="K950">
        <v>8</v>
      </c>
      <c r="L950">
        <v>19192418</v>
      </c>
      <c r="M950">
        <v>2831821</v>
      </c>
      <c r="N950">
        <v>77</v>
      </c>
      <c r="O950" t="s">
        <v>104</v>
      </c>
      <c r="P950" t="s">
        <v>50</v>
      </c>
    </row>
    <row r="951" spans="1:16" x14ac:dyDescent="0.35">
      <c r="A951" t="s">
        <v>2058</v>
      </c>
      <c r="B951" t="s">
        <v>2059</v>
      </c>
      <c r="C951" t="s">
        <v>79</v>
      </c>
      <c r="E951" t="s">
        <v>37</v>
      </c>
      <c r="F951" s="1">
        <v>43541</v>
      </c>
      <c r="G951">
        <v>2017</v>
      </c>
      <c r="H951" t="s">
        <v>38</v>
      </c>
      <c r="I951" t="s">
        <v>571</v>
      </c>
      <c r="J951" t="s">
        <v>103</v>
      </c>
      <c r="K951">
        <v>5.6</v>
      </c>
      <c r="L951">
        <v>17892501</v>
      </c>
      <c r="M951">
        <v>1029014</v>
      </c>
      <c r="N951">
        <v>84</v>
      </c>
      <c r="O951" t="s">
        <v>24</v>
      </c>
      <c r="P951" t="s">
        <v>50</v>
      </c>
    </row>
    <row r="952" spans="1:16" x14ac:dyDescent="0.35">
      <c r="A952" t="s">
        <v>2060</v>
      </c>
      <c r="B952" t="s">
        <v>2061</v>
      </c>
      <c r="C952" t="s">
        <v>53</v>
      </c>
      <c r="D952" t="s">
        <v>68</v>
      </c>
      <c r="E952" t="s">
        <v>28</v>
      </c>
      <c r="F952" s="1">
        <v>45496</v>
      </c>
      <c r="G952">
        <v>2024</v>
      </c>
      <c r="H952" t="s">
        <v>63</v>
      </c>
      <c r="I952" t="s">
        <v>56</v>
      </c>
      <c r="J952" t="s">
        <v>76</v>
      </c>
      <c r="K952">
        <v>7.6</v>
      </c>
      <c r="L952">
        <v>10049702</v>
      </c>
      <c r="M952">
        <v>53803</v>
      </c>
      <c r="N952">
        <v>90</v>
      </c>
      <c r="O952" t="s">
        <v>123</v>
      </c>
      <c r="P952" t="s">
        <v>87</v>
      </c>
    </row>
    <row r="953" spans="1:16" x14ac:dyDescent="0.35">
      <c r="A953" t="s">
        <v>2062</v>
      </c>
      <c r="B953" t="s">
        <v>2063</v>
      </c>
      <c r="C953" t="s">
        <v>79</v>
      </c>
      <c r="D953" t="s">
        <v>19</v>
      </c>
      <c r="E953" t="s">
        <v>165</v>
      </c>
      <c r="F953" s="1">
        <v>44727</v>
      </c>
      <c r="G953">
        <v>2018</v>
      </c>
      <c r="H953" t="s">
        <v>107</v>
      </c>
      <c r="I953" t="s">
        <v>894</v>
      </c>
      <c r="J953" t="s">
        <v>103</v>
      </c>
      <c r="K953">
        <v>6.3</v>
      </c>
      <c r="L953">
        <v>5568723</v>
      </c>
      <c r="M953">
        <v>19166</v>
      </c>
      <c r="N953">
        <v>89</v>
      </c>
      <c r="O953" t="s">
        <v>104</v>
      </c>
      <c r="P953" t="s">
        <v>32</v>
      </c>
    </row>
    <row r="954" spans="1:16" x14ac:dyDescent="0.35">
      <c r="A954" t="s">
        <v>2064</v>
      </c>
      <c r="B954" t="s">
        <v>2065</v>
      </c>
      <c r="C954" t="s">
        <v>18</v>
      </c>
      <c r="D954" t="s">
        <v>75</v>
      </c>
      <c r="E954" t="s">
        <v>99</v>
      </c>
      <c r="F954" s="1">
        <v>42447</v>
      </c>
      <c r="G954">
        <v>2024</v>
      </c>
      <c r="H954" t="s">
        <v>114</v>
      </c>
      <c r="I954" t="s">
        <v>218</v>
      </c>
      <c r="J954" t="s">
        <v>133</v>
      </c>
      <c r="K954">
        <v>7.6</v>
      </c>
      <c r="L954">
        <v>13118195</v>
      </c>
      <c r="M954">
        <v>4972267</v>
      </c>
      <c r="N954">
        <v>44</v>
      </c>
      <c r="O954" t="s">
        <v>104</v>
      </c>
      <c r="P954" t="s">
        <v>42</v>
      </c>
    </row>
    <row r="955" spans="1:16" x14ac:dyDescent="0.35">
      <c r="A955" t="s">
        <v>2066</v>
      </c>
      <c r="B955" t="s">
        <v>2067</v>
      </c>
      <c r="D955" t="s">
        <v>156</v>
      </c>
      <c r="E955" t="s">
        <v>99</v>
      </c>
      <c r="F955" s="1">
        <v>42798</v>
      </c>
      <c r="G955">
        <v>2022</v>
      </c>
      <c r="H955" t="s">
        <v>85</v>
      </c>
      <c r="I955" t="s">
        <v>64</v>
      </c>
      <c r="J955" t="s">
        <v>100</v>
      </c>
      <c r="K955">
        <v>7.3</v>
      </c>
      <c r="L955">
        <v>24212071</v>
      </c>
      <c r="M955">
        <v>4927079</v>
      </c>
      <c r="N955">
        <v>70</v>
      </c>
      <c r="O955" t="s">
        <v>91</v>
      </c>
      <c r="P955" t="s">
        <v>42</v>
      </c>
    </row>
    <row r="956" spans="1:16" x14ac:dyDescent="0.35">
      <c r="A956" t="s">
        <v>2068</v>
      </c>
      <c r="B956" t="s">
        <v>2069</v>
      </c>
      <c r="C956" t="s">
        <v>18</v>
      </c>
      <c r="D956" t="s">
        <v>90</v>
      </c>
      <c r="E956" t="s">
        <v>62</v>
      </c>
      <c r="F956" s="1">
        <v>42418</v>
      </c>
      <c r="G956">
        <v>2026</v>
      </c>
      <c r="H956" t="s">
        <v>46</v>
      </c>
      <c r="I956" t="s">
        <v>204</v>
      </c>
      <c r="J956" t="s">
        <v>23</v>
      </c>
      <c r="K956">
        <v>7.5</v>
      </c>
      <c r="L956">
        <v>17166176</v>
      </c>
      <c r="M956">
        <v>4545385</v>
      </c>
      <c r="N956">
        <v>90</v>
      </c>
      <c r="O956" t="s">
        <v>31</v>
      </c>
      <c r="P956" t="s">
        <v>42</v>
      </c>
    </row>
    <row r="957" spans="1:16" x14ac:dyDescent="0.35">
      <c r="A957" t="s">
        <v>2070</v>
      </c>
      <c r="B957" t="s">
        <v>2071</v>
      </c>
      <c r="C957" t="s">
        <v>79</v>
      </c>
      <c r="D957" t="s">
        <v>36</v>
      </c>
      <c r="E957" t="s">
        <v>45</v>
      </c>
      <c r="F957" s="1">
        <v>42113</v>
      </c>
      <c r="G957">
        <v>2032</v>
      </c>
      <c r="H957" t="s">
        <v>21</v>
      </c>
      <c r="I957" t="s">
        <v>259</v>
      </c>
      <c r="J957" t="s">
        <v>72</v>
      </c>
      <c r="K957">
        <v>8.9</v>
      </c>
      <c r="L957">
        <v>7446810</v>
      </c>
      <c r="M957">
        <v>4598301</v>
      </c>
      <c r="N957">
        <v>85</v>
      </c>
      <c r="O957" t="s">
        <v>31</v>
      </c>
      <c r="P957" t="s">
        <v>32</v>
      </c>
    </row>
    <row r="958" spans="1:16" x14ac:dyDescent="0.35">
      <c r="A958" t="s">
        <v>2072</v>
      </c>
      <c r="B958" t="s">
        <v>2073</v>
      </c>
      <c r="C958" t="s">
        <v>79</v>
      </c>
      <c r="E958" t="s">
        <v>131</v>
      </c>
      <c r="F958" s="1">
        <v>43667</v>
      </c>
      <c r="G958">
        <v>2018</v>
      </c>
      <c r="H958" t="s">
        <v>21</v>
      </c>
      <c r="I958" t="s">
        <v>1606</v>
      </c>
      <c r="J958" t="s">
        <v>57</v>
      </c>
      <c r="K958">
        <v>5.5</v>
      </c>
      <c r="L958">
        <v>10792145</v>
      </c>
      <c r="M958">
        <v>1402587</v>
      </c>
      <c r="N958">
        <v>95</v>
      </c>
      <c r="P958" t="s">
        <v>42</v>
      </c>
    </row>
    <row r="959" spans="1:16" x14ac:dyDescent="0.35">
      <c r="A959" t="s">
        <v>2074</v>
      </c>
      <c r="B959" t="s">
        <v>2075</v>
      </c>
      <c r="C959" t="s">
        <v>84</v>
      </c>
      <c r="D959" t="s">
        <v>75</v>
      </c>
      <c r="F959" s="1">
        <v>45712</v>
      </c>
      <c r="G959">
        <v>2014</v>
      </c>
      <c r="H959" t="s">
        <v>70</v>
      </c>
      <c r="I959" t="s">
        <v>1452</v>
      </c>
      <c r="J959" t="s">
        <v>76</v>
      </c>
      <c r="K959">
        <v>9.6999999999999993</v>
      </c>
      <c r="L959">
        <v>18406214</v>
      </c>
      <c r="M959">
        <v>3567425</v>
      </c>
      <c r="N959">
        <v>46</v>
      </c>
      <c r="O959" t="s">
        <v>65</v>
      </c>
      <c r="P959" t="s">
        <v>42</v>
      </c>
    </row>
    <row r="960" spans="1:16" x14ac:dyDescent="0.35">
      <c r="A960" t="s">
        <v>2076</v>
      </c>
      <c r="B960" t="s">
        <v>2077</v>
      </c>
      <c r="C960" t="s">
        <v>35</v>
      </c>
      <c r="D960" t="s">
        <v>94</v>
      </c>
      <c r="E960" t="s">
        <v>62</v>
      </c>
      <c r="F960" s="1">
        <v>42341</v>
      </c>
      <c r="G960">
        <v>2023</v>
      </c>
      <c r="H960" t="s">
        <v>21</v>
      </c>
      <c r="I960" t="s">
        <v>136</v>
      </c>
      <c r="J960" t="s">
        <v>23</v>
      </c>
      <c r="K960">
        <v>6</v>
      </c>
      <c r="L960">
        <v>3343458</v>
      </c>
      <c r="M960">
        <v>3780106</v>
      </c>
      <c r="N960">
        <v>96</v>
      </c>
      <c r="O960" t="s">
        <v>24</v>
      </c>
      <c r="P960" t="s">
        <v>50</v>
      </c>
    </row>
    <row r="961" spans="1:16" x14ac:dyDescent="0.35">
      <c r="A961" t="s">
        <v>2078</v>
      </c>
      <c r="B961" t="s">
        <v>2077</v>
      </c>
      <c r="C961" t="s">
        <v>53</v>
      </c>
      <c r="D961" t="s">
        <v>36</v>
      </c>
      <c r="E961" t="s">
        <v>69</v>
      </c>
      <c r="F961" s="1">
        <v>45261</v>
      </c>
      <c r="G961">
        <v>2011</v>
      </c>
      <c r="H961" t="s">
        <v>63</v>
      </c>
      <c r="I961" t="s">
        <v>136</v>
      </c>
      <c r="J961" t="s">
        <v>30</v>
      </c>
      <c r="K961">
        <v>9.6999999999999993</v>
      </c>
      <c r="L961">
        <v>16020166</v>
      </c>
      <c r="M961">
        <v>4191868</v>
      </c>
      <c r="N961">
        <v>63</v>
      </c>
      <c r="O961" t="s">
        <v>65</v>
      </c>
      <c r="P961" t="s">
        <v>87</v>
      </c>
    </row>
    <row r="962" spans="1:16" x14ac:dyDescent="0.35">
      <c r="A962" t="s">
        <v>2079</v>
      </c>
      <c r="B962" t="s">
        <v>2080</v>
      </c>
      <c r="C962" t="s">
        <v>35</v>
      </c>
      <c r="E962" t="s">
        <v>131</v>
      </c>
      <c r="F962" s="1">
        <v>42965</v>
      </c>
      <c r="G962">
        <v>2017</v>
      </c>
      <c r="H962" t="s">
        <v>121</v>
      </c>
      <c r="I962" t="s">
        <v>118</v>
      </c>
      <c r="J962" t="s">
        <v>23</v>
      </c>
      <c r="K962">
        <v>5.8</v>
      </c>
      <c r="L962">
        <v>16122903</v>
      </c>
      <c r="M962">
        <v>1724489</v>
      </c>
      <c r="N962">
        <v>58</v>
      </c>
      <c r="O962" t="s">
        <v>49</v>
      </c>
      <c r="P962" t="s">
        <v>32</v>
      </c>
    </row>
    <row r="963" spans="1:16" x14ac:dyDescent="0.35">
      <c r="A963" t="s">
        <v>2081</v>
      </c>
      <c r="B963" t="s">
        <v>2082</v>
      </c>
      <c r="C963" t="s">
        <v>18</v>
      </c>
      <c r="D963" t="s">
        <v>36</v>
      </c>
      <c r="E963" t="s">
        <v>131</v>
      </c>
      <c r="F963" s="1">
        <v>42261</v>
      </c>
      <c r="G963">
        <v>2011</v>
      </c>
      <c r="H963" t="s">
        <v>114</v>
      </c>
      <c r="I963" t="s">
        <v>29</v>
      </c>
      <c r="J963" t="s">
        <v>72</v>
      </c>
      <c r="K963">
        <v>8.9</v>
      </c>
      <c r="L963">
        <v>3065982</v>
      </c>
      <c r="M963">
        <v>4770103</v>
      </c>
      <c r="N963">
        <v>120</v>
      </c>
      <c r="O963" t="s">
        <v>41</v>
      </c>
      <c r="P963" t="s">
        <v>87</v>
      </c>
    </row>
    <row r="964" spans="1:16" x14ac:dyDescent="0.35">
      <c r="A964" t="s">
        <v>2083</v>
      </c>
      <c r="B964" t="s">
        <v>2084</v>
      </c>
      <c r="C964" t="s">
        <v>18</v>
      </c>
      <c r="D964" t="s">
        <v>68</v>
      </c>
      <c r="E964" t="s">
        <v>45</v>
      </c>
      <c r="F964" s="1">
        <v>42439</v>
      </c>
      <c r="G964">
        <v>2007</v>
      </c>
      <c r="H964" t="s">
        <v>85</v>
      </c>
      <c r="I964" t="s">
        <v>150</v>
      </c>
      <c r="J964" t="s">
        <v>103</v>
      </c>
      <c r="K964">
        <v>6.7</v>
      </c>
      <c r="L964">
        <v>19977468</v>
      </c>
      <c r="M964">
        <v>82606</v>
      </c>
      <c r="N964">
        <v>44</v>
      </c>
      <c r="O964" t="s">
        <v>41</v>
      </c>
      <c r="P964" t="s">
        <v>32</v>
      </c>
    </row>
    <row r="965" spans="1:16" x14ac:dyDescent="0.35">
      <c r="A965" t="s">
        <v>2085</v>
      </c>
      <c r="B965" t="s">
        <v>2086</v>
      </c>
      <c r="D965" t="s">
        <v>90</v>
      </c>
      <c r="E965" t="s">
        <v>45</v>
      </c>
      <c r="F965" s="1">
        <v>46180</v>
      </c>
      <c r="G965">
        <v>2012</v>
      </c>
      <c r="H965" t="s">
        <v>85</v>
      </c>
      <c r="I965" t="s">
        <v>162</v>
      </c>
      <c r="J965" t="s">
        <v>96</v>
      </c>
      <c r="K965">
        <v>9.4</v>
      </c>
      <c r="L965">
        <v>8260540</v>
      </c>
      <c r="M965">
        <v>1786507</v>
      </c>
      <c r="N965">
        <v>120</v>
      </c>
      <c r="O965" t="s">
        <v>49</v>
      </c>
    </row>
    <row r="966" spans="1:16" x14ac:dyDescent="0.35">
      <c r="A966" t="s">
        <v>2087</v>
      </c>
      <c r="B966" t="s">
        <v>2088</v>
      </c>
      <c r="C966" t="s">
        <v>18</v>
      </c>
      <c r="D966" t="s">
        <v>36</v>
      </c>
      <c r="E966" t="s">
        <v>45</v>
      </c>
      <c r="F966" s="1">
        <v>43895</v>
      </c>
      <c r="G966">
        <v>2024</v>
      </c>
      <c r="H966" t="s">
        <v>70</v>
      </c>
      <c r="J966" t="s">
        <v>40</v>
      </c>
      <c r="K966">
        <v>5.5</v>
      </c>
      <c r="L966">
        <v>5801411</v>
      </c>
      <c r="M966">
        <v>2570360</v>
      </c>
      <c r="N966">
        <v>90</v>
      </c>
      <c r="P966" t="s">
        <v>50</v>
      </c>
    </row>
    <row r="967" spans="1:16" x14ac:dyDescent="0.35">
      <c r="A967" t="s">
        <v>2089</v>
      </c>
      <c r="B967" t="s">
        <v>2090</v>
      </c>
      <c r="C967" t="s">
        <v>84</v>
      </c>
      <c r="D967" t="s">
        <v>75</v>
      </c>
      <c r="E967" t="s">
        <v>20</v>
      </c>
      <c r="F967" s="1">
        <v>45255</v>
      </c>
      <c r="G967">
        <v>2003</v>
      </c>
      <c r="H967" t="s">
        <v>63</v>
      </c>
      <c r="I967" t="s">
        <v>720</v>
      </c>
      <c r="J967" t="s">
        <v>23</v>
      </c>
      <c r="K967">
        <v>9.6999999999999993</v>
      </c>
      <c r="L967">
        <v>8024235</v>
      </c>
      <c r="M967">
        <v>1293678</v>
      </c>
      <c r="N967">
        <v>70</v>
      </c>
      <c r="O967" t="s">
        <v>31</v>
      </c>
      <c r="P967" t="s">
        <v>42</v>
      </c>
    </row>
    <row r="968" spans="1:16" x14ac:dyDescent="0.35">
      <c r="A968" t="s">
        <v>2091</v>
      </c>
      <c r="B968" t="s">
        <v>2092</v>
      </c>
      <c r="D968" t="s">
        <v>61</v>
      </c>
      <c r="E968" t="s">
        <v>113</v>
      </c>
      <c r="F968" s="1">
        <v>45334</v>
      </c>
      <c r="G968">
        <v>2006</v>
      </c>
      <c r="H968" t="s">
        <v>46</v>
      </c>
      <c r="I968" t="s">
        <v>162</v>
      </c>
      <c r="J968" t="s">
        <v>23</v>
      </c>
      <c r="K968">
        <v>8</v>
      </c>
      <c r="L968">
        <v>9335380</v>
      </c>
      <c r="M968">
        <v>4894702</v>
      </c>
      <c r="N968">
        <v>66</v>
      </c>
      <c r="O968" t="s">
        <v>65</v>
      </c>
      <c r="P968" t="s">
        <v>87</v>
      </c>
    </row>
    <row r="969" spans="1:16" x14ac:dyDescent="0.35">
      <c r="A969" t="s">
        <v>2093</v>
      </c>
      <c r="B969" t="s">
        <v>2094</v>
      </c>
      <c r="C969" t="s">
        <v>18</v>
      </c>
      <c r="D969" t="s">
        <v>19</v>
      </c>
      <c r="E969" t="s">
        <v>165</v>
      </c>
      <c r="F969" s="1">
        <v>42132</v>
      </c>
      <c r="G969">
        <v>2023</v>
      </c>
      <c r="H969" t="s">
        <v>38</v>
      </c>
      <c r="I969" t="s">
        <v>1023</v>
      </c>
      <c r="J969" t="s">
        <v>57</v>
      </c>
      <c r="K969">
        <v>9.1999999999999993</v>
      </c>
      <c r="L969">
        <v>9024614</v>
      </c>
      <c r="M969">
        <v>3669507</v>
      </c>
      <c r="N969">
        <v>76</v>
      </c>
      <c r="O969" t="s">
        <v>31</v>
      </c>
      <c r="P969" t="s">
        <v>32</v>
      </c>
    </row>
    <row r="970" spans="1:16" x14ac:dyDescent="0.35">
      <c r="A970" t="s">
        <v>2095</v>
      </c>
      <c r="B970" t="s">
        <v>2096</v>
      </c>
      <c r="C970" t="s">
        <v>84</v>
      </c>
      <c r="D970" t="s">
        <v>68</v>
      </c>
      <c r="E970" t="s">
        <v>45</v>
      </c>
      <c r="F970" s="1">
        <v>45234</v>
      </c>
      <c r="G970">
        <v>2026</v>
      </c>
      <c r="H970" t="s">
        <v>81</v>
      </c>
      <c r="I970" t="s">
        <v>331</v>
      </c>
      <c r="J970" t="s">
        <v>133</v>
      </c>
      <c r="K970">
        <v>11.2</v>
      </c>
      <c r="L970">
        <v>11049280</v>
      </c>
      <c r="M970">
        <v>1265544</v>
      </c>
      <c r="N970">
        <v>91</v>
      </c>
      <c r="O970" t="s">
        <v>49</v>
      </c>
      <c r="P970" t="s">
        <v>42</v>
      </c>
    </row>
    <row r="971" spans="1:16" x14ac:dyDescent="0.35">
      <c r="A971" t="s">
        <v>2097</v>
      </c>
      <c r="B971" t="s">
        <v>2098</v>
      </c>
      <c r="C971" t="s">
        <v>18</v>
      </c>
      <c r="D971" t="s">
        <v>156</v>
      </c>
      <c r="E971" t="s">
        <v>69</v>
      </c>
      <c r="F971" s="1">
        <v>42615</v>
      </c>
      <c r="G971">
        <v>2014</v>
      </c>
      <c r="H971" t="s">
        <v>70</v>
      </c>
      <c r="I971" t="s">
        <v>320</v>
      </c>
      <c r="J971" t="s">
        <v>57</v>
      </c>
      <c r="K971">
        <v>6.3</v>
      </c>
      <c r="L971">
        <v>17160499</v>
      </c>
      <c r="M971">
        <v>4929260</v>
      </c>
      <c r="N971">
        <v>43</v>
      </c>
      <c r="O971" t="s">
        <v>31</v>
      </c>
    </row>
    <row r="972" spans="1:16" x14ac:dyDescent="0.35">
      <c r="A972" t="s">
        <v>2099</v>
      </c>
      <c r="B972" t="s">
        <v>2100</v>
      </c>
      <c r="C972" t="s">
        <v>18</v>
      </c>
      <c r="D972" t="s">
        <v>54</v>
      </c>
      <c r="E972" t="s">
        <v>131</v>
      </c>
      <c r="F972" s="1">
        <v>44257</v>
      </c>
      <c r="G972">
        <v>2015</v>
      </c>
      <c r="H972" t="s">
        <v>81</v>
      </c>
      <c r="I972" t="s">
        <v>754</v>
      </c>
      <c r="J972" t="s">
        <v>23</v>
      </c>
      <c r="K972">
        <v>6.4</v>
      </c>
      <c r="L972">
        <v>5149427</v>
      </c>
      <c r="M972">
        <v>4630885</v>
      </c>
      <c r="N972">
        <v>61</v>
      </c>
      <c r="O972" t="s">
        <v>31</v>
      </c>
      <c r="P972" t="s">
        <v>32</v>
      </c>
    </row>
    <row r="973" spans="1:16" x14ac:dyDescent="0.35">
      <c r="A973" t="s">
        <v>2101</v>
      </c>
      <c r="B973" t="s">
        <v>2102</v>
      </c>
      <c r="C973" t="s">
        <v>35</v>
      </c>
      <c r="D973" t="s">
        <v>27</v>
      </c>
      <c r="E973" t="s">
        <v>20</v>
      </c>
      <c r="F973" s="1">
        <v>43079</v>
      </c>
      <c r="G973">
        <v>2022</v>
      </c>
      <c r="H973" t="s">
        <v>114</v>
      </c>
      <c r="I973" t="s">
        <v>162</v>
      </c>
      <c r="J973" t="s">
        <v>30</v>
      </c>
      <c r="K973">
        <v>8.5</v>
      </c>
      <c r="L973">
        <v>10293112</v>
      </c>
      <c r="M973">
        <v>3346762</v>
      </c>
      <c r="N973">
        <v>86</v>
      </c>
      <c r="O973" t="s">
        <v>123</v>
      </c>
    </row>
    <row r="974" spans="1:16" x14ac:dyDescent="0.35">
      <c r="A974" t="s">
        <v>2103</v>
      </c>
      <c r="B974" t="s">
        <v>2104</v>
      </c>
      <c r="C974" t="s">
        <v>79</v>
      </c>
      <c r="E974" t="s">
        <v>131</v>
      </c>
      <c r="F974" s="1">
        <v>42026</v>
      </c>
      <c r="G974">
        <v>2014</v>
      </c>
      <c r="H974" t="s">
        <v>107</v>
      </c>
      <c r="I974" t="s">
        <v>963</v>
      </c>
      <c r="J974" t="s">
        <v>103</v>
      </c>
      <c r="K974">
        <v>8</v>
      </c>
      <c r="L974">
        <v>20717797</v>
      </c>
      <c r="M974">
        <v>956685</v>
      </c>
      <c r="N974">
        <v>55</v>
      </c>
      <c r="O974" t="s">
        <v>65</v>
      </c>
      <c r="P974" t="s">
        <v>87</v>
      </c>
    </row>
    <row r="975" spans="1:16" x14ac:dyDescent="0.35">
      <c r="A975" t="s">
        <v>2105</v>
      </c>
      <c r="B975" t="s">
        <v>2106</v>
      </c>
      <c r="C975" t="s">
        <v>84</v>
      </c>
      <c r="D975" t="s">
        <v>156</v>
      </c>
      <c r="E975" t="s">
        <v>45</v>
      </c>
      <c r="F975" s="1">
        <v>43181</v>
      </c>
      <c r="G975">
        <v>2002</v>
      </c>
      <c r="H975" t="s">
        <v>81</v>
      </c>
      <c r="I975" t="s">
        <v>987</v>
      </c>
      <c r="K975">
        <v>8.5</v>
      </c>
      <c r="L975">
        <v>15440258</v>
      </c>
      <c r="M975">
        <v>1169994</v>
      </c>
      <c r="N975">
        <v>67</v>
      </c>
      <c r="O975" t="s">
        <v>91</v>
      </c>
      <c r="P975" t="s">
        <v>32</v>
      </c>
    </row>
    <row r="976" spans="1:16" x14ac:dyDescent="0.35">
      <c r="A976" t="s">
        <v>2107</v>
      </c>
      <c r="B976" t="s">
        <v>2108</v>
      </c>
      <c r="C976" t="s">
        <v>53</v>
      </c>
      <c r="D976" t="s">
        <v>156</v>
      </c>
      <c r="E976" t="s">
        <v>113</v>
      </c>
      <c r="F976" s="1">
        <v>43717</v>
      </c>
      <c r="G976">
        <v>2002</v>
      </c>
      <c r="H976" t="s">
        <v>63</v>
      </c>
      <c r="I976" t="s">
        <v>71</v>
      </c>
      <c r="J976" t="s">
        <v>23</v>
      </c>
      <c r="K976">
        <v>9.5</v>
      </c>
      <c r="L976">
        <v>6983680</v>
      </c>
      <c r="M976">
        <v>743045</v>
      </c>
      <c r="N976">
        <v>59</v>
      </c>
      <c r="P976" t="s">
        <v>42</v>
      </c>
    </row>
    <row r="977" spans="1:16" x14ac:dyDescent="0.35">
      <c r="A977" t="s">
        <v>2109</v>
      </c>
      <c r="B977" t="s">
        <v>2110</v>
      </c>
      <c r="C977" t="s">
        <v>53</v>
      </c>
      <c r="D977" t="s">
        <v>94</v>
      </c>
      <c r="E977" t="s">
        <v>37</v>
      </c>
      <c r="F977" s="1">
        <v>42278</v>
      </c>
      <c r="G977">
        <v>2011</v>
      </c>
      <c r="H977" t="s">
        <v>81</v>
      </c>
      <c r="I977" t="s">
        <v>95</v>
      </c>
      <c r="J977" t="s">
        <v>96</v>
      </c>
      <c r="K977">
        <v>5.3</v>
      </c>
      <c r="L977">
        <v>3178217</v>
      </c>
      <c r="M977">
        <v>402252</v>
      </c>
      <c r="N977">
        <v>93</v>
      </c>
      <c r="O977" t="s">
        <v>58</v>
      </c>
      <c r="P977" t="s">
        <v>42</v>
      </c>
    </row>
    <row r="978" spans="1:16" x14ac:dyDescent="0.35">
      <c r="A978" t="s">
        <v>2111</v>
      </c>
      <c r="B978" t="s">
        <v>2112</v>
      </c>
      <c r="C978" t="s">
        <v>35</v>
      </c>
      <c r="E978" t="s">
        <v>99</v>
      </c>
      <c r="F978" s="1">
        <v>43670</v>
      </c>
      <c r="G978">
        <v>2015</v>
      </c>
      <c r="H978" t="s">
        <v>70</v>
      </c>
      <c r="I978" t="s">
        <v>162</v>
      </c>
      <c r="J978" t="s">
        <v>153</v>
      </c>
      <c r="K978">
        <v>8.6</v>
      </c>
      <c r="L978">
        <v>11341238</v>
      </c>
      <c r="M978">
        <v>4984553</v>
      </c>
      <c r="N978">
        <v>59</v>
      </c>
      <c r="O978" t="s">
        <v>123</v>
      </c>
      <c r="P978" t="s">
        <v>42</v>
      </c>
    </row>
    <row r="979" spans="1:16" x14ac:dyDescent="0.35">
      <c r="A979" t="s">
        <v>2113</v>
      </c>
      <c r="B979" t="s">
        <v>2114</v>
      </c>
      <c r="C979" t="s">
        <v>35</v>
      </c>
      <c r="E979" t="s">
        <v>99</v>
      </c>
      <c r="F979" s="1">
        <v>45285</v>
      </c>
      <c r="G979">
        <v>2009</v>
      </c>
      <c r="H979" t="s">
        <v>81</v>
      </c>
      <c r="I979" t="s">
        <v>162</v>
      </c>
      <c r="J979" t="s">
        <v>96</v>
      </c>
      <c r="K979">
        <v>8.1</v>
      </c>
      <c r="L979">
        <v>4675336</v>
      </c>
      <c r="M979">
        <v>4798108</v>
      </c>
      <c r="N979">
        <v>62</v>
      </c>
      <c r="O979" t="s">
        <v>123</v>
      </c>
      <c r="P979" t="s">
        <v>32</v>
      </c>
    </row>
    <row r="980" spans="1:16" x14ac:dyDescent="0.35">
      <c r="A980" t="s">
        <v>2115</v>
      </c>
      <c r="B980" t="s">
        <v>2116</v>
      </c>
      <c r="C980" t="s">
        <v>53</v>
      </c>
      <c r="F980" s="1">
        <v>42547</v>
      </c>
      <c r="G980">
        <v>2020</v>
      </c>
      <c r="H980" t="s">
        <v>114</v>
      </c>
      <c r="I980" t="s">
        <v>71</v>
      </c>
      <c r="J980" t="s">
        <v>72</v>
      </c>
      <c r="K980">
        <v>4.9000000000000004</v>
      </c>
      <c r="L980">
        <v>5145496</v>
      </c>
      <c r="M980">
        <v>497923</v>
      </c>
      <c r="N980">
        <v>120</v>
      </c>
      <c r="O980" t="s">
        <v>49</v>
      </c>
      <c r="P980" t="s">
        <v>32</v>
      </c>
    </row>
    <row r="981" spans="1:16" x14ac:dyDescent="0.35">
      <c r="A981" t="s">
        <v>2117</v>
      </c>
      <c r="B981" t="s">
        <v>2118</v>
      </c>
      <c r="C981" t="s">
        <v>84</v>
      </c>
      <c r="D981" t="s">
        <v>61</v>
      </c>
      <c r="E981" t="s">
        <v>20</v>
      </c>
      <c r="F981" s="1">
        <v>44447</v>
      </c>
      <c r="G981">
        <v>2023</v>
      </c>
      <c r="H981" t="s">
        <v>85</v>
      </c>
      <c r="I981" t="s">
        <v>738</v>
      </c>
      <c r="J981" t="s">
        <v>48</v>
      </c>
      <c r="K981">
        <v>8</v>
      </c>
      <c r="L981">
        <v>572254</v>
      </c>
      <c r="M981">
        <v>4350521</v>
      </c>
      <c r="N981">
        <v>73</v>
      </c>
      <c r="O981" t="s">
        <v>65</v>
      </c>
      <c r="P981" t="s">
        <v>32</v>
      </c>
    </row>
    <row r="982" spans="1:16" x14ac:dyDescent="0.35">
      <c r="A982" t="s">
        <v>2119</v>
      </c>
      <c r="B982" t="s">
        <v>2120</v>
      </c>
      <c r="C982" t="s">
        <v>35</v>
      </c>
      <c r="D982" t="s">
        <v>36</v>
      </c>
      <c r="E982" t="s">
        <v>113</v>
      </c>
      <c r="F982" s="1">
        <v>45882</v>
      </c>
      <c r="G982">
        <v>2025</v>
      </c>
      <c r="I982" t="s">
        <v>136</v>
      </c>
      <c r="J982" t="s">
        <v>23</v>
      </c>
      <c r="K982">
        <v>8.6999999999999993</v>
      </c>
      <c r="L982">
        <v>4586963</v>
      </c>
      <c r="M982">
        <v>2466251</v>
      </c>
      <c r="N982">
        <v>72</v>
      </c>
      <c r="O982" t="s">
        <v>65</v>
      </c>
    </row>
    <row r="983" spans="1:16" x14ac:dyDescent="0.35">
      <c r="A983" t="s">
        <v>2121</v>
      </c>
      <c r="B983" t="s">
        <v>2122</v>
      </c>
      <c r="C983" t="s">
        <v>53</v>
      </c>
      <c r="D983" t="s">
        <v>75</v>
      </c>
      <c r="E983" t="s">
        <v>99</v>
      </c>
      <c r="F983" s="1">
        <v>44624</v>
      </c>
      <c r="G983">
        <v>2010</v>
      </c>
      <c r="H983" t="s">
        <v>63</v>
      </c>
      <c r="I983" t="s">
        <v>64</v>
      </c>
      <c r="J983" t="s">
        <v>23</v>
      </c>
      <c r="K983">
        <v>7.1</v>
      </c>
      <c r="L983">
        <v>608700</v>
      </c>
      <c r="M983">
        <v>2990355</v>
      </c>
      <c r="N983">
        <v>99</v>
      </c>
      <c r="O983" t="s">
        <v>104</v>
      </c>
      <c r="P983" t="s">
        <v>32</v>
      </c>
    </row>
    <row r="984" spans="1:16" x14ac:dyDescent="0.35">
      <c r="A984" t="s">
        <v>2123</v>
      </c>
      <c r="B984" t="s">
        <v>2124</v>
      </c>
      <c r="C984" t="s">
        <v>35</v>
      </c>
      <c r="D984" t="s">
        <v>156</v>
      </c>
      <c r="E984" t="s">
        <v>165</v>
      </c>
      <c r="G984">
        <v>2025</v>
      </c>
      <c r="H984" t="s">
        <v>38</v>
      </c>
      <c r="I984" t="s">
        <v>39</v>
      </c>
      <c r="J984" t="s">
        <v>23</v>
      </c>
      <c r="K984">
        <v>4.7</v>
      </c>
      <c r="L984">
        <v>12265496</v>
      </c>
      <c r="M984">
        <v>1040481</v>
      </c>
      <c r="N984">
        <v>58</v>
      </c>
      <c r="O984" t="s">
        <v>41</v>
      </c>
      <c r="P984" t="s">
        <v>32</v>
      </c>
    </row>
    <row r="985" spans="1:16" x14ac:dyDescent="0.35">
      <c r="A985" t="s">
        <v>2125</v>
      </c>
      <c r="B985" t="s">
        <v>2126</v>
      </c>
      <c r="C985" t="s">
        <v>53</v>
      </c>
      <c r="F985" s="1">
        <v>44901</v>
      </c>
      <c r="G985">
        <v>2003</v>
      </c>
      <c r="H985" t="s">
        <v>107</v>
      </c>
      <c r="I985" t="s">
        <v>71</v>
      </c>
      <c r="J985" t="s">
        <v>23</v>
      </c>
      <c r="K985">
        <v>6.8</v>
      </c>
      <c r="L985">
        <v>12357852</v>
      </c>
      <c r="M985">
        <v>3910339</v>
      </c>
      <c r="N985">
        <v>96</v>
      </c>
      <c r="O985" t="s">
        <v>49</v>
      </c>
      <c r="P985" t="s">
        <v>32</v>
      </c>
    </row>
    <row r="986" spans="1:16" x14ac:dyDescent="0.35">
      <c r="A986" t="s">
        <v>2127</v>
      </c>
      <c r="B986" t="s">
        <v>2128</v>
      </c>
      <c r="C986" t="s">
        <v>84</v>
      </c>
      <c r="D986" t="s">
        <v>75</v>
      </c>
      <c r="E986" t="s">
        <v>45</v>
      </c>
      <c r="F986" s="1">
        <v>45410</v>
      </c>
      <c r="G986">
        <v>2020</v>
      </c>
      <c r="H986" t="s">
        <v>81</v>
      </c>
      <c r="I986" t="s">
        <v>1008</v>
      </c>
      <c r="J986" t="s">
        <v>40</v>
      </c>
      <c r="K986">
        <v>6.2</v>
      </c>
      <c r="L986">
        <v>1466811</v>
      </c>
      <c r="M986">
        <v>20433</v>
      </c>
      <c r="N986">
        <v>73</v>
      </c>
      <c r="O986" t="s">
        <v>41</v>
      </c>
      <c r="P986" t="s">
        <v>50</v>
      </c>
    </row>
    <row r="987" spans="1:16" x14ac:dyDescent="0.35">
      <c r="A987" t="s">
        <v>2129</v>
      </c>
      <c r="B987" t="s">
        <v>2130</v>
      </c>
      <c r="C987" t="s">
        <v>35</v>
      </c>
      <c r="F987" s="1">
        <v>43507</v>
      </c>
      <c r="G987">
        <v>2003</v>
      </c>
      <c r="H987" t="s">
        <v>46</v>
      </c>
      <c r="I987" t="s">
        <v>136</v>
      </c>
      <c r="J987" t="s">
        <v>57</v>
      </c>
      <c r="K987">
        <v>8.8000000000000007</v>
      </c>
      <c r="L987">
        <v>13673711</v>
      </c>
      <c r="M987">
        <v>2364337</v>
      </c>
      <c r="N987">
        <v>89</v>
      </c>
      <c r="O987" t="s">
        <v>123</v>
      </c>
      <c r="P987" t="s">
        <v>32</v>
      </c>
    </row>
    <row r="988" spans="1:16" x14ac:dyDescent="0.35">
      <c r="A988" t="s">
        <v>2131</v>
      </c>
      <c r="B988" t="s">
        <v>2132</v>
      </c>
      <c r="D988" t="s">
        <v>156</v>
      </c>
      <c r="E988" t="s">
        <v>69</v>
      </c>
      <c r="F988" s="1">
        <v>43489</v>
      </c>
      <c r="G988">
        <v>2015</v>
      </c>
      <c r="H988" t="s">
        <v>63</v>
      </c>
      <c r="I988" t="s">
        <v>95</v>
      </c>
      <c r="J988" t="s">
        <v>57</v>
      </c>
      <c r="K988">
        <v>4.5999999999999996</v>
      </c>
      <c r="L988">
        <v>17044674</v>
      </c>
      <c r="M988">
        <v>4423505</v>
      </c>
      <c r="N988">
        <v>46</v>
      </c>
      <c r="O988" t="s">
        <v>41</v>
      </c>
      <c r="P988" t="s">
        <v>87</v>
      </c>
    </row>
    <row r="989" spans="1:16" x14ac:dyDescent="0.35">
      <c r="A989" t="s">
        <v>2133</v>
      </c>
      <c r="B989" t="s">
        <v>2134</v>
      </c>
      <c r="F989" s="1">
        <v>42256</v>
      </c>
      <c r="G989">
        <v>2008</v>
      </c>
      <c r="H989" t="s">
        <v>85</v>
      </c>
      <c r="I989" t="s">
        <v>56</v>
      </c>
      <c r="J989" t="s">
        <v>72</v>
      </c>
      <c r="K989">
        <v>4.8</v>
      </c>
      <c r="L989">
        <v>18929098</v>
      </c>
      <c r="M989">
        <v>309396</v>
      </c>
      <c r="N989">
        <v>74</v>
      </c>
      <c r="O989" t="s">
        <v>49</v>
      </c>
      <c r="P989" t="s">
        <v>42</v>
      </c>
    </row>
    <row r="990" spans="1:16" x14ac:dyDescent="0.35">
      <c r="A990" t="s">
        <v>2135</v>
      </c>
      <c r="B990" t="s">
        <v>2136</v>
      </c>
      <c r="C990" t="s">
        <v>35</v>
      </c>
      <c r="F990" s="1">
        <v>45807</v>
      </c>
      <c r="G990">
        <v>2001</v>
      </c>
      <c r="H990" t="s">
        <v>38</v>
      </c>
      <c r="I990" t="s">
        <v>39</v>
      </c>
      <c r="J990" t="s">
        <v>23</v>
      </c>
      <c r="K990">
        <v>9.6999999999999993</v>
      </c>
      <c r="L990">
        <v>4580085</v>
      </c>
      <c r="M990">
        <v>3256604</v>
      </c>
      <c r="N990">
        <v>87</v>
      </c>
      <c r="O990" t="s">
        <v>24</v>
      </c>
      <c r="P990" t="s">
        <v>50</v>
      </c>
    </row>
    <row r="991" spans="1:16" x14ac:dyDescent="0.35">
      <c r="A991" t="s">
        <v>2137</v>
      </c>
      <c r="B991" t="s">
        <v>2138</v>
      </c>
      <c r="C991" t="s">
        <v>84</v>
      </c>
      <c r="D991" t="s">
        <v>156</v>
      </c>
      <c r="E991" t="s">
        <v>28</v>
      </c>
      <c r="F991" s="1">
        <v>44998</v>
      </c>
      <c r="G991">
        <v>2015</v>
      </c>
      <c r="H991" t="s">
        <v>81</v>
      </c>
      <c r="I991" t="s">
        <v>122</v>
      </c>
      <c r="J991" t="s">
        <v>153</v>
      </c>
      <c r="K991">
        <v>6.2</v>
      </c>
      <c r="L991">
        <v>21266263</v>
      </c>
      <c r="M991">
        <v>692622</v>
      </c>
      <c r="N991">
        <v>45</v>
      </c>
      <c r="O991" t="s">
        <v>58</v>
      </c>
      <c r="P991" t="s">
        <v>50</v>
      </c>
    </row>
    <row r="992" spans="1:16" x14ac:dyDescent="0.35">
      <c r="A992" t="s">
        <v>2139</v>
      </c>
      <c r="B992" t="s">
        <v>2140</v>
      </c>
      <c r="C992" t="s">
        <v>18</v>
      </c>
      <c r="D992" t="s">
        <v>36</v>
      </c>
      <c r="F992" s="1">
        <v>43854</v>
      </c>
      <c r="G992">
        <v>2004</v>
      </c>
      <c r="H992" t="s">
        <v>63</v>
      </c>
      <c r="I992" t="s">
        <v>754</v>
      </c>
      <c r="J992" t="s">
        <v>57</v>
      </c>
      <c r="K992">
        <v>5.0999999999999996</v>
      </c>
      <c r="L992">
        <v>8968485</v>
      </c>
      <c r="M992">
        <v>354770</v>
      </c>
      <c r="N992">
        <v>81</v>
      </c>
      <c r="O992" t="s">
        <v>123</v>
      </c>
    </row>
    <row r="993" spans="1:16" x14ac:dyDescent="0.35">
      <c r="A993" t="s">
        <v>2141</v>
      </c>
      <c r="B993" t="s">
        <v>2142</v>
      </c>
      <c r="D993" t="s">
        <v>54</v>
      </c>
      <c r="E993" t="s">
        <v>20</v>
      </c>
      <c r="F993" s="1">
        <v>43398</v>
      </c>
      <c r="G993">
        <v>2026</v>
      </c>
      <c r="I993" t="s">
        <v>136</v>
      </c>
      <c r="J993" t="s">
        <v>30</v>
      </c>
      <c r="K993">
        <v>8.4</v>
      </c>
      <c r="L993">
        <v>2592619</v>
      </c>
      <c r="M993">
        <v>3032530</v>
      </c>
      <c r="N993">
        <v>83</v>
      </c>
      <c r="O993" t="s">
        <v>104</v>
      </c>
      <c r="P993" t="s">
        <v>42</v>
      </c>
    </row>
    <row r="994" spans="1:16" x14ac:dyDescent="0.35">
      <c r="A994" t="s">
        <v>2143</v>
      </c>
      <c r="B994" t="s">
        <v>2144</v>
      </c>
      <c r="C994" t="s">
        <v>18</v>
      </c>
      <c r="D994" t="s">
        <v>61</v>
      </c>
      <c r="E994" t="s">
        <v>113</v>
      </c>
      <c r="F994" s="1">
        <v>44653</v>
      </c>
      <c r="G994">
        <v>2022</v>
      </c>
      <c r="H994" t="s">
        <v>107</v>
      </c>
      <c r="I994" t="s">
        <v>184</v>
      </c>
      <c r="K994">
        <v>4.5</v>
      </c>
      <c r="L994">
        <v>1998007</v>
      </c>
      <c r="M994">
        <v>1037038</v>
      </c>
      <c r="N994">
        <v>43</v>
      </c>
      <c r="O994" t="s">
        <v>123</v>
      </c>
      <c r="P994" t="s">
        <v>50</v>
      </c>
    </row>
    <row r="995" spans="1:16" x14ac:dyDescent="0.35">
      <c r="A995" t="s">
        <v>2145</v>
      </c>
      <c r="B995" t="s">
        <v>2146</v>
      </c>
      <c r="C995" t="s">
        <v>18</v>
      </c>
      <c r="D995" t="s">
        <v>36</v>
      </c>
      <c r="E995" t="s">
        <v>20</v>
      </c>
      <c r="F995" s="1">
        <v>45667</v>
      </c>
      <c r="G995">
        <v>2016</v>
      </c>
      <c r="H995" t="s">
        <v>46</v>
      </c>
      <c r="I995" t="s">
        <v>420</v>
      </c>
      <c r="J995" t="s">
        <v>96</v>
      </c>
      <c r="K995">
        <v>9.6999999999999993</v>
      </c>
      <c r="L995">
        <v>21664533</v>
      </c>
      <c r="M995">
        <v>3347590</v>
      </c>
      <c r="N995">
        <v>60</v>
      </c>
      <c r="O995" t="s">
        <v>65</v>
      </c>
      <c r="P995" t="s">
        <v>42</v>
      </c>
    </row>
    <row r="996" spans="1:16" x14ac:dyDescent="0.35">
      <c r="A996" t="s">
        <v>2147</v>
      </c>
      <c r="B996" t="s">
        <v>2148</v>
      </c>
      <c r="C996" t="s">
        <v>84</v>
      </c>
      <c r="D996" t="s">
        <v>54</v>
      </c>
      <c r="E996" t="s">
        <v>20</v>
      </c>
      <c r="F996" s="1">
        <v>43149</v>
      </c>
      <c r="G996">
        <v>2019</v>
      </c>
      <c r="I996" t="s">
        <v>717</v>
      </c>
      <c r="J996" t="s">
        <v>23</v>
      </c>
      <c r="K996">
        <v>6.3</v>
      </c>
      <c r="L996">
        <v>1854999</v>
      </c>
      <c r="M996">
        <v>585804</v>
      </c>
      <c r="N996">
        <v>48</v>
      </c>
      <c r="O996" t="s">
        <v>49</v>
      </c>
      <c r="P996" t="s">
        <v>32</v>
      </c>
    </row>
    <row r="997" spans="1:16" x14ac:dyDescent="0.35">
      <c r="A997" t="s">
        <v>2149</v>
      </c>
      <c r="B997" t="s">
        <v>2150</v>
      </c>
      <c r="C997" t="s">
        <v>18</v>
      </c>
      <c r="E997" t="s">
        <v>113</v>
      </c>
      <c r="F997" s="1">
        <v>45208</v>
      </c>
      <c r="G997">
        <v>2002</v>
      </c>
      <c r="H997" t="s">
        <v>38</v>
      </c>
      <c r="I997" t="s">
        <v>1975</v>
      </c>
      <c r="J997" t="s">
        <v>100</v>
      </c>
      <c r="K997">
        <v>4.8</v>
      </c>
      <c r="L997">
        <v>2599929</v>
      </c>
      <c r="M997">
        <v>3440288</v>
      </c>
      <c r="N997">
        <v>86</v>
      </c>
      <c r="O997" t="s">
        <v>58</v>
      </c>
      <c r="P997" t="s">
        <v>42</v>
      </c>
    </row>
    <row r="998" spans="1:16" x14ac:dyDescent="0.35">
      <c r="A998" t="s">
        <v>2151</v>
      </c>
      <c r="B998" t="s">
        <v>2150</v>
      </c>
      <c r="D998" t="s">
        <v>68</v>
      </c>
      <c r="E998" t="s">
        <v>131</v>
      </c>
      <c r="F998" s="1">
        <v>43893</v>
      </c>
      <c r="G998">
        <v>2012</v>
      </c>
      <c r="H998" t="s">
        <v>70</v>
      </c>
      <c r="I998" t="s">
        <v>71</v>
      </c>
      <c r="J998" t="s">
        <v>103</v>
      </c>
      <c r="K998">
        <v>5.2</v>
      </c>
      <c r="L998">
        <v>17051372</v>
      </c>
      <c r="M998">
        <v>4631360</v>
      </c>
      <c r="N998">
        <v>45</v>
      </c>
      <c r="O998" t="s">
        <v>31</v>
      </c>
      <c r="P998" t="s">
        <v>42</v>
      </c>
    </row>
    <row r="999" spans="1:16" x14ac:dyDescent="0.35">
      <c r="A999" t="s">
        <v>2152</v>
      </c>
      <c r="B999" t="s">
        <v>2153</v>
      </c>
      <c r="C999" t="s">
        <v>18</v>
      </c>
      <c r="F999" s="1">
        <v>43196</v>
      </c>
      <c r="G999">
        <v>2026</v>
      </c>
      <c r="H999" t="s">
        <v>63</v>
      </c>
      <c r="I999" t="s">
        <v>987</v>
      </c>
      <c r="J999" t="s">
        <v>103</v>
      </c>
      <c r="K999">
        <v>6.6</v>
      </c>
      <c r="L999">
        <v>8017839</v>
      </c>
      <c r="M999">
        <v>2555656</v>
      </c>
      <c r="N999">
        <v>92</v>
      </c>
      <c r="P999" t="s">
        <v>87</v>
      </c>
    </row>
    <row r="1000" spans="1:16" x14ac:dyDescent="0.35">
      <c r="A1000" t="s">
        <v>2154</v>
      </c>
      <c r="B1000" t="s">
        <v>2155</v>
      </c>
      <c r="C1000" t="s">
        <v>79</v>
      </c>
      <c r="D1000" t="s">
        <v>36</v>
      </c>
      <c r="E1000" t="s">
        <v>28</v>
      </c>
      <c r="F1000" s="1">
        <v>43829</v>
      </c>
      <c r="G1000">
        <v>2004</v>
      </c>
      <c r="H1000" t="s">
        <v>121</v>
      </c>
      <c r="I1000" t="s">
        <v>492</v>
      </c>
      <c r="J1000" t="s">
        <v>100</v>
      </c>
      <c r="K1000">
        <v>8.1999999999999993</v>
      </c>
      <c r="L1000">
        <v>1672112</v>
      </c>
      <c r="M1000">
        <v>4133457</v>
      </c>
      <c r="N1000">
        <v>88</v>
      </c>
      <c r="O1000" t="s">
        <v>31</v>
      </c>
      <c r="P1000" t="s">
        <v>50</v>
      </c>
    </row>
    <row r="1001" spans="1:16" x14ac:dyDescent="0.35">
      <c r="A1001" t="s">
        <v>2156</v>
      </c>
      <c r="B1001" t="s">
        <v>2157</v>
      </c>
      <c r="C1001" t="s">
        <v>18</v>
      </c>
      <c r="D1001" t="s">
        <v>61</v>
      </c>
      <c r="E1001" t="s">
        <v>20</v>
      </c>
      <c r="F1001" s="1">
        <v>43823</v>
      </c>
      <c r="G1001">
        <v>2000</v>
      </c>
      <c r="H1001" t="s">
        <v>85</v>
      </c>
      <c r="I1001" t="s">
        <v>1452</v>
      </c>
      <c r="J1001" t="s">
        <v>100</v>
      </c>
      <c r="K1001">
        <v>9.1999999999999993</v>
      </c>
      <c r="L1001">
        <v>12842571</v>
      </c>
      <c r="M1001">
        <v>4022372</v>
      </c>
      <c r="N1001">
        <v>72</v>
      </c>
      <c r="O1001" t="s">
        <v>49</v>
      </c>
      <c r="P1001" t="s">
        <v>42</v>
      </c>
    </row>
    <row r="1002" spans="1:16" x14ac:dyDescent="0.35">
      <c r="A1002" t="s">
        <v>2158</v>
      </c>
      <c r="B1002" t="s">
        <v>2159</v>
      </c>
      <c r="D1002" t="s">
        <v>156</v>
      </c>
      <c r="E1002" t="s">
        <v>131</v>
      </c>
      <c r="F1002" s="1">
        <v>45535</v>
      </c>
      <c r="G1002">
        <v>2013</v>
      </c>
      <c r="H1002" t="s">
        <v>21</v>
      </c>
      <c r="I1002" t="s">
        <v>162</v>
      </c>
      <c r="J1002" t="s">
        <v>30</v>
      </c>
      <c r="K1002">
        <v>4.8</v>
      </c>
      <c r="L1002">
        <v>18765432</v>
      </c>
      <c r="M1002">
        <v>301175</v>
      </c>
      <c r="N1002">
        <v>49</v>
      </c>
      <c r="O1002" t="s">
        <v>41</v>
      </c>
    </row>
    <row r="1003" spans="1:16" x14ac:dyDescent="0.35">
      <c r="A1003" t="s">
        <v>2160</v>
      </c>
      <c r="B1003" t="s">
        <v>2161</v>
      </c>
      <c r="C1003" t="s">
        <v>18</v>
      </c>
      <c r="D1003" t="s">
        <v>61</v>
      </c>
      <c r="F1003" s="1">
        <v>43964</v>
      </c>
      <c r="G1003">
        <v>2000</v>
      </c>
      <c r="H1003" t="s">
        <v>121</v>
      </c>
      <c r="I1003" t="s">
        <v>231</v>
      </c>
      <c r="J1003" t="s">
        <v>40</v>
      </c>
      <c r="K1003">
        <v>8.6999999999999993</v>
      </c>
      <c r="L1003">
        <v>13836049</v>
      </c>
      <c r="M1003">
        <v>4286491</v>
      </c>
      <c r="N1003">
        <v>83</v>
      </c>
      <c r="O1003" t="s">
        <v>58</v>
      </c>
    </row>
    <row r="1004" spans="1:16" x14ac:dyDescent="0.35">
      <c r="A1004" t="s">
        <v>2162</v>
      </c>
      <c r="B1004" t="s">
        <v>2163</v>
      </c>
      <c r="C1004" t="s">
        <v>79</v>
      </c>
      <c r="D1004" t="s">
        <v>156</v>
      </c>
      <c r="E1004" t="s">
        <v>20</v>
      </c>
      <c r="F1004" s="1">
        <v>43143</v>
      </c>
      <c r="G1004">
        <v>2015</v>
      </c>
      <c r="H1004" t="s">
        <v>85</v>
      </c>
      <c r="I1004" t="s">
        <v>231</v>
      </c>
      <c r="J1004" t="s">
        <v>133</v>
      </c>
      <c r="K1004">
        <v>4.7</v>
      </c>
      <c r="L1004">
        <v>8823329</v>
      </c>
      <c r="M1004">
        <v>1454316</v>
      </c>
      <c r="N1004">
        <v>90</v>
      </c>
      <c r="O1004" t="s">
        <v>24</v>
      </c>
      <c r="P1004" t="s">
        <v>87</v>
      </c>
    </row>
    <row r="1005" spans="1:16" x14ac:dyDescent="0.35">
      <c r="A1005" t="s">
        <v>2164</v>
      </c>
      <c r="B1005" t="s">
        <v>2165</v>
      </c>
      <c r="C1005" t="s">
        <v>53</v>
      </c>
      <c r="D1005" t="s">
        <v>156</v>
      </c>
      <c r="E1005" t="s">
        <v>99</v>
      </c>
      <c r="F1005" s="1">
        <v>43664</v>
      </c>
      <c r="G1005">
        <v>2000</v>
      </c>
      <c r="H1005" t="s">
        <v>63</v>
      </c>
      <c r="I1005" t="s">
        <v>162</v>
      </c>
      <c r="J1005" t="s">
        <v>76</v>
      </c>
      <c r="K1005">
        <v>6.6</v>
      </c>
      <c r="L1005">
        <v>21484264</v>
      </c>
      <c r="M1005">
        <v>4244005</v>
      </c>
      <c r="N1005">
        <v>87</v>
      </c>
      <c r="O1005" t="s">
        <v>41</v>
      </c>
      <c r="P1005" t="s">
        <v>50</v>
      </c>
    </row>
    <row r="1006" spans="1:16" x14ac:dyDescent="0.35">
      <c r="A1006" t="s">
        <v>2166</v>
      </c>
      <c r="B1006" t="s">
        <v>2167</v>
      </c>
      <c r="D1006" t="s">
        <v>19</v>
      </c>
      <c r="E1006" t="s">
        <v>45</v>
      </c>
      <c r="F1006" s="1">
        <v>43798</v>
      </c>
      <c r="G1006">
        <v>2024</v>
      </c>
      <c r="H1006" t="s">
        <v>85</v>
      </c>
      <c r="I1006" t="s">
        <v>71</v>
      </c>
      <c r="J1006" t="s">
        <v>76</v>
      </c>
      <c r="K1006">
        <v>5.8</v>
      </c>
      <c r="L1006">
        <v>16615215</v>
      </c>
      <c r="M1006">
        <v>405702</v>
      </c>
      <c r="N1006">
        <v>57</v>
      </c>
      <c r="O1006" t="s">
        <v>31</v>
      </c>
      <c r="P1006" t="s">
        <v>32</v>
      </c>
    </row>
    <row r="1007" spans="1:16" x14ac:dyDescent="0.35">
      <c r="A1007" t="s">
        <v>2168</v>
      </c>
      <c r="B1007" t="s">
        <v>2169</v>
      </c>
      <c r="C1007" t="s">
        <v>35</v>
      </c>
      <c r="D1007" t="s">
        <v>75</v>
      </c>
      <c r="E1007" t="s">
        <v>69</v>
      </c>
      <c r="F1007" s="1">
        <v>42759</v>
      </c>
      <c r="G1007">
        <v>2012</v>
      </c>
      <c r="H1007" t="s">
        <v>121</v>
      </c>
      <c r="I1007" t="s">
        <v>64</v>
      </c>
      <c r="J1007" t="s">
        <v>57</v>
      </c>
      <c r="K1007">
        <v>5.3</v>
      </c>
      <c r="L1007">
        <v>9738312</v>
      </c>
      <c r="M1007">
        <v>2890693</v>
      </c>
      <c r="N1007">
        <v>48</v>
      </c>
      <c r="O1007" t="s">
        <v>41</v>
      </c>
      <c r="P1007" t="s">
        <v>32</v>
      </c>
    </row>
    <row r="1008" spans="1:16" x14ac:dyDescent="0.35">
      <c r="A1008" t="s">
        <v>2170</v>
      </c>
      <c r="B1008" t="s">
        <v>2171</v>
      </c>
      <c r="C1008" t="s">
        <v>35</v>
      </c>
      <c r="D1008" t="s">
        <v>90</v>
      </c>
      <c r="E1008" t="s">
        <v>69</v>
      </c>
      <c r="F1008" s="1">
        <v>44845</v>
      </c>
      <c r="G1008">
        <v>2003</v>
      </c>
      <c r="H1008" t="s">
        <v>46</v>
      </c>
      <c r="J1008" t="s">
        <v>153</v>
      </c>
      <c r="K1008">
        <v>7.4</v>
      </c>
      <c r="L1008">
        <v>21456590</v>
      </c>
      <c r="M1008">
        <v>628493</v>
      </c>
      <c r="N1008">
        <v>44</v>
      </c>
      <c r="O1008" t="s">
        <v>31</v>
      </c>
      <c r="P1008" t="s">
        <v>42</v>
      </c>
    </row>
    <row r="1009" spans="1:16" x14ac:dyDescent="0.35">
      <c r="A1009" t="s">
        <v>2172</v>
      </c>
      <c r="B1009" t="s">
        <v>2173</v>
      </c>
      <c r="C1009" t="s">
        <v>35</v>
      </c>
      <c r="D1009" t="s">
        <v>19</v>
      </c>
      <c r="E1009" t="s">
        <v>165</v>
      </c>
      <c r="F1009" s="1">
        <v>45652</v>
      </c>
      <c r="G1009">
        <v>2020</v>
      </c>
      <c r="H1009" t="s">
        <v>46</v>
      </c>
      <c r="I1009" t="s">
        <v>39</v>
      </c>
      <c r="J1009" t="s">
        <v>30</v>
      </c>
      <c r="K1009">
        <v>5.7</v>
      </c>
      <c r="L1009">
        <v>287387</v>
      </c>
      <c r="M1009">
        <v>1867400</v>
      </c>
      <c r="N1009">
        <v>89</v>
      </c>
      <c r="O1009" t="s">
        <v>65</v>
      </c>
      <c r="P1009" t="s">
        <v>32</v>
      </c>
    </row>
    <row r="1010" spans="1:16" x14ac:dyDescent="0.35">
      <c r="A1010" t="s">
        <v>2174</v>
      </c>
      <c r="B1010" t="s">
        <v>2175</v>
      </c>
      <c r="C1010" t="s">
        <v>18</v>
      </c>
      <c r="D1010" t="s">
        <v>61</v>
      </c>
      <c r="E1010" t="s">
        <v>20</v>
      </c>
      <c r="F1010" s="1">
        <v>43833</v>
      </c>
      <c r="G1010">
        <v>2010</v>
      </c>
      <c r="H1010" t="s">
        <v>70</v>
      </c>
      <c r="I1010" t="s">
        <v>331</v>
      </c>
      <c r="J1010" t="s">
        <v>57</v>
      </c>
      <c r="K1010">
        <v>6.8</v>
      </c>
      <c r="L1010">
        <v>14065570</v>
      </c>
      <c r="M1010">
        <v>3744985</v>
      </c>
      <c r="N1010">
        <v>79</v>
      </c>
      <c r="O1010" t="s">
        <v>24</v>
      </c>
    </row>
    <row r="1011" spans="1:16" x14ac:dyDescent="0.35">
      <c r="A1011" t="s">
        <v>2176</v>
      </c>
      <c r="B1011" t="s">
        <v>2177</v>
      </c>
      <c r="C1011" t="s">
        <v>79</v>
      </c>
      <c r="D1011" t="s">
        <v>61</v>
      </c>
      <c r="E1011" t="s">
        <v>55</v>
      </c>
      <c r="F1011" s="1">
        <v>42903</v>
      </c>
      <c r="G1011">
        <v>2001</v>
      </c>
      <c r="H1011" t="s">
        <v>63</v>
      </c>
      <c r="I1011" t="s">
        <v>1975</v>
      </c>
      <c r="J1011" t="s">
        <v>100</v>
      </c>
      <c r="K1011">
        <v>8.3000000000000007</v>
      </c>
      <c r="L1011">
        <v>15241135</v>
      </c>
      <c r="M1011">
        <v>75982</v>
      </c>
      <c r="N1011">
        <v>72</v>
      </c>
      <c r="O1011" t="s">
        <v>104</v>
      </c>
      <c r="P1011" t="s">
        <v>50</v>
      </c>
    </row>
    <row r="1012" spans="1:16" x14ac:dyDescent="0.35">
      <c r="A1012" t="s">
        <v>2178</v>
      </c>
      <c r="B1012" t="s">
        <v>2179</v>
      </c>
      <c r="C1012" t="s">
        <v>84</v>
      </c>
      <c r="D1012" t="s">
        <v>27</v>
      </c>
      <c r="F1012" s="1">
        <v>43359</v>
      </c>
      <c r="G1012">
        <v>2002</v>
      </c>
      <c r="I1012" t="s">
        <v>282</v>
      </c>
      <c r="J1012" t="s">
        <v>57</v>
      </c>
      <c r="K1012">
        <v>4.5999999999999996</v>
      </c>
      <c r="L1012">
        <v>3540326</v>
      </c>
      <c r="M1012">
        <v>1696838</v>
      </c>
      <c r="N1012">
        <v>47</v>
      </c>
      <c r="P1012" t="s">
        <v>50</v>
      </c>
    </row>
    <row r="1013" spans="1:16" x14ac:dyDescent="0.35">
      <c r="A1013" t="s">
        <v>2180</v>
      </c>
      <c r="B1013" t="s">
        <v>2181</v>
      </c>
      <c r="C1013" t="s">
        <v>35</v>
      </c>
      <c r="D1013" t="s">
        <v>75</v>
      </c>
      <c r="E1013" t="s">
        <v>69</v>
      </c>
      <c r="F1013" s="1">
        <v>43532</v>
      </c>
      <c r="G1013">
        <v>2032</v>
      </c>
      <c r="H1013" t="s">
        <v>38</v>
      </c>
      <c r="I1013" t="s">
        <v>39</v>
      </c>
      <c r="J1013" t="s">
        <v>57</v>
      </c>
      <c r="K1013">
        <v>5.8</v>
      </c>
      <c r="L1013">
        <v>21881199</v>
      </c>
      <c r="M1013">
        <v>4136542</v>
      </c>
      <c r="N1013">
        <v>48</v>
      </c>
      <c r="O1013" t="s">
        <v>91</v>
      </c>
    </row>
    <row r="1014" spans="1:16" x14ac:dyDescent="0.35">
      <c r="A1014" t="s">
        <v>2182</v>
      </c>
      <c r="B1014" t="s">
        <v>2183</v>
      </c>
      <c r="C1014" t="s">
        <v>53</v>
      </c>
      <c r="D1014" t="s">
        <v>90</v>
      </c>
      <c r="E1014" t="s">
        <v>165</v>
      </c>
      <c r="G1014">
        <v>2014</v>
      </c>
      <c r="H1014" t="s">
        <v>70</v>
      </c>
      <c r="I1014" t="s">
        <v>39</v>
      </c>
      <c r="J1014" t="s">
        <v>40</v>
      </c>
      <c r="K1014">
        <v>5</v>
      </c>
      <c r="L1014">
        <v>17434716</v>
      </c>
      <c r="M1014">
        <v>4781469</v>
      </c>
      <c r="N1014">
        <v>72</v>
      </c>
      <c r="P1014" t="s">
        <v>87</v>
      </c>
    </row>
    <row r="1015" spans="1:16" x14ac:dyDescent="0.35">
      <c r="A1015" t="s">
        <v>2184</v>
      </c>
      <c r="B1015" t="s">
        <v>2185</v>
      </c>
      <c r="C1015" t="s">
        <v>18</v>
      </c>
      <c r="E1015" t="s">
        <v>20</v>
      </c>
      <c r="F1015" s="1">
        <v>45311</v>
      </c>
      <c r="G1015">
        <v>2014</v>
      </c>
      <c r="H1015" t="s">
        <v>63</v>
      </c>
      <c r="I1015" t="s">
        <v>1242</v>
      </c>
      <c r="J1015" t="s">
        <v>133</v>
      </c>
      <c r="K1015">
        <v>6.1</v>
      </c>
      <c r="L1015">
        <v>761505</v>
      </c>
      <c r="M1015">
        <v>493039</v>
      </c>
      <c r="N1015">
        <v>46</v>
      </c>
      <c r="P1015" t="s">
        <v>50</v>
      </c>
    </row>
    <row r="1016" spans="1:16" x14ac:dyDescent="0.35">
      <c r="A1016" t="s">
        <v>2186</v>
      </c>
      <c r="B1016" t="s">
        <v>2187</v>
      </c>
      <c r="C1016" t="s">
        <v>53</v>
      </c>
      <c r="D1016" t="s">
        <v>19</v>
      </c>
      <c r="E1016" t="s">
        <v>62</v>
      </c>
      <c r="F1016" s="1">
        <v>46127</v>
      </c>
      <c r="G1016">
        <v>2023</v>
      </c>
      <c r="H1016" t="s">
        <v>21</v>
      </c>
      <c r="I1016" t="s">
        <v>71</v>
      </c>
      <c r="J1016" t="s">
        <v>72</v>
      </c>
      <c r="K1016">
        <v>5.3</v>
      </c>
      <c r="L1016">
        <v>10288857</v>
      </c>
      <c r="M1016">
        <v>2861915</v>
      </c>
      <c r="N1016">
        <v>67</v>
      </c>
      <c r="O1016" t="s">
        <v>58</v>
      </c>
      <c r="P1016" t="s">
        <v>32</v>
      </c>
    </row>
    <row r="1017" spans="1:16" x14ac:dyDescent="0.35">
      <c r="A1017" t="s">
        <v>2188</v>
      </c>
      <c r="B1017" t="s">
        <v>2189</v>
      </c>
      <c r="F1017" s="1">
        <v>43507</v>
      </c>
      <c r="G1017">
        <v>2012</v>
      </c>
      <c r="H1017" t="s">
        <v>114</v>
      </c>
      <c r="I1017" t="s">
        <v>71</v>
      </c>
      <c r="K1017">
        <v>5.6</v>
      </c>
      <c r="L1017">
        <v>15425734</v>
      </c>
      <c r="M1017">
        <v>2303036</v>
      </c>
      <c r="N1017">
        <v>53</v>
      </c>
      <c r="O1017" t="s">
        <v>31</v>
      </c>
    </row>
    <row r="1018" spans="1:16" x14ac:dyDescent="0.35">
      <c r="A1018" t="s">
        <v>2190</v>
      </c>
      <c r="B1018" t="s">
        <v>2191</v>
      </c>
      <c r="C1018" t="s">
        <v>35</v>
      </c>
      <c r="D1018" t="s">
        <v>75</v>
      </c>
      <c r="E1018" t="s">
        <v>99</v>
      </c>
      <c r="F1018" s="1">
        <v>44174</v>
      </c>
      <c r="G1018">
        <v>2009</v>
      </c>
      <c r="H1018" t="s">
        <v>114</v>
      </c>
      <c r="I1018" t="s">
        <v>64</v>
      </c>
      <c r="J1018" t="s">
        <v>57</v>
      </c>
      <c r="K1018">
        <v>6.5</v>
      </c>
      <c r="L1018">
        <v>20109510</v>
      </c>
      <c r="M1018">
        <v>3639644</v>
      </c>
      <c r="N1018">
        <v>41</v>
      </c>
      <c r="O1018" t="s">
        <v>65</v>
      </c>
      <c r="P1018" t="s">
        <v>87</v>
      </c>
    </row>
    <row r="1019" spans="1:16" x14ac:dyDescent="0.35">
      <c r="A1019" t="s">
        <v>2192</v>
      </c>
      <c r="B1019" t="s">
        <v>2193</v>
      </c>
      <c r="C1019" t="s">
        <v>79</v>
      </c>
      <c r="D1019" t="s">
        <v>68</v>
      </c>
      <c r="E1019" t="s">
        <v>62</v>
      </c>
      <c r="F1019" s="1">
        <v>43090</v>
      </c>
      <c r="G1019">
        <v>2020</v>
      </c>
      <c r="H1019" t="s">
        <v>121</v>
      </c>
      <c r="I1019" t="s">
        <v>1279</v>
      </c>
      <c r="J1019" t="s">
        <v>100</v>
      </c>
      <c r="K1019">
        <v>5.9</v>
      </c>
      <c r="L1019">
        <v>175897</v>
      </c>
      <c r="M1019">
        <v>1335443</v>
      </c>
      <c r="N1019">
        <v>77</v>
      </c>
      <c r="O1019" t="s">
        <v>104</v>
      </c>
      <c r="P1019" t="s">
        <v>42</v>
      </c>
    </row>
    <row r="1020" spans="1:16" x14ac:dyDescent="0.35">
      <c r="A1020" t="s">
        <v>2194</v>
      </c>
      <c r="B1020" t="s">
        <v>2195</v>
      </c>
      <c r="C1020" t="s">
        <v>53</v>
      </c>
      <c r="D1020" t="s">
        <v>61</v>
      </c>
      <c r="E1020" t="s">
        <v>69</v>
      </c>
      <c r="F1020" s="1">
        <v>42385</v>
      </c>
      <c r="G1020">
        <v>2007</v>
      </c>
      <c r="H1020" t="s">
        <v>107</v>
      </c>
      <c r="I1020" t="s">
        <v>162</v>
      </c>
      <c r="J1020" t="s">
        <v>153</v>
      </c>
      <c r="K1020">
        <v>8</v>
      </c>
      <c r="L1020">
        <v>23244631</v>
      </c>
      <c r="M1020">
        <v>2343459</v>
      </c>
      <c r="N1020">
        <v>86</v>
      </c>
      <c r="O1020" t="s">
        <v>41</v>
      </c>
      <c r="P1020" t="s">
        <v>32</v>
      </c>
    </row>
    <row r="1021" spans="1:16" x14ac:dyDescent="0.35">
      <c r="A1021" t="s">
        <v>2196</v>
      </c>
      <c r="B1021" t="s">
        <v>2197</v>
      </c>
      <c r="C1021" t="s">
        <v>35</v>
      </c>
      <c r="E1021" t="s">
        <v>69</v>
      </c>
      <c r="F1021" s="1">
        <v>45832</v>
      </c>
      <c r="G1021">
        <v>2013</v>
      </c>
      <c r="H1021" t="s">
        <v>114</v>
      </c>
      <c r="I1021" t="s">
        <v>162</v>
      </c>
      <c r="J1021" t="s">
        <v>72</v>
      </c>
      <c r="K1021">
        <v>4.5</v>
      </c>
      <c r="L1021">
        <v>21057071</v>
      </c>
      <c r="M1021">
        <v>4241790</v>
      </c>
      <c r="N1021">
        <v>85</v>
      </c>
      <c r="O1021" t="s">
        <v>58</v>
      </c>
      <c r="P1021" t="s">
        <v>42</v>
      </c>
    </row>
    <row r="1022" spans="1:16" x14ac:dyDescent="0.35">
      <c r="A1022" t="s">
        <v>2198</v>
      </c>
      <c r="B1022" t="s">
        <v>2199</v>
      </c>
      <c r="C1022" t="s">
        <v>18</v>
      </c>
      <c r="D1022" t="s">
        <v>19</v>
      </c>
      <c r="E1022" t="s">
        <v>113</v>
      </c>
      <c r="G1022">
        <v>2005</v>
      </c>
      <c r="H1022" t="s">
        <v>85</v>
      </c>
      <c r="I1022" t="s">
        <v>627</v>
      </c>
      <c r="J1022" t="s">
        <v>100</v>
      </c>
      <c r="K1022">
        <v>5.9</v>
      </c>
      <c r="L1022">
        <v>-951</v>
      </c>
      <c r="M1022">
        <v>3203334</v>
      </c>
      <c r="N1022">
        <v>96</v>
      </c>
      <c r="O1022" t="s">
        <v>65</v>
      </c>
    </row>
    <row r="1023" spans="1:16" x14ac:dyDescent="0.35">
      <c r="A1023" t="s">
        <v>2200</v>
      </c>
      <c r="B1023" t="s">
        <v>2201</v>
      </c>
      <c r="C1023" t="s">
        <v>84</v>
      </c>
      <c r="D1023" t="s">
        <v>19</v>
      </c>
      <c r="F1023" s="1">
        <v>44289</v>
      </c>
      <c r="G1023">
        <v>2014</v>
      </c>
      <c r="H1023" t="s">
        <v>38</v>
      </c>
      <c r="I1023" t="s">
        <v>249</v>
      </c>
      <c r="J1023" t="s">
        <v>30</v>
      </c>
      <c r="K1023">
        <v>8.9</v>
      </c>
      <c r="L1023">
        <v>4444129</v>
      </c>
      <c r="M1023">
        <v>2806482</v>
      </c>
      <c r="N1023">
        <v>52</v>
      </c>
      <c r="O1023" t="s">
        <v>58</v>
      </c>
      <c r="P1023" t="s">
        <v>32</v>
      </c>
    </row>
    <row r="1024" spans="1:16" x14ac:dyDescent="0.35">
      <c r="A1024" t="s">
        <v>2202</v>
      </c>
      <c r="B1024" t="s">
        <v>2203</v>
      </c>
      <c r="C1024" t="s">
        <v>79</v>
      </c>
      <c r="D1024" t="s">
        <v>94</v>
      </c>
      <c r="G1024">
        <v>2011</v>
      </c>
      <c r="H1024" t="s">
        <v>46</v>
      </c>
      <c r="I1024" t="s">
        <v>696</v>
      </c>
      <c r="J1024" t="s">
        <v>48</v>
      </c>
      <c r="K1024">
        <v>9.4</v>
      </c>
      <c r="L1024">
        <v>21889536</v>
      </c>
      <c r="M1024">
        <v>2040</v>
      </c>
      <c r="N1024">
        <v>64</v>
      </c>
    </row>
    <row r="1025" spans="1:16" x14ac:dyDescent="0.35">
      <c r="A1025" t="s">
        <v>2204</v>
      </c>
      <c r="B1025" t="s">
        <v>2205</v>
      </c>
      <c r="C1025" t="s">
        <v>79</v>
      </c>
      <c r="D1025" t="s">
        <v>36</v>
      </c>
      <c r="E1025" t="s">
        <v>69</v>
      </c>
      <c r="F1025" s="1">
        <v>42261</v>
      </c>
      <c r="G1025">
        <v>2001</v>
      </c>
      <c r="H1025" t="s">
        <v>114</v>
      </c>
      <c r="I1025" t="s">
        <v>147</v>
      </c>
      <c r="J1025" t="s">
        <v>103</v>
      </c>
      <c r="K1025">
        <v>7.6</v>
      </c>
      <c r="L1025">
        <v>16869156</v>
      </c>
      <c r="M1025">
        <v>1548189</v>
      </c>
      <c r="N1025">
        <v>46</v>
      </c>
      <c r="O1025" t="s">
        <v>65</v>
      </c>
      <c r="P1025" t="s">
        <v>87</v>
      </c>
    </row>
    <row r="1026" spans="1:16" x14ac:dyDescent="0.35">
      <c r="A1026" t="s">
        <v>2206</v>
      </c>
      <c r="B1026" t="s">
        <v>2207</v>
      </c>
      <c r="C1026" t="s">
        <v>53</v>
      </c>
      <c r="D1026" t="s">
        <v>19</v>
      </c>
      <c r="E1026" t="s">
        <v>62</v>
      </c>
      <c r="F1026" s="1">
        <v>45355</v>
      </c>
      <c r="G1026">
        <v>2003</v>
      </c>
      <c r="H1026" t="s">
        <v>121</v>
      </c>
      <c r="I1026" t="s">
        <v>95</v>
      </c>
      <c r="J1026" t="s">
        <v>133</v>
      </c>
      <c r="K1026">
        <v>9.6999999999999993</v>
      </c>
      <c r="L1026">
        <v>10720088</v>
      </c>
      <c r="M1026">
        <v>1260536</v>
      </c>
      <c r="N1026">
        <v>88</v>
      </c>
      <c r="O1026" t="s">
        <v>41</v>
      </c>
    </row>
    <row r="1027" spans="1:16" x14ac:dyDescent="0.35">
      <c r="A1027" t="s">
        <v>2208</v>
      </c>
      <c r="B1027" t="s">
        <v>2209</v>
      </c>
      <c r="D1027" t="s">
        <v>156</v>
      </c>
      <c r="E1027" t="s">
        <v>62</v>
      </c>
      <c r="F1027" s="1">
        <v>46201</v>
      </c>
      <c r="G1027">
        <v>2020</v>
      </c>
      <c r="H1027" t="s">
        <v>107</v>
      </c>
      <c r="I1027" t="s">
        <v>56</v>
      </c>
      <c r="J1027" t="s">
        <v>103</v>
      </c>
      <c r="K1027">
        <v>8.9</v>
      </c>
      <c r="L1027">
        <v>1841509</v>
      </c>
      <c r="M1027">
        <v>3944045</v>
      </c>
      <c r="N1027">
        <v>66</v>
      </c>
      <c r="O1027" t="s">
        <v>91</v>
      </c>
      <c r="P1027" t="s">
        <v>50</v>
      </c>
    </row>
    <row r="1028" spans="1:16" x14ac:dyDescent="0.35">
      <c r="A1028" t="s">
        <v>2210</v>
      </c>
      <c r="B1028" t="s">
        <v>2211</v>
      </c>
      <c r="C1028" t="s">
        <v>84</v>
      </c>
      <c r="D1028" t="s">
        <v>90</v>
      </c>
      <c r="E1028" t="s">
        <v>165</v>
      </c>
      <c r="F1028" s="1">
        <v>42342</v>
      </c>
      <c r="G1028">
        <v>2005</v>
      </c>
      <c r="H1028" t="s">
        <v>63</v>
      </c>
      <c r="I1028" t="s">
        <v>2212</v>
      </c>
      <c r="J1028" t="s">
        <v>23</v>
      </c>
      <c r="K1028">
        <v>5.0999999999999996</v>
      </c>
      <c r="L1028">
        <v>7739832</v>
      </c>
      <c r="M1028">
        <v>1688759</v>
      </c>
      <c r="N1028">
        <v>87</v>
      </c>
      <c r="O1028" t="s">
        <v>24</v>
      </c>
      <c r="P1028" t="s">
        <v>50</v>
      </c>
    </row>
    <row r="1029" spans="1:16" x14ac:dyDescent="0.35">
      <c r="A1029" t="s">
        <v>2213</v>
      </c>
      <c r="B1029" t="s">
        <v>2214</v>
      </c>
      <c r="C1029" t="s">
        <v>84</v>
      </c>
      <c r="D1029" t="s">
        <v>36</v>
      </c>
      <c r="F1029" s="1">
        <v>45941</v>
      </c>
      <c r="G1029">
        <v>2011</v>
      </c>
      <c r="H1029" t="s">
        <v>21</v>
      </c>
      <c r="I1029" t="s">
        <v>402</v>
      </c>
      <c r="J1029" t="s">
        <v>100</v>
      </c>
      <c r="K1029">
        <v>8.1999999999999993</v>
      </c>
      <c r="L1029">
        <v>24612544</v>
      </c>
      <c r="M1029">
        <v>4361020</v>
      </c>
      <c r="N1029">
        <v>50</v>
      </c>
      <c r="O1029" t="s">
        <v>104</v>
      </c>
      <c r="P1029" t="s">
        <v>42</v>
      </c>
    </row>
    <row r="1030" spans="1:16" x14ac:dyDescent="0.35">
      <c r="A1030" t="s">
        <v>2215</v>
      </c>
      <c r="B1030" t="s">
        <v>2216</v>
      </c>
      <c r="C1030" t="s">
        <v>84</v>
      </c>
      <c r="D1030" t="s">
        <v>61</v>
      </c>
      <c r="E1030" t="s">
        <v>165</v>
      </c>
      <c r="F1030" s="1">
        <v>43975</v>
      </c>
      <c r="G1030">
        <v>2018</v>
      </c>
      <c r="H1030" t="s">
        <v>70</v>
      </c>
      <c r="I1030" t="s">
        <v>122</v>
      </c>
      <c r="J1030" t="s">
        <v>76</v>
      </c>
      <c r="K1030">
        <v>5.2</v>
      </c>
      <c r="L1030">
        <v>21725792</v>
      </c>
      <c r="M1030">
        <v>3925748</v>
      </c>
      <c r="N1030">
        <v>49</v>
      </c>
      <c r="O1030" t="s">
        <v>49</v>
      </c>
      <c r="P1030" t="s">
        <v>32</v>
      </c>
    </row>
    <row r="1031" spans="1:16" x14ac:dyDescent="0.35">
      <c r="A1031" t="s">
        <v>2217</v>
      </c>
      <c r="B1031" t="s">
        <v>2218</v>
      </c>
      <c r="C1031" t="s">
        <v>18</v>
      </c>
      <c r="D1031" t="s">
        <v>90</v>
      </c>
      <c r="F1031" s="1">
        <v>45359</v>
      </c>
      <c r="G1031">
        <v>2026</v>
      </c>
      <c r="H1031" t="s">
        <v>85</v>
      </c>
      <c r="I1031" t="s">
        <v>727</v>
      </c>
      <c r="J1031" t="s">
        <v>30</v>
      </c>
      <c r="K1031">
        <v>7.7</v>
      </c>
      <c r="L1031">
        <v>9644580</v>
      </c>
      <c r="M1031">
        <v>1138863</v>
      </c>
      <c r="N1031">
        <v>42</v>
      </c>
      <c r="P1031" t="s">
        <v>32</v>
      </c>
    </row>
    <row r="1032" spans="1:16" x14ac:dyDescent="0.35">
      <c r="A1032" t="s">
        <v>2219</v>
      </c>
      <c r="B1032" t="s">
        <v>2220</v>
      </c>
      <c r="C1032" t="s">
        <v>35</v>
      </c>
      <c r="D1032" t="s">
        <v>90</v>
      </c>
      <c r="E1032" t="s">
        <v>37</v>
      </c>
      <c r="F1032" s="1">
        <v>42192</v>
      </c>
      <c r="G1032">
        <v>2015</v>
      </c>
      <c r="H1032" t="s">
        <v>81</v>
      </c>
      <c r="I1032" t="s">
        <v>71</v>
      </c>
      <c r="J1032" t="s">
        <v>96</v>
      </c>
      <c r="K1032">
        <v>8.3000000000000007</v>
      </c>
      <c r="L1032">
        <v>15713261</v>
      </c>
      <c r="M1032">
        <v>4356555</v>
      </c>
      <c r="N1032">
        <v>46</v>
      </c>
      <c r="O1032" t="s">
        <v>49</v>
      </c>
      <c r="P1032" t="s">
        <v>42</v>
      </c>
    </row>
    <row r="1033" spans="1:16" x14ac:dyDescent="0.35">
      <c r="A1033" t="s">
        <v>2221</v>
      </c>
      <c r="B1033" t="s">
        <v>2222</v>
      </c>
      <c r="C1033" t="s">
        <v>84</v>
      </c>
      <c r="D1033" t="s">
        <v>36</v>
      </c>
      <c r="E1033" t="s">
        <v>45</v>
      </c>
      <c r="F1033" s="1">
        <v>42065</v>
      </c>
      <c r="G1033">
        <v>2020</v>
      </c>
      <c r="H1033" t="s">
        <v>114</v>
      </c>
      <c r="I1033" t="s">
        <v>1333</v>
      </c>
      <c r="J1033" t="s">
        <v>40</v>
      </c>
      <c r="K1033">
        <v>6.2</v>
      </c>
      <c r="L1033">
        <v>3420898</v>
      </c>
      <c r="M1033">
        <v>3566520</v>
      </c>
      <c r="N1033">
        <v>72</v>
      </c>
      <c r="O1033" t="s">
        <v>31</v>
      </c>
    </row>
    <row r="1034" spans="1:16" x14ac:dyDescent="0.35">
      <c r="A1034" t="s">
        <v>2223</v>
      </c>
      <c r="B1034" t="s">
        <v>2224</v>
      </c>
      <c r="C1034" t="s">
        <v>18</v>
      </c>
      <c r="D1034" t="s">
        <v>19</v>
      </c>
      <c r="E1034" t="s">
        <v>113</v>
      </c>
      <c r="F1034" s="1">
        <v>43536</v>
      </c>
      <c r="G1034">
        <v>2021</v>
      </c>
      <c r="H1034" t="s">
        <v>21</v>
      </c>
      <c r="I1034" t="s">
        <v>601</v>
      </c>
      <c r="K1034">
        <v>7.2</v>
      </c>
      <c r="L1034">
        <v>17483823</v>
      </c>
      <c r="M1034">
        <v>3916513</v>
      </c>
      <c r="N1034">
        <v>120</v>
      </c>
      <c r="O1034" t="s">
        <v>123</v>
      </c>
      <c r="P1034" t="s">
        <v>50</v>
      </c>
    </row>
    <row r="1035" spans="1:16" x14ac:dyDescent="0.35">
      <c r="A1035" t="s">
        <v>2225</v>
      </c>
      <c r="B1035" t="s">
        <v>2226</v>
      </c>
      <c r="C1035" t="s">
        <v>18</v>
      </c>
      <c r="D1035" t="s">
        <v>68</v>
      </c>
      <c r="F1035" s="1">
        <v>44741</v>
      </c>
      <c r="G1035">
        <v>2006</v>
      </c>
      <c r="H1035" t="s">
        <v>121</v>
      </c>
      <c r="I1035" t="s">
        <v>150</v>
      </c>
      <c r="J1035" t="s">
        <v>100</v>
      </c>
      <c r="K1035">
        <v>4.7</v>
      </c>
      <c r="L1035">
        <v>3201337</v>
      </c>
      <c r="M1035">
        <v>2055043</v>
      </c>
      <c r="N1035">
        <v>59</v>
      </c>
      <c r="O1035" t="s">
        <v>31</v>
      </c>
      <c r="P1035" t="s">
        <v>32</v>
      </c>
    </row>
    <row r="1036" spans="1:16" x14ac:dyDescent="0.35">
      <c r="A1036" t="s">
        <v>2227</v>
      </c>
      <c r="B1036" t="s">
        <v>2228</v>
      </c>
      <c r="C1036" t="s">
        <v>18</v>
      </c>
      <c r="D1036" t="s">
        <v>19</v>
      </c>
      <c r="E1036" t="s">
        <v>113</v>
      </c>
      <c r="F1036" s="1">
        <v>44938</v>
      </c>
      <c r="G1036">
        <v>2006</v>
      </c>
      <c r="H1036" t="s">
        <v>121</v>
      </c>
      <c r="I1036" t="s">
        <v>1904</v>
      </c>
      <c r="J1036" t="s">
        <v>23</v>
      </c>
      <c r="K1036">
        <v>8.4</v>
      </c>
      <c r="L1036">
        <v>15580437</v>
      </c>
      <c r="M1036">
        <v>4837025</v>
      </c>
      <c r="N1036">
        <v>77</v>
      </c>
      <c r="O1036" t="s">
        <v>49</v>
      </c>
    </row>
    <row r="1037" spans="1:16" x14ac:dyDescent="0.35">
      <c r="A1037" t="s">
        <v>2229</v>
      </c>
      <c r="B1037" t="s">
        <v>2230</v>
      </c>
      <c r="C1037" t="s">
        <v>35</v>
      </c>
      <c r="D1037" t="s">
        <v>36</v>
      </c>
      <c r="E1037" t="s">
        <v>131</v>
      </c>
      <c r="F1037" s="1">
        <v>44825</v>
      </c>
      <c r="G1037">
        <v>2026</v>
      </c>
      <c r="H1037" t="s">
        <v>81</v>
      </c>
      <c r="I1037" t="s">
        <v>71</v>
      </c>
      <c r="J1037" t="s">
        <v>103</v>
      </c>
      <c r="K1037">
        <v>8.8000000000000007</v>
      </c>
      <c r="L1037">
        <v>19560631</v>
      </c>
      <c r="M1037">
        <v>4805860</v>
      </c>
      <c r="N1037">
        <v>90</v>
      </c>
      <c r="O1037" t="s">
        <v>123</v>
      </c>
    </row>
    <row r="1038" spans="1:16" x14ac:dyDescent="0.35">
      <c r="A1038" t="s">
        <v>2231</v>
      </c>
      <c r="B1038" t="s">
        <v>2232</v>
      </c>
      <c r="C1038" t="s">
        <v>35</v>
      </c>
      <c r="D1038" t="s">
        <v>156</v>
      </c>
      <c r="E1038" t="s">
        <v>28</v>
      </c>
      <c r="F1038" s="1">
        <v>43730</v>
      </c>
      <c r="G1038">
        <v>2016</v>
      </c>
      <c r="H1038" t="s">
        <v>121</v>
      </c>
      <c r="I1038" t="s">
        <v>162</v>
      </c>
      <c r="J1038" t="s">
        <v>153</v>
      </c>
      <c r="K1038">
        <v>4.7</v>
      </c>
      <c r="L1038">
        <v>22315968</v>
      </c>
      <c r="M1038">
        <v>22677</v>
      </c>
      <c r="N1038">
        <v>46</v>
      </c>
      <c r="O1038" t="s">
        <v>58</v>
      </c>
      <c r="P1038" t="s">
        <v>87</v>
      </c>
    </row>
    <row r="1039" spans="1:16" x14ac:dyDescent="0.35">
      <c r="A1039" t="s">
        <v>2233</v>
      </c>
      <c r="B1039" t="s">
        <v>2234</v>
      </c>
      <c r="C1039" t="s">
        <v>53</v>
      </c>
      <c r="D1039" t="s">
        <v>19</v>
      </c>
      <c r="E1039" t="s">
        <v>165</v>
      </c>
      <c r="F1039" s="1">
        <v>45180</v>
      </c>
      <c r="G1039">
        <v>2018</v>
      </c>
      <c r="H1039" t="s">
        <v>81</v>
      </c>
      <c r="I1039" t="s">
        <v>162</v>
      </c>
      <c r="J1039" t="s">
        <v>103</v>
      </c>
      <c r="K1039">
        <v>7.5</v>
      </c>
      <c r="L1039">
        <v>9027701</v>
      </c>
      <c r="M1039">
        <v>58418</v>
      </c>
      <c r="N1039">
        <v>41</v>
      </c>
      <c r="O1039" t="s">
        <v>58</v>
      </c>
    </row>
    <row r="1040" spans="1:16" x14ac:dyDescent="0.35">
      <c r="A1040" t="s">
        <v>2235</v>
      </c>
      <c r="B1040" t="s">
        <v>2236</v>
      </c>
      <c r="C1040" t="s">
        <v>53</v>
      </c>
      <c r="D1040" t="s">
        <v>68</v>
      </c>
      <c r="E1040" t="s">
        <v>99</v>
      </c>
      <c r="F1040" s="1">
        <v>42041</v>
      </c>
      <c r="G1040">
        <v>2002</v>
      </c>
      <c r="H1040" t="s">
        <v>85</v>
      </c>
      <c r="I1040" t="s">
        <v>162</v>
      </c>
      <c r="J1040" t="s">
        <v>133</v>
      </c>
      <c r="K1040">
        <v>9</v>
      </c>
      <c r="L1040">
        <v>4263353</v>
      </c>
      <c r="M1040">
        <v>4796814</v>
      </c>
      <c r="N1040">
        <v>76</v>
      </c>
      <c r="O1040" t="s">
        <v>24</v>
      </c>
    </row>
    <row r="1041" spans="1:16" x14ac:dyDescent="0.35">
      <c r="A1041" t="s">
        <v>2237</v>
      </c>
      <c r="B1041" t="s">
        <v>2238</v>
      </c>
      <c r="C1041" t="s">
        <v>35</v>
      </c>
      <c r="D1041" t="s">
        <v>156</v>
      </c>
      <c r="E1041" t="s">
        <v>45</v>
      </c>
      <c r="F1041" s="1">
        <v>42127</v>
      </c>
      <c r="G1041">
        <v>2010</v>
      </c>
      <c r="H1041" t="s">
        <v>46</v>
      </c>
      <c r="I1041" t="s">
        <v>71</v>
      </c>
      <c r="J1041" t="s">
        <v>76</v>
      </c>
      <c r="K1041">
        <v>6.9</v>
      </c>
      <c r="L1041">
        <v>11838947</v>
      </c>
      <c r="M1041">
        <v>487725</v>
      </c>
      <c r="N1041">
        <v>67</v>
      </c>
      <c r="O1041" t="s">
        <v>24</v>
      </c>
    </row>
    <row r="1042" spans="1:16" x14ac:dyDescent="0.35">
      <c r="A1042" t="s">
        <v>2239</v>
      </c>
      <c r="B1042" t="s">
        <v>2240</v>
      </c>
      <c r="C1042" t="s">
        <v>79</v>
      </c>
      <c r="D1042" t="s">
        <v>94</v>
      </c>
      <c r="F1042" s="1">
        <v>44107</v>
      </c>
      <c r="G1042">
        <v>2002</v>
      </c>
      <c r="H1042" t="s">
        <v>107</v>
      </c>
      <c r="I1042" t="s">
        <v>423</v>
      </c>
      <c r="J1042" t="s">
        <v>30</v>
      </c>
      <c r="K1042">
        <v>8.6</v>
      </c>
      <c r="L1042">
        <v>5974724</v>
      </c>
      <c r="M1042">
        <v>4819419</v>
      </c>
      <c r="N1042">
        <v>83</v>
      </c>
      <c r="O1042" t="s">
        <v>58</v>
      </c>
      <c r="P1042" t="s">
        <v>32</v>
      </c>
    </row>
    <row r="1043" spans="1:16" x14ac:dyDescent="0.35">
      <c r="A1043" t="s">
        <v>2241</v>
      </c>
      <c r="B1043" t="s">
        <v>2242</v>
      </c>
      <c r="C1043" t="s">
        <v>35</v>
      </c>
      <c r="E1043" t="s">
        <v>45</v>
      </c>
      <c r="F1043" s="1">
        <v>43996</v>
      </c>
      <c r="G1043">
        <v>2011</v>
      </c>
      <c r="I1043" t="s">
        <v>39</v>
      </c>
      <c r="J1043" t="s">
        <v>96</v>
      </c>
      <c r="K1043">
        <v>8.8000000000000007</v>
      </c>
      <c r="L1043">
        <v>24420290</v>
      </c>
      <c r="M1043">
        <v>3092702</v>
      </c>
      <c r="N1043">
        <v>46</v>
      </c>
      <c r="O1043" t="s">
        <v>58</v>
      </c>
      <c r="P1043" t="s">
        <v>50</v>
      </c>
    </row>
    <row r="1044" spans="1:16" x14ac:dyDescent="0.35">
      <c r="A1044" t="s">
        <v>2243</v>
      </c>
      <c r="B1044" t="s">
        <v>2244</v>
      </c>
      <c r="C1044" t="s">
        <v>53</v>
      </c>
      <c r="D1044" t="s">
        <v>19</v>
      </c>
      <c r="E1044" t="s">
        <v>37</v>
      </c>
      <c r="F1044" s="1">
        <v>44819</v>
      </c>
      <c r="G1044">
        <v>2013</v>
      </c>
      <c r="H1044" t="s">
        <v>114</v>
      </c>
      <c r="I1044" t="s">
        <v>39</v>
      </c>
      <c r="J1044" t="s">
        <v>153</v>
      </c>
      <c r="K1044">
        <v>9.6</v>
      </c>
      <c r="L1044">
        <v>19739690</v>
      </c>
      <c r="M1044">
        <v>1718990</v>
      </c>
      <c r="N1044">
        <v>43</v>
      </c>
      <c r="O1044" t="s">
        <v>24</v>
      </c>
    </row>
    <row r="1045" spans="1:16" x14ac:dyDescent="0.35">
      <c r="A1045" t="s">
        <v>2245</v>
      </c>
      <c r="B1045" t="s">
        <v>2246</v>
      </c>
      <c r="C1045" t="s">
        <v>35</v>
      </c>
      <c r="D1045" t="s">
        <v>156</v>
      </c>
      <c r="E1045" t="s">
        <v>113</v>
      </c>
      <c r="F1045" s="1">
        <v>43424</v>
      </c>
      <c r="G1045">
        <v>2012</v>
      </c>
      <c r="H1045" t="s">
        <v>85</v>
      </c>
      <c r="I1045" t="s">
        <v>136</v>
      </c>
      <c r="J1045" t="s">
        <v>103</v>
      </c>
      <c r="K1045">
        <v>7.2</v>
      </c>
      <c r="L1045">
        <v>16912988</v>
      </c>
      <c r="M1045">
        <v>2533318</v>
      </c>
      <c r="N1045">
        <v>44</v>
      </c>
      <c r="O1045" t="s">
        <v>65</v>
      </c>
      <c r="P1045" t="s">
        <v>32</v>
      </c>
    </row>
    <row r="1046" spans="1:16" x14ac:dyDescent="0.35">
      <c r="A1046" t="s">
        <v>2247</v>
      </c>
      <c r="B1046" t="s">
        <v>2248</v>
      </c>
      <c r="C1046" t="s">
        <v>18</v>
      </c>
      <c r="E1046" t="s">
        <v>37</v>
      </c>
      <c r="F1046" s="1">
        <v>42061</v>
      </c>
      <c r="G1046">
        <v>2010</v>
      </c>
      <c r="H1046" t="s">
        <v>114</v>
      </c>
      <c r="I1046" t="s">
        <v>963</v>
      </c>
      <c r="J1046" t="s">
        <v>153</v>
      </c>
      <c r="K1046">
        <v>8.4</v>
      </c>
      <c r="L1046">
        <v>14089422</v>
      </c>
      <c r="M1046">
        <v>3509590</v>
      </c>
      <c r="N1046">
        <v>69</v>
      </c>
      <c r="O1046" t="s">
        <v>65</v>
      </c>
      <c r="P1046" t="s">
        <v>50</v>
      </c>
    </row>
    <row r="1047" spans="1:16" x14ac:dyDescent="0.35">
      <c r="A1047" t="s">
        <v>2249</v>
      </c>
      <c r="B1047" t="s">
        <v>2250</v>
      </c>
      <c r="D1047" t="s">
        <v>68</v>
      </c>
      <c r="E1047" t="s">
        <v>20</v>
      </c>
      <c r="F1047" s="1">
        <v>42882</v>
      </c>
      <c r="G1047">
        <v>2011</v>
      </c>
      <c r="H1047" t="s">
        <v>70</v>
      </c>
      <c r="I1047" t="s">
        <v>136</v>
      </c>
      <c r="K1047">
        <v>8.8000000000000007</v>
      </c>
      <c r="L1047">
        <v>14215993</v>
      </c>
      <c r="M1047">
        <v>1899108</v>
      </c>
      <c r="N1047">
        <v>64</v>
      </c>
      <c r="O1047" t="s">
        <v>24</v>
      </c>
      <c r="P1047" t="s">
        <v>42</v>
      </c>
    </row>
    <row r="1048" spans="1:16" x14ac:dyDescent="0.35">
      <c r="A1048" t="s">
        <v>2251</v>
      </c>
      <c r="B1048" t="s">
        <v>2252</v>
      </c>
      <c r="C1048" t="s">
        <v>84</v>
      </c>
      <c r="D1048" t="s">
        <v>68</v>
      </c>
      <c r="E1048" t="s">
        <v>165</v>
      </c>
      <c r="F1048" s="1">
        <v>42392</v>
      </c>
      <c r="G1048">
        <v>2006</v>
      </c>
      <c r="H1048" t="s">
        <v>46</v>
      </c>
      <c r="I1048" t="s">
        <v>2253</v>
      </c>
      <c r="J1048" t="s">
        <v>40</v>
      </c>
      <c r="K1048">
        <v>6.2</v>
      </c>
      <c r="L1048">
        <v>14016490</v>
      </c>
      <c r="M1048">
        <v>4656338</v>
      </c>
      <c r="N1048">
        <v>84</v>
      </c>
      <c r="O1048" t="s">
        <v>104</v>
      </c>
      <c r="P1048" t="s">
        <v>50</v>
      </c>
    </row>
    <row r="1049" spans="1:16" x14ac:dyDescent="0.35">
      <c r="A1049" t="s">
        <v>2254</v>
      </c>
      <c r="B1049" t="s">
        <v>2255</v>
      </c>
      <c r="C1049" t="s">
        <v>84</v>
      </c>
      <c r="D1049" t="s">
        <v>36</v>
      </c>
      <c r="E1049" t="s">
        <v>55</v>
      </c>
      <c r="G1049">
        <v>2006</v>
      </c>
      <c r="H1049" t="s">
        <v>46</v>
      </c>
      <c r="I1049" t="s">
        <v>627</v>
      </c>
      <c r="K1049">
        <v>8.6999999999999993</v>
      </c>
      <c r="L1049">
        <v>574144</v>
      </c>
      <c r="M1049">
        <v>3995286</v>
      </c>
      <c r="N1049">
        <v>60</v>
      </c>
      <c r="O1049" t="s">
        <v>58</v>
      </c>
    </row>
    <row r="1050" spans="1:16" x14ac:dyDescent="0.35">
      <c r="A1050" t="s">
        <v>2256</v>
      </c>
      <c r="B1050" t="s">
        <v>2257</v>
      </c>
      <c r="C1050" t="s">
        <v>84</v>
      </c>
      <c r="D1050" t="s">
        <v>90</v>
      </c>
      <c r="E1050" t="s">
        <v>37</v>
      </c>
      <c r="F1050" s="1">
        <v>43782</v>
      </c>
      <c r="G1050">
        <v>2008</v>
      </c>
      <c r="H1050" t="s">
        <v>85</v>
      </c>
      <c r="I1050" t="s">
        <v>259</v>
      </c>
      <c r="J1050" t="s">
        <v>100</v>
      </c>
      <c r="K1050">
        <v>8.6999999999999993</v>
      </c>
      <c r="L1050">
        <v>15537402</v>
      </c>
      <c r="M1050">
        <v>1096695</v>
      </c>
      <c r="N1050">
        <v>63</v>
      </c>
      <c r="O1050" t="s">
        <v>91</v>
      </c>
    </row>
    <row r="1051" spans="1:16" x14ac:dyDescent="0.35">
      <c r="A1051" t="s">
        <v>2258</v>
      </c>
      <c r="B1051" t="s">
        <v>2259</v>
      </c>
      <c r="C1051" t="s">
        <v>79</v>
      </c>
      <c r="D1051" t="s">
        <v>94</v>
      </c>
      <c r="E1051" t="s">
        <v>20</v>
      </c>
      <c r="F1051" s="1">
        <v>42365</v>
      </c>
      <c r="G1051">
        <v>2016</v>
      </c>
      <c r="H1051" t="s">
        <v>85</v>
      </c>
      <c r="I1051" t="s">
        <v>987</v>
      </c>
      <c r="J1051" t="s">
        <v>48</v>
      </c>
      <c r="K1051">
        <v>7.9</v>
      </c>
      <c r="L1051">
        <v>12293595</v>
      </c>
      <c r="M1051">
        <v>4762011</v>
      </c>
      <c r="N1051">
        <v>77</v>
      </c>
      <c r="O1051" t="s">
        <v>49</v>
      </c>
      <c r="P1051" t="s">
        <v>50</v>
      </c>
    </row>
    <row r="1052" spans="1:16" x14ac:dyDescent="0.35">
      <c r="A1052" t="s">
        <v>2260</v>
      </c>
      <c r="B1052" t="s">
        <v>2261</v>
      </c>
      <c r="E1052" t="s">
        <v>28</v>
      </c>
      <c r="F1052" s="1">
        <v>45598</v>
      </c>
      <c r="G1052">
        <v>2006</v>
      </c>
      <c r="H1052" t="s">
        <v>63</v>
      </c>
      <c r="I1052" t="s">
        <v>118</v>
      </c>
      <c r="J1052" t="s">
        <v>72</v>
      </c>
      <c r="K1052">
        <v>9.8000000000000007</v>
      </c>
      <c r="L1052">
        <v>23044339</v>
      </c>
      <c r="M1052">
        <v>738255</v>
      </c>
      <c r="N1052">
        <v>96</v>
      </c>
      <c r="O1052" t="s">
        <v>65</v>
      </c>
      <c r="P1052" t="s">
        <v>50</v>
      </c>
    </row>
    <row r="1053" spans="1:16" x14ac:dyDescent="0.35">
      <c r="A1053" t="s">
        <v>2262</v>
      </c>
      <c r="B1053" t="s">
        <v>2263</v>
      </c>
      <c r="D1053" t="s">
        <v>94</v>
      </c>
      <c r="E1053" t="s">
        <v>113</v>
      </c>
      <c r="F1053" s="1">
        <v>43328</v>
      </c>
      <c r="G1053">
        <v>2020</v>
      </c>
      <c r="H1053" t="s">
        <v>121</v>
      </c>
      <c r="I1053" t="s">
        <v>39</v>
      </c>
      <c r="J1053" t="s">
        <v>100</v>
      </c>
      <c r="K1053">
        <v>5.2</v>
      </c>
      <c r="L1053">
        <v>14273888</v>
      </c>
      <c r="M1053">
        <v>2710693</v>
      </c>
      <c r="N1053">
        <v>98</v>
      </c>
      <c r="O1053" t="s">
        <v>58</v>
      </c>
      <c r="P1053" t="s">
        <v>42</v>
      </c>
    </row>
    <row r="1054" spans="1:16" x14ac:dyDescent="0.35">
      <c r="A1054" t="s">
        <v>2264</v>
      </c>
      <c r="B1054" t="s">
        <v>2265</v>
      </c>
      <c r="C1054" t="s">
        <v>35</v>
      </c>
      <c r="D1054" t="s">
        <v>90</v>
      </c>
      <c r="E1054" t="s">
        <v>69</v>
      </c>
      <c r="F1054" s="1">
        <v>45182</v>
      </c>
      <c r="G1054">
        <v>2019</v>
      </c>
      <c r="H1054" t="s">
        <v>107</v>
      </c>
      <c r="I1054" t="s">
        <v>95</v>
      </c>
      <c r="J1054" t="s">
        <v>133</v>
      </c>
      <c r="K1054">
        <v>8.3000000000000007</v>
      </c>
      <c r="L1054">
        <v>11704834</v>
      </c>
      <c r="M1054">
        <v>706813</v>
      </c>
      <c r="N1054">
        <v>75</v>
      </c>
      <c r="O1054" t="s">
        <v>65</v>
      </c>
      <c r="P1054" t="s">
        <v>50</v>
      </c>
    </row>
    <row r="1055" spans="1:16" x14ac:dyDescent="0.35">
      <c r="A1055" t="s">
        <v>2266</v>
      </c>
      <c r="B1055" t="s">
        <v>2267</v>
      </c>
      <c r="D1055" t="s">
        <v>75</v>
      </c>
      <c r="E1055" t="s">
        <v>80</v>
      </c>
      <c r="F1055" s="1">
        <v>45994</v>
      </c>
      <c r="G1055">
        <v>2001</v>
      </c>
      <c r="H1055" t="s">
        <v>46</v>
      </c>
      <c r="I1055" t="s">
        <v>64</v>
      </c>
      <c r="J1055" t="s">
        <v>23</v>
      </c>
      <c r="K1055">
        <v>5.2</v>
      </c>
      <c r="L1055">
        <v>24146328</v>
      </c>
      <c r="M1055">
        <v>224353</v>
      </c>
      <c r="N1055">
        <v>49</v>
      </c>
      <c r="O1055" t="s">
        <v>91</v>
      </c>
      <c r="P1055" t="s">
        <v>87</v>
      </c>
    </row>
    <row r="1056" spans="1:16" x14ac:dyDescent="0.35">
      <c r="A1056" t="s">
        <v>2268</v>
      </c>
      <c r="B1056" t="s">
        <v>2269</v>
      </c>
      <c r="D1056" t="s">
        <v>94</v>
      </c>
      <c r="E1056" t="s">
        <v>99</v>
      </c>
      <c r="F1056" s="1">
        <v>44154</v>
      </c>
      <c r="G1056">
        <v>2017</v>
      </c>
      <c r="H1056" t="s">
        <v>21</v>
      </c>
      <c r="I1056" t="s">
        <v>162</v>
      </c>
      <c r="J1056" t="s">
        <v>103</v>
      </c>
      <c r="K1056">
        <v>5.6</v>
      </c>
      <c r="L1056">
        <v>20250736</v>
      </c>
      <c r="M1056">
        <v>1063112</v>
      </c>
      <c r="N1056">
        <v>73</v>
      </c>
      <c r="O1056" t="s">
        <v>31</v>
      </c>
      <c r="P1056" t="s">
        <v>50</v>
      </c>
    </row>
    <row r="1057" spans="1:16" x14ac:dyDescent="0.35">
      <c r="A1057" t="s">
        <v>2270</v>
      </c>
      <c r="B1057" t="s">
        <v>2271</v>
      </c>
      <c r="C1057" t="s">
        <v>84</v>
      </c>
      <c r="D1057" t="s">
        <v>54</v>
      </c>
      <c r="E1057" t="s">
        <v>113</v>
      </c>
      <c r="F1057" s="1">
        <v>44760</v>
      </c>
      <c r="G1057">
        <v>2023</v>
      </c>
      <c r="H1057" t="s">
        <v>38</v>
      </c>
      <c r="I1057" t="s">
        <v>204</v>
      </c>
      <c r="J1057" t="s">
        <v>23</v>
      </c>
      <c r="K1057">
        <v>6.1</v>
      </c>
      <c r="L1057">
        <v>4094227</v>
      </c>
      <c r="M1057">
        <v>4521991</v>
      </c>
      <c r="N1057">
        <v>97</v>
      </c>
      <c r="O1057" t="s">
        <v>41</v>
      </c>
      <c r="P1057" t="s">
        <v>50</v>
      </c>
    </row>
    <row r="1058" spans="1:16" x14ac:dyDescent="0.35">
      <c r="A1058" t="s">
        <v>2272</v>
      </c>
      <c r="B1058" t="s">
        <v>2273</v>
      </c>
      <c r="D1058" t="s">
        <v>19</v>
      </c>
      <c r="E1058" t="s">
        <v>131</v>
      </c>
      <c r="F1058" s="1">
        <v>43122</v>
      </c>
      <c r="G1058">
        <v>2005</v>
      </c>
      <c r="H1058" t="s">
        <v>38</v>
      </c>
      <c r="I1058" t="s">
        <v>56</v>
      </c>
      <c r="J1058" t="s">
        <v>133</v>
      </c>
      <c r="K1058">
        <v>7.2</v>
      </c>
      <c r="L1058">
        <v>3144288</v>
      </c>
      <c r="M1058">
        <v>182054</v>
      </c>
      <c r="N1058">
        <v>67</v>
      </c>
      <c r="O1058" t="s">
        <v>58</v>
      </c>
    </row>
    <row r="1059" spans="1:16" x14ac:dyDescent="0.35">
      <c r="A1059" t="s">
        <v>2274</v>
      </c>
      <c r="B1059" t="s">
        <v>2275</v>
      </c>
      <c r="C1059" t="s">
        <v>84</v>
      </c>
      <c r="D1059" t="s">
        <v>68</v>
      </c>
      <c r="E1059" t="s">
        <v>20</v>
      </c>
      <c r="F1059" s="1">
        <v>44062</v>
      </c>
      <c r="G1059">
        <v>2023</v>
      </c>
      <c r="H1059" t="s">
        <v>38</v>
      </c>
      <c r="I1059" t="s">
        <v>608</v>
      </c>
      <c r="J1059" t="s">
        <v>103</v>
      </c>
      <c r="K1059">
        <v>7</v>
      </c>
      <c r="L1059">
        <v>22814306</v>
      </c>
      <c r="M1059">
        <v>2354880</v>
      </c>
      <c r="N1059">
        <v>89</v>
      </c>
      <c r="O1059" t="s">
        <v>58</v>
      </c>
      <c r="P1059" t="s">
        <v>50</v>
      </c>
    </row>
    <row r="1060" spans="1:16" x14ac:dyDescent="0.35">
      <c r="A1060" t="s">
        <v>2276</v>
      </c>
      <c r="B1060" t="s">
        <v>2277</v>
      </c>
      <c r="C1060" t="s">
        <v>35</v>
      </c>
      <c r="D1060" t="s">
        <v>75</v>
      </c>
      <c r="E1060" t="s">
        <v>99</v>
      </c>
      <c r="G1060">
        <v>2002</v>
      </c>
      <c r="H1060" t="s">
        <v>21</v>
      </c>
      <c r="I1060" t="s">
        <v>39</v>
      </c>
      <c r="J1060" t="s">
        <v>72</v>
      </c>
      <c r="K1060">
        <v>5.7</v>
      </c>
      <c r="L1060">
        <v>7187708</v>
      </c>
      <c r="M1060">
        <v>222265</v>
      </c>
      <c r="N1060">
        <v>40</v>
      </c>
      <c r="O1060" t="s">
        <v>123</v>
      </c>
      <c r="P1060" t="s">
        <v>87</v>
      </c>
    </row>
    <row r="1061" spans="1:16" x14ac:dyDescent="0.35">
      <c r="A1061" t="s">
        <v>2278</v>
      </c>
      <c r="B1061" t="s">
        <v>2279</v>
      </c>
      <c r="D1061" t="s">
        <v>27</v>
      </c>
      <c r="E1061" t="s">
        <v>69</v>
      </c>
      <c r="F1061" s="1">
        <v>46029</v>
      </c>
      <c r="G1061">
        <v>2013</v>
      </c>
      <c r="H1061" t="s">
        <v>46</v>
      </c>
      <c r="I1061" t="s">
        <v>56</v>
      </c>
      <c r="J1061" t="s">
        <v>76</v>
      </c>
      <c r="K1061">
        <v>6.4</v>
      </c>
      <c r="L1061">
        <v>20098627</v>
      </c>
      <c r="M1061">
        <v>4958622</v>
      </c>
      <c r="N1061">
        <v>55</v>
      </c>
      <c r="O1061" t="s">
        <v>24</v>
      </c>
      <c r="P1061" t="s">
        <v>32</v>
      </c>
    </row>
    <row r="1062" spans="1:16" x14ac:dyDescent="0.35">
      <c r="A1062" t="s">
        <v>2280</v>
      </c>
      <c r="B1062" t="s">
        <v>2281</v>
      </c>
      <c r="C1062" t="s">
        <v>53</v>
      </c>
      <c r="D1062" t="s">
        <v>36</v>
      </c>
      <c r="E1062" t="s">
        <v>20</v>
      </c>
      <c r="F1062" s="1">
        <v>44582</v>
      </c>
      <c r="G1062">
        <v>2032</v>
      </c>
      <c r="H1062" t="s">
        <v>114</v>
      </c>
      <c r="I1062" t="s">
        <v>71</v>
      </c>
      <c r="J1062" t="s">
        <v>23</v>
      </c>
      <c r="K1062">
        <v>5.2</v>
      </c>
      <c r="L1062">
        <v>3514435</v>
      </c>
      <c r="M1062">
        <v>2522096</v>
      </c>
      <c r="N1062">
        <v>58</v>
      </c>
      <c r="O1062" t="s">
        <v>58</v>
      </c>
    </row>
    <row r="1063" spans="1:16" x14ac:dyDescent="0.35">
      <c r="A1063" t="s">
        <v>2282</v>
      </c>
      <c r="B1063" t="s">
        <v>2283</v>
      </c>
      <c r="D1063" t="s">
        <v>75</v>
      </c>
      <c r="E1063" t="s">
        <v>69</v>
      </c>
      <c r="F1063" s="1">
        <v>45674</v>
      </c>
      <c r="G1063">
        <v>2020</v>
      </c>
      <c r="H1063" t="s">
        <v>121</v>
      </c>
      <c r="I1063" t="s">
        <v>162</v>
      </c>
      <c r="J1063" t="s">
        <v>96</v>
      </c>
      <c r="K1063">
        <v>6.5</v>
      </c>
      <c r="L1063">
        <v>9355876</v>
      </c>
      <c r="M1063">
        <v>2421162</v>
      </c>
      <c r="N1063">
        <v>56</v>
      </c>
      <c r="P1063" t="s">
        <v>32</v>
      </c>
    </row>
    <row r="1064" spans="1:16" x14ac:dyDescent="0.35">
      <c r="A1064" t="s">
        <v>2284</v>
      </c>
      <c r="B1064" t="s">
        <v>2285</v>
      </c>
      <c r="C1064" t="s">
        <v>35</v>
      </c>
      <c r="D1064" t="s">
        <v>54</v>
      </c>
      <c r="E1064" t="s">
        <v>45</v>
      </c>
      <c r="F1064" s="1">
        <v>43796</v>
      </c>
      <c r="G1064">
        <v>2016</v>
      </c>
      <c r="H1064" t="s">
        <v>38</v>
      </c>
      <c r="I1064" t="s">
        <v>64</v>
      </c>
      <c r="J1064" t="s">
        <v>72</v>
      </c>
      <c r="K1064">
        <v>5.7</v>
      </c>
      <c r="L1064">
        <v>24079358</v>
      </c>
      <c r="M1064">
        <v>4286065</v>
      </c>
      <c r="N1064">
        <v>75</v>
      </c>
      <c r="P1064" t="s">
        <v>42</v>
      </c>
    </row>
    <row r="1065" spans="1:16" x14ac:dyDescent="0.35">
      <c r="A1065" t="s">
        <v>2286</v>
      </c>
      <c r="B1065" t="s">
        <v>2287</v>
      </c>
      <c r="C1065" t="s">
        <v>18</v>
      </c>
      <c r="D1065" t="s">
        <v>54</v>
      </c>
      <c r="E1065" t="s">
        <v>131</v>
      </c>
      <c r="F1065" s="1">
        <v>42527</v>
      </c>
      <c r="G1065">
        <v>2007</v>
      </c>
      <c r="H1065" t="s">
        <v>63</v>
      </c>
      <c r="I1065" t="s">
        <v>187</v>
      </c>
      <c r="J1065" t="s">
        <v>133</v>
      </c>
      <c r="K1065">
        <v>9.5</v>
      </c>
      <c r="L1065">
        <v>24477661</v>
      </c>
      <c r="M1065">
        <v>2380548</v>
      </c>
      <c r="N1065">
        <v>120</v>
      </c>
      <c r="O1065" t="s">
        <v>49</v>
      </c>
      <c r="P1065" t="s">
        <v>50</v>
      </c>
    </row>
    <row r="1066" spans="1:16" x14ac:dyDescent="0.35">
      <c r="A1066" t="s">
        <v>2288</v>
      </c>
      <c r="B1066" t="s">
        <v>2289</v>
      </c>
      <c r="C1066" t="s">
        <v>84</v>
      </c>
      <c r="D1066" t="s">
        <v>36</v>
      </c>
      <c r="F1066" s="1">
        <v>42335</v>
      </c>
      <c r="G1066">
        <v>2032</v>
      </c>
      <c r="H1066" t="s">
        <v>21</v>
      </c>
      <c r="I1066" t="s">
        <v>184</v>
      </c>
      <c r="J1066" t="s">
        <v>40</v>
      </c>
      <c r="K1066">
        <v>8.1999999999999993</v>
      </c>
      <c r="L1066">
        <v>13417011</v>
      </c>
      <c r="M1066">
        <v>235338</v>
      </c>
      <c r="N1066">
        <v>86</v>
      </c>
      <c r="O1066" t="s">
        <v>49</v>
      </c>
      <c r="P1066" t="s">
        <v>50</v>
      </c>
    </row>
    <row r="1067" spans="1:16" x14ac:dyDescent="0.35">
      <c r="A1067" t="s">
        <v>2290</v>
      </c>
      <c r="B1067" t="s">
        <v>2291</v>
      </c>
      <c r="C1067" t="s">
        <v>35</v>
      </c>
      <c r="E1067" t="s">
        <v>55</v>
      </c>
      <c r="F1067" s="1">
        <v>44507</v>
      </c>
      <c r="G1067">
        <v>2005</v>
      </c>
      <c r="H1067" t="s">
        <v>81</v>
      </c>
      <c r="I1067" t="s">
        <v>71</v>
      </c>
      <c r="J1067" t="s">
        <v>23</v>
      </c>
      <c r="K1067">
        <v>8.9</v>
      </c>
      <c r="L1067">
        <v>17793951</v>
      </c>
      <c r="M1067">
        <v>1028886</v>
      </c>
      <c r="N1067">
        <v>61</v>
      </c>
      <c r="O1067" t="s">
        <v>123</v>
      </c>
      <c r="P1067" t="s">
        <v>87</v>
      </c>
    </row>
    <row r="1068" spans="1:16" x14ac:dyDescent="0.35">
      <c r="A1068" t="s">
        <v>2292</v>
      </c>
      <c r="B1068" t="s">
        <v>2293</v>
      </c>
      <c r="C1068" t="s">
        <v>53</v>
      </c>
      <c r="D1068" t="s">
        <v>75</v>
      </c>
      <c r="E1068" t="s">
        <v>55</v>
      </c>
      <c r="F1068" s="1">
        <v>43947</v>
      </c>
      <c r="G1068">
        <v>2008</v>
      </c>
      <c r="H1068" t="s">
        <v>38</v>
      </c>
      <c r="I1068" t="s">
        <v>64</v>
      </c>
      <c r="J1068" t="s">
        <v>153</v>
      </c>
      <c r="K1068">
        <v>7</v>
      </c>
      <c r="L1068">
        <v>16966237</v>
      </c>
      <c r="M1068">
        <v>3824780</v>
      </c>
      <c r="N1068">
        <v>90</v>
      </c>
      <c r="O1068" t="s">
        <v>31</v>
      </c>
      <c r="P1068" t="s">
        <v>87</v>
      </c>
    </row>
    <row r="1069" spans="1:16" x14ac:dyDescent="0.35">
      <c r="A1069" t="s">
        <v>2294</v>
      </c>
      <c r="B1069" t="s">
        <v>2295</v>
      </c>
      <c r="C1069" t="s">
        <v>18</v>
      </c>
      <c r="D1069" t="s">
        <v>36</v>
      </c>
      <c r="E1069" t="s">
        <v>131</v>
      </c>
      <c r="F1069" s="1">
        <v>45122</v>
      </c>
      <c r="G1069">
        <v>2018</v>
      </c>
      <c r="H1069" t="s">
        <v>38</v>
      </c>
      <c r="I1069" t="s">
        <v>775</v>
      </c>
      <c r="J1069" t="s">
        <v>76</v>
      </c>
      <c r="K1069">
        <v>9.6999999999999993</v>
      </c>
      <c r="L1069">
        <v>5081595</v>
      </c>
      <c r="M1069">
        <v>4815648</v>
      </c>
      <c r="N1069">
        <v>40</v>
      </c>
      <c r="O1069" t="s">
        <v>91</v>
      </c>
      <c r="P1069" t="s">
        <v>50</v>
      </c>
    </row>
    <row r="1070" spans="1:16" x14ac:dyDescent="0.35">
      <c r="A1070" t="s">
        <v>2296</v>
      </c>
      <c r="B1070" t="s">
        <v>2297</v>
      </c>
      <c r="C1070" t="s">
        <v>84</v>
      </c>
      <c r="D1070" t="s">
        <v>156</v>
      </c>
      <c r="E1070" t="s">
        <v>28</v>
      </c>
      <c r="F1070" s="1">
        <v>45936</v>
      </c>
      <c r="G1070">
        <v>2013</v>
      </c>
      <c r="H1070" t="s">
        <v>46</v>
      </c>
      <c r="I1070" t="s">
        <v>775</v>
      </c>
      <c r="J1070" t="s">
        <v>48</v>
      </c>
      <c r="K1070">
        <v>5.4</v>
      </c>
      <c r="L1070">
        <v>21027522</v>
      </c>
      <c r="M1070">
        <v>4435130</v>
      </c>
      <c r="N1070">
        <v>63</v>
      </c>
      <c r="O1070" t="s">
        <v>49</v>
      </c>
      <c r="P1070" t="s">
        <v>87</v>
      </c>
    </row>
    <row r="1071" spans="1:16" x14ac:dyDescent="0.35">
      <c r="A1071" t="s">
        <v>2298</v>
      </c>
      <c r="B1071" t="s">
        <v>2299</v>
      </c>
      <c r="C1071" t="s">
        <v>84</v>
      </c>
      <c r="D1071" t="s">
        <v>54</v>
      </c>
      <c r="E1071" t="s">
        <v>113</v>
      </c>
      <c r="F1071" s="1">
        <v>44285</v>
      </c>
      <c r="G1071">
        <v>2017</v>
      </c>
      <c r="H1071" t="s">
        <v>81</v>
      </c>
      <c r="I1071" t="s">
        <v>608</v>
      </c>
      <c r="J1071" t="s">
        <v>40</v>
      </c>
      <c r="K1071">
        <v>7.2</v>
      </c>
      <c r="L1071">
        <v>11141610</v>
      </c>
      <c r="M1071">
        <v>3116682</v>
      </c>
      <c r="N1071">
        <v>95</v>
      </c>
    </row>
    <row r="1072" spans="1:16" x14ac:dyDescent="0.35">
      <c r="A1072" t="s">
        <v>2300</v>
      </c>
      <c r="B1072" t="s">
        <v>2301</v>
      </c>
      <c r="C1072" t="s">
        <v>79</v>
      </c>
      <c r="D1072" t="s">
        <v>19</v>
      </c>
      <c r="E1072" t="s">
        <v>99</v>
      </c>
      <c r="F1072" s="1">
        <v>45130</v>
      </c>
      <c r="G1072">
        <v>2032</v>
      </c>
      <c r="H1072" t="s">
        <v>38</v>
      </c>
      <c r="I1072" t="s">
        <v>763</v>
      </c>
      <c r="J1072" t="s">
        <v>48</v>
      </c>
      <c r="K1072">
        <v>8.9</v>
      </c>
      <c r="L1072">
        <v>19308469</v>
      </c>
      <c r="M1072">
        <v>1027245</v>
      </c>
      <c r="N1072">
        <v>52</v>
      </c>
      <c r="O1072" t="s">
        <v>123</v>
      </c>
      <c r="P1072" t="s">
        <v>42</v>
      </c>
    </row>
    <row r="1073" spans="1:16" x14ac:dyDescent="0.35">
      <c r="A1073" t="s">
        <v>2302</v>
      </c>
      <c r="B1073" t="s">
        <v>2303</v>
      </c>
      <c r="C1073" t="s">
        <v>53</v>
      </c>
      <c r="D1073" t="s">
        <v>68</v>
      </c>
      <c r="E1073" t="s">
        <v>45</v>
      </c>
      <c r="F1073" s="1">
        <v>43626</v>
      </c>
      <c r="G1073">
        <v>2023</v>
      </c>
      <c r="I1073" t="s">
        <v>136</v>
      </c>
      <c r="J1073" t="s">
        <v>57</v>
      </c>
      <c r="K1073">
        <v>4.7</v>
      </c>
      <c r="L1073">
        <v>15385278</v>
      </c>
      <c r="M1073">
        <v>3525187</v>
      </c>
      <c r="N1073">
        <v>65</v>
      </c>
      <c r="O1073" t="s">
        <v>24</v>
      </c>
    </row>
    <row r="1074" spans="1:16" x14ac:dyDescent="0.35">
      <c r="A1074" t="s">
        <v>2304</v>
      </c>
      <c r="B1074" t="s">
        <v>2305</v>
      </c>
      <c r="D1074" t="s">
        <v>68</v>
      </c>
      <c r="E1074" t="s">
        <v>165</v>
      </c>
      <c r="F1074" s="1">
        <v>44709</v>
      </c>
      <c r="G1074">
        <v>2021</v>
      </c>
      <c r="H1074" t="s">
        <v>46</v>
      </c>
      <c r="I1074" t="s">
        <v>118</v>
      </c>
      <c r="J1074" t="s">
        <v>57</v>
      </c>
      <c r="K1074">
        <v>6.4</v>
      </c>
      <c r="L1074">
        <v>2367023</v>
      </c>
      <c r="M1074">
        <v>3075407</v>
      </c>
      <c r="N1074">
        <v>62</v>
      </c>
      <c r="P1074" t="s">
        <v>50</v>
      </c>
    </row>
    <row r="1075" spans="1:16" x14ac:dyDescent="0.35">
      <c r="A1075" t="s">
        <v>2306</v>
      </c>
      <c r="B1075" t="s">
        <v>2307</v>
      </c>
      <c r="C1075" t="s">
        <v>18</v>
      </c>
      <c r="D1075" t="s">
        <v>94</v>
      </c>
      <c r="E1075" t="s">
        <v>20</v>
      </c>
      <c r="F1075" s="1">
        <v>42655</v>
      </c>
      <c r="G1075">
        <v>2020</v>
      </c>
      <c r="H1075" t="s">
        <v>114</v>
      </c>
      <c r="I1075" t="s">
        <v>738</v>
      </c>
      <c r="J1075" t="s">
        <v>23</v>
      </c>
      <c r="K1075">
        <v>7</v>
      </c>
      <c r="L1075">
        <v>16316763</v>
      </c>
      <c r="M1075">
        <v>2280103</v>
      </c>
      <c r="N1075">
        <v>96</v>
      </c>
      <c r="O1075" t="s">
        <v>123</v>
      </c>
      <c r="P1075" t="s">
        <v>87</v>
      </c>
    </row>
    <row r="1076" spans="1:16" x14ac:dyDescent="0.35">
      <c r="A1076" t="s">
        <v>2308</v>
      </c>
      <c r="B1076" t="s">
        <v>2309</v>
      </c>
      <c r="C1076" t="s">
        <v>84</v>
      </c>
      <c r="D1076" t="s">
        <v>36</v>
      </c>
      <c r="E1076" t="s">
        <v>113</v>
      </c>
      <c r="F1076" s="1">
        <v>45060</v>
      </c>
      <c r="G1076">
        <v>2005</v>
      </c>
      <c r="H1076" t="s">
        <v>38</v>
      </c>
      <c r="I1076" t="s">
        <v>320</v>
      </c>
      <c r="K1076">
        <v>5</v>
      </c>
      <c r="L1076">
        <v>436143</v>
      </c>
      <c r="M1076">
        <v>1018729</v>
      </c>
      <c r="N1076">
        <v>66</v>
      </c>
      <c r="O1076" t="s">
        <v>31</v>
      </c>
      <c r="P1076" t="s">
        <v>87</v>
      </c>
    </row>
    <row r="1077" spans="1:16" x14ac:dyDescent="0.35">
      <c r="A1077" t="s">
        <v>2310</v>
      </c>
      <c r="B1077" t="s">
        <v>2311</v>
      </c>
      <c r="C1077" t="s">
        <v>35</v>
      </c>
      <c r="E1077" t="s">
        <v>45</v>
      </c>
      <c r="F1077" s="1">
        <v>43939</v>
      </c>
      <c r="G1077">
        <v>2021</v>
      </c>
      <c r="H1077" t="s">
        <v>121</v>
      </c>
      <c r="I1077" t="s">
        <v>71</v>
      </c>
      <c r="J1077" t="s">
        <v>96</v>
      </c>
      <c r="K1077">
        <v>8</v>
      </c>
      <c r="L1077">
        <v>8073584</v>
      </c>
      <c r="M1077">
        <v>2395069</v>
      </c>
      <c r="N1077">
        <v>44</v>
      </c>
      <c r="O1077" t="s">
        <v>41</v>
      </c>
      <c r="P1077" t="s">
        <v>87</v>
      </c>
    </row>
    <row r="1078" spans="1:16" x14ac:dyDescent="0.35">
      <c r="A1078" t="s">
        <v>2312</v>
      </c>
      <c r="B1078" t="s">
        <v>2313</v>
      </c>
      <c r="C1078" t="s">
        <v>18</v>
      </c>
      <c r="D1078" t="s">
        <v>27</v>
      </c>
      <c r="E1078" t="s">
        <v>99</v>
      </c>
      <c r="F1078" s="1">
        <v>44189</v>
      </c>
      <c r="G1078">
        <v>2016</v>
      </c>
      <c r="H1078" t="s">
        <v>21</v>
      </c>
      <c r="I1078" t="s">
        <v>517</v>
      </c>
      <c r="J1078" t="s">
        <v>100</v>
      </c>
      <c r="K1078">
        <v>6.9</v>
      </c>
      <c r="L1078">
        <v>15037897</v>
      </c>
      <c r="M1078">
        <v>3577372</v>
      </c>
      <c r="N1078">
        <v>97</v>
      </c>
      <c r="O1078" t="s">
        <v>104</v>
      </c>
      <c r="P1078" t="s">
        <v>42</v>
      </c>
    </row>
    <row r="1079" spans="1:16" x14ac:dyDescent="0.35">
      <c r="A1079" t="s">
        <v>2314</v>
      </c>
      <c r="B1079" t="s">
        <v>2315</v>
      </c>
      <c r="C1079" t="s">
        <v>53</v>
      </c>
      <c r="D1079" t="s">
        <v>19</v>
      </c>
      <c r="F1079" s="1">
        <v>46134</v>
      </c>
      <c r="G1079">
        <v>2023</v>
      </c>
      <c r="H1079" t="s">
        <v>70</v>
      </c>
      <c r="I1079" t="s">
        <v>64</v>
      </c>
      <c r="J1079" t="s">
        <v>30</v>
      </c>
      <c r="K1079">
        <v>6.4</v>
      </c>
      <c r="L1079">
        <v>16590514</v>
      </c>
      <c r="M1079">
        <v>2713451</v>
      </c>
      <c r="N1079">
        <v>83</v>
      </c>
      <c r="O1079" t="s">
        <v>104</v>
      </c>
      <c r="P1079" t="s">
        <v>32</v>
      </c>
    </row>
    <row r="1080" spans="1:16" x14ac:dyDescent="0.35">
      <c r="A1080" t="s">
        <v>2316</v>
      </c>
      <c r="B1080" t="s">
        <v>2317</v>
      </c>
      <c r="C1080" t="s">
        <v>18</v>
      </c>
      <c r="D1080" t="s">
        <v>36</v>
      </c>
      <c r="E1080" t="s">
        <v>45</v>
      </c>
      <c r="F1080" s="1">
        <v>45562</v>
      </c>
      <c r="G1080">
        <v>2016</v>
      </c>
      <c r="H1080" t="s">
        <v>70</v>
      </c>
      <c r="I1080" t="s">
        <v>204</v>
      </c>
      <c r="J1080" t="s">
        <v>23</v>
      </c>
      <c r="K1080">
        <v>5.7</v>
      </c>
      <c r="L1080">
        <v>20649081</v>
      </c>
      <c r="M1080">
        <v>2009632</v>
      </c>
      <c r="N1080">
        <v>88</v>
      </c>
      <c r="O1080" t="s">
        <v>31</v>
      </c>
    </row>
    <row r="1081" spans="1:16" x14ac:dyDescent="0.35">
      <c r="A1081" t="s">
        <v>2318</v>
      </c>
      <c r="B1081" t="s">
        <v>2319</v>
      </c>
      <c r="D1081" t="s">
        <v>156</v>
      </c>
      <c r="E1081" t="s">
        <v>28</v>
      </c>
      <c r="G1081">
        <v>2000</v>
      </c>
      <c r="H1081" t="s">
        <v>46</v>
      </c>
      <c r="J1081" t="s">
        <v>133</v>
      </c>
      <c r="K1081">
        <v>5.5</v>
      </c>
      <c r="L1081">
        <v>8725144</v>
      </c>
      <c r="M1081">
        <v>3188888</v>
      </c>
      <c r="N1081">
        <v>120</v>
      </c>
      <c r="O1081" t="s">
        <v>91</v>
      </c>
    </row>
    <row r="1082" spans="1:16" x14ac:dyDescent="0.35">
      <c r="A1082" t="s">
        <v>2320</v>
      </c>
      <c r="B1082" t="s">
        <v>2321</v>
      </c>
      <c r="C1082" t="s">
        <v>53</v>
      </c>
      <c r="D1082" t="s">
        <v>54</v>
      </c>
      <c r="E1082" t="s">
        <v>55</v>
      </c>
      <c r="F1082" s="1">
        <v>42520</v>
      </c>
      <c r="G1082">
        <v>2012</v>
      </c>
      <c r="H1082" t="s">
        <v>107</v>
      </c>
      <c r="I1082" t="s">
        <v>118</v>
      </c>
      <c r="J1082" t="s">
        <v>76</v>
      </c>
      <c r="K1082">
        <v>6.9</v>
      </c>
      <c r="L1082">
        <v>21059181</v>
      </c>
      <c r="M1082">
        <v>2038371</v>
      </c>
      <c r="N1082">
        <v>68</v>
      </c>
      <c r="O1082" t="s">
        <v>65</v>
      </c>
    </row>
    <row r="1083" spans="1:16" x14ac:dyDescent="0.35">
      <c r="A1083" t="s">
        <v>2322</v>
      </c>
      <c r="B1083" t="s">
        <v>2323</v>
      </c>
      <c r="C1083" t="s">
        <v>84</v>
      </c>
      <c r="D1083" t="s">
        <v>156</v>
      </c>
      <c r="E1083" t="s">
        <v>165</v>
      </c>
      <c r="F1083" s="1">
        <v>45679</v>
      </c>
      <c r="G1083">
        <v>2010</v>
      </c>
      <c r="H1083" t="s">
        <v>38</v>
      </c>
      <c r="I1083" t="s">
        <v>29</v>
      </c>
      <c r="J1083" t="s">
        <v>133</v>
      </c>
      <c r="K1083">
        <v>7</v>
      </c>
      <c r="L1083">
        <v>13735907</v>
      </c>
      <c r="M1083">
        <v>1552107</v>
      </c>
      <c r="N1083">
        <v>46</v>
      </c>
      <c r="O1083" t="s">
        <v>65</v>
      </c>
      <c r="P1083" t="s">
        <v>42</v>
      </c>
    </row>
    <row r="1084" spans="1:16" x14ac:dyDescent="0.35">
      <c r="A1084" t="s">
        <v>2324</v>
      </c>
      <c r="B1084" t="s">
        <v>2325</v>
      </c>
      <c r="C1084" t="s">
        <v>35</v>
      </c>
      <c r="E1084" t="s">
        <v>131</v>
      </c>
      <c r="F1084" s="1">
        <v>45272</v>
      </c>
      <c r="G1084">
        <v>2015</v>
      </c>
      <c r="H1084" t="s">
        <v>70</v>
      </c>
      <c r="I1084" t="s">
        <v>118</v>
      </c>
      <c r="K1084">
        <v>8.5</v>
      </c>
      <c r="L1084">
        <v>16035831</v>
      </c>
      <c r="M1084">
        <v>1421540</v>
      </c>
      <c r="N1084">
        <v>76</v>
      </c>
      <c r="O1084" t="s">
        <v>31</v>
      </c>
    </row>
    <row r="1085" spans="1:16" x14ac:dyDescent="0.35">
      <c r="A1085" t="s">
        <v>2326</v>
      </c>
      <c r="B1085" t="s">
        <v>2327</v>
      </c>
      <c r="C1085" t="s">
        <v>79</v>
      </c>
      <c r="E1085" t="s">
        <v>99</v>
      </c>
      <c r="F1085" s="1">
        <v>44821</v>
      </c>
      <c r="G1085">
        <v>2024</v>
      </c>
      <c r="H1085" t="s">
        <v>85</v>
      </c>
      <c r="I1085" t="s">
        <v>717</v>
      </c>
      <c r="J1085" t="s">
        <v>30</v>
      </c>
      <c r="K1085">
        <v>11.2</v>
      </c>
      <c r="L1085">
        <v>12805734</v>
      </c>
      <c r="M1085">
        <v>1385935</v>
      </c>
      <c r="N1085">
        <v>80</v>
      </c>
      <c r="O1085" t="s">
        <v>31</v>
      </c>
      <c r="P1085" t="s">
        <v>87</v>
      </c>
    </row>
    <row r="1086" spans="1:16" x14ac:dyDescent="0.35">
      <c r="A1086" t="s">
        <v>2328</v>
      </c>
      <c r="B1086" t="s">
        <v>2329</v>
      </c>
      <c r="C1086" t="s">
        <v>35</v>
      </c>
      <c r="E1086" t="s">
        <v>69</v>
      </c>
      <c r="F1086" s="1">
        <v>42792</v>
      </c>
      <c r="G1086">
        <v>2010</v>
      </c>
      <c r="H1086" t="s">
        <v>63</v>
      </c>
      <c r="I1086" t="s">
        <v>39</v>
      </c>
      <c r="K1086">
        <v>6.7</v>
      </c>
      <c r="L1086">
        <v>21613941</v>
      </c>
      <c r="M1086">
        <v>3750796</v>
      </c>
      <c r="N1086">
        <v>92</v>
      </c>
      <c r="P1086" t="s">
        <v>32</v>
      </c>
    </row>
    <row r="1087" spans="1:16" x14ac:dyDescent="0.35">
      <c r="A1087" t="s">
        <v>2330</v>
      </c>
      <c r="B1087" t="s">
        <v>2331</v>
      </c>
      <c r="C1087" t="s">
        <v>84</v>
      </c>
      <c r="D1087" t="s">
        <v>27</v>
      </c>
      <c r="E1087" t="s">
        <v>62</v>
      </c>
      <c r="F1087" s="1">
        <v>44063</v>
      </c>
      <c r="G1087">
        <v>2004</v>
      </c>
      <c r="H1087" t="s">
        <v>85</v>
      </c>
      <c r="I1087" t="s">
        <v>2253</v>
      </c>
      <c r="J1087" t="s">
        <v>30</v>
      </c>
      <c r="K1087">
        <v>9.1999999999999993</v>
      </c>
      <c r="L1087">
        <v>771637</v>
      </c>
      <c r="M1087">
        <v>490806</v>
      </c>
      <c r="N1087">
        <v>40</v>
      </c>
      <c r="O1087" t="s">
        <v>24</v>
      </c>
      <c r="P1087" t="s">
        <v>42</v>
      </c>
    </row>
    <row r="1088" spans="1:16" x14ac:dyDescent="0.35">
      <c r="A1088" t="s">
        <v>2332</v>
      </c>
      <c r="B1088" t="s">
        <v>2333</v>
      </c>
      <c r="C1088" t="s">
        <v>18</v>
      </c>
      <c r="E1088" t="s">
        <v>165</v>
      </c>
      <c r="F1088" s="1">
        <v>42158</v>
      </c>
      <c r="G1088">
        <v>2008</v>
      </c>
      <c r="H1088" t="s">
        <v>121</v>
      </c>
      <c r="I1088" t="s">
        <v>788</v>
      </c>
      <c r="J1088" t="s">
        <v>30</v>
      </c>
      <c r="K1088">
        <v>6.9</v>
      </c>
      <c r="L1088">
        <v>7859772</v>
      </c>
      <c r="M1088">
        <v>363587</v>
      </c>
      <c r="N1088">
        <v>54</v>
      </c>
      <c r="O1088" t="s">
        <v>31</v>
      </c>
      <c r="P1088" t="s">
        <v>50</v>
      </c>
    </row>
    <row r="1089" spans="1:16" x14ac:dyDescent="0.35">
      <c r="A1089" t="s">
        <v>2334</v>
      </c>
      <c r="B1089" t="s">
        <v>2335</v>
      </c>
      <c r="C1089" t="s">
        <v>79</v>
      </c>
      <c r="D1089" t="s">
        <v>68</v>
      </c>
      <c r="F1089" s="1">
        <v>43364</v>
      </c>
      <c r="G1089">
        <v>2023</v>
      </c>
      <c r="H1089" t="s">
        <v>46</v>
      </c>
      <c r="I1089" t="s">
        <v>231</v>
      </c>
      <c r="J1089" t="s">
        <v>96</v>
      </c>
      <c r="K1089">
        <v>5.7</v>
      </c>
      <c r="L1089">
        <v>5371961</v>
      </c>
      <c r="M1089">
        <v>3964053</v>
      </c>
      <c r="N1089">
        <v>81</v>
      </c>
      <c r="O1089" t="s">
        <v>41</v>
      </c>
      <c r="P1089" t="s">
        <v>42</v>
      </c>
    </row>
    <row r="1090" spans="1:16" x14ac:dyDescent="0.35">
      <c r="A1090" t="s">
        <v>2336</v>
      </c>
      <c r="B1090" t="s">
        <v>2337</v>
      </c>
      <c r="C1090" t="s">
        <v>84</v>
      </c>
      <c r="D1090" t="s">
        <v>75</v>
      </c>
      <c r="E1090" t="s">
        <v>131</v>
      </c>
      <c r="F1090" s="1">
        <v>42110</v>
      </c>
      <c r="G1090">
        <v>2001</v>
      </c>
      <c r="H1090" t="s">
        <v>38</v>
      </c>
      <c r="I1090" t="s">
        <v>1975</v>
      </c>
      <c r="J1090" t="s">
        <v>76</v>
      </c>
      <c r="K1090">
        <v>5.2</v>
      </c>
      <c r="L1090">
        <v>2900450</v>
      </c>
      <c r="M1090">
        <v>4185485</v>
      </c>
      <c r="N1090">
        <v>76</v>
      </c>
      <c r="O1090" t="s">
        <v>123</v>
      </c>
      <c r="P1090" t="s">
        <v>87</v>
      </c>
    </row>
    <row r="1091" spans="1:16" x14ac:dyDescent="0.35">
      <c r="A1091" t="s">
        <v>2338</v>
      </c>
      <c r="B1091" t="s">
        <v>2339</v>
      </c>
      <c r="C1091" t="s">
        <v>53</v>
      </c>
      <c r="D1091" t="s">
        <v>75</v>
      </c>
      <c r="F1091" s="1">
        <v>43399</v>
      </c>
      <c r="G1091">
        <v>2018</v>
      </c>
      <c r="I1091" t="s">
        <v>39</v>
      </c>
      <c r="J1091" t="s">
        <v>23</v>
      </c>
      <c r="K1091">
        <v>8.9</v>
      </c>
      <c r="L1091">
        <v>10557194</v>
      </c>
      <c r="M1091">
        <v>3254145</v>
      </c>
      <c r="N1091">
        <v>57</v>
      </c>
      <c r="O1091" t="s">
        <v>65</v>
      </c>
    </row>
    <row r="1092" spans="1:16" x14ac:dyDescent="0.35">
      <c r="A1092" t="s">
        <v>2340</v>
      </c>
      <c r="B1092" t="s">
        <v>2341</v>
      </c>
      <c r="C1092" t="s">
        <v>53</v>
      </c>
      <c r="E1092" t="s">
        <v>55</v>
      </c>
      <c r="F1092" s="1">
        <v>43870</v>
      </c>
      <c r="G1092">
        <v>2026</v>
      </c>
      <c r="H1092" t="s">
        <v>46</v>
      </c>
      <c r="I1092" t="s">
        <v>56</v>
      </c>
      <c r="J1092" t="s">
        <v>23</v>
      </c>
      <c r="K1092">
        <v>5.5</v>
      </c>
      <c r="L1092">
        <v>17155088</v>
      </c>
      <c r="M1092">
        <v>101270</v>
      </c>
      <c r="N1092">
        <v>57</v>
      </c>
      <c r="O1092" t="s">
        <v>41</v>
      </c>
    </row>
    <row r="1093" spans="1:16" x14ac:dyDescent="0.35">
      <c r="A1093" t="s">
        <v>2342</v>
      </c>
      <c r="B1093" t="s">
        <v>2343</v>
      </c>
      <c r="D1093" t="s">
        <v>54</v>
      </c>
      <c r="E1093" t="s">
        <v>80</v>
      </c>
      <c r="F1093" s="1">
        <v>44284</v>
      </c>
      <c r="G1093">
        <v>2016</v>
      </c>
      <c r="H1093" t="s">
        <v>46</v>
      </c>
      <c r="I1093" t="s">
        <v>39</v>
      </c>
      <c r="J1093" t="s">
        <v>57</v>
      </c>
      <c r="K1093">
        <v>6.6</v>
      </c>
      <c r="L1093">
        <v>1550948</v>
      </c>
      <c r="M1093">
        <v>1400887</v>
      </c>
      <c r="N1093">
        <v>89</v>
      </c>
      <c r="O1093" t="s">
        <v>41</v>
      </c>
      <c r="P1093" t="s">
        <v>42</v>
      </c>
    </row>
    <row r="1094" spans="1:16" x14ac:dyDescent="0.35">
      <c r="A1094" t="s">
        <v>2344</v>
      </c>
      <c r="B1094" t="s">
        <v>2345</v>
      </c>
      <c r="C1094" t="s">
        <v>79</v>
      </c>
      <c r="D1094" t="s">
        <v>54</v>
      </c>
      <c r="E1094" t="s">
        <v>62</v>
      </c>
      <c r="F1094" s="1">
        <v>45724</v>
      </c>
      <c r="G1094">
        <v>2016</v>
      </c>
      <c r="H1094" t="s">
        <v>114</v>
      </c>
      <c r="I1094" t="s">
        <v>763</v>
      </c>
      <c r="J1094" t="s">
        <v>153</v>
      </c>
      <c r="K1094">
        <v>8.8000000000000007</v>
      </c>
      <c r="L1094">
        <v>21616158</v>
      </c>
      <c r="M1094">
        <v>3797597</v>
      </c>
      <c r="N1094">
        <v>73</v>
      </c>
      <c r="O1094" t="s">
        <v>41</v>
      </c>
      <c r="P1094" t="s">
        <v>42</v>
      </c>
    </row>
    <row r="1095" spans="1:16" x14ac:dyDescent="0.35">
      <c r="A1095" t="s">
        <v>2346</v>
      </c>
      <c r="B1095" t="s">
        <v>2347</v>
      </c>
      <c r="C1095" t="s">
        <v>79</v>
      </c>
      <c r="E1095" t="s">
        <v>28</v>
      </c>
      <c r="F1095" s="1">
        <v>44164</v>
      </c>
      <c r="G1095">
        <v>2016</v>
      </c>
      <c r="H1095" t="s">
        <v>81</v>
      </c>
      <c r="I1095" t="s">
        <v>249</v>
      </c>
      <c r="J1095" t="s">
        <v>48</v>
      </c>
      <c r="K1095">
        <v>8.3000000000000007</v>
      </c>
      <c r="L1095">
        <v>1970361</v>
      </c>
      <c r="M1095">
        <v>828108</v>
      </c>
      <c r="N1095">
        <v>90</v>
      </c>
      <c r="O1095" t="s">
        <v>41</v>
      </c>
      <c r="P1095" t="s">
        <v>87</v>
      </c>
    </row>
    <row r="1096" spans="1:16" x14ac:dyDescent="0.35">
      <c r="A1096" t="s">
        <v>2348</v>
      </c>
      <c r="B1096" t="s">
        <v>2349</v>
      </c>
      <c r="C1096" t="s">
        <v>79</v>
      </c>
      <c r="D1096" t="s">
        <v>27</v>
      </c>
      <c r="E1096" t="s">
        <v>80</v>
      </c>
      <c r="F1096" s="1">
        <v>45057</v>
      </c>
      <c r="G1096">
        <v>2013</v>
      </c>
      <c r="I1096" t="s">
        <v>150</v>
      </c>
      <c r="J1096" t="s">
        <v>48</v>
      </c>
      <c r="K1096">
        <v>8.1999999999999993</v>
      </c>
      <c r="L1096">
        <v>21201846</v>
      </c>
      <c r="M1096">
        <v>1805923</v>
      </c>
      <c r="N1096">
        <v>76</v>
      </c>
      <c r="O1096" t="s">
        <v>31</v>
      </c>
      <c r="P1096" t="s">
        <v>87</v>
      </c>
    </row>
    <row r="1097" spans="1:16" x14ac:dyDescent="0.35">
      <c r="A1097" t="s">
        <v>2350</v>
      </c>
      <c r="B1097" t="s">
        <v>2351</v>
      </c>
      <c r="C1097" t="s">
        <v>18</v>
      </c>
      <c r="D1097" t="s">
        <v>54</v>
      </c>
      <c r="E1097" t="s">
        <v>113</v>
      </c>
      <c r="F1097" s="1">
        <v>42863</v>
      </c>
      <c r="G1097">
        <v>2020</v>
      </c>
      <c r="I1097" t="s">
        <v>366</v>
      </c>
      <c r="J1097" t="s">
        <v>48</v>
      </c>
      <c r="K1097">
        <v>4.5999999999999996</v>
      </c>
      <c r="L1097">
        <v>13465212</v>
      </c>
      <c r="M1097">
        <v>3641831</v>
      </c>
      <c r="N1097">
        <v>64</v>
      </c>
      <c r="O1097" t="s">
        <v>24</v>
      </c>
      <c r="P1097" t="s">
        <v>87</v>
      </c>
    </row>
    <row r="1098" spans="1:16" x14ac:dyDescent="0.35">
      <c r="A1098" t="s">
        <v>2352</v>
      </c>
      <c r="B1098" t="s">
        <v>2353</v>
      </c>
      <c r="C1098" t="s">
        <v>18</v>
      </c>
      <c r="D1098" t="s">
        <v>94</v>
      </c>
      <c r="E1098" t="s">
        <v>20</v>
      </c>
      <c r="F1098" s="1">
        <v>44429</v>
      </c>
      <c r="G1098">
        <v>2032</v>
      </c>
      <c r="H1098" t="s">
        <v>114</v>
      </c>
      <c r="I1098" t="s">
        <v>192</v>
      </c>
      <c r="J1098" t="s">
        <v>48</v>
      </c>
      <c r="K1098">
        <v>8.3000000000000007</v>
      </c>
      <c r="L1098">
        <v>24284409</v>
      </c>
      <c r="M1098">
        <v>3777658</v>
      </c>
      <c r="N1098">
        <v>93</v>
      </c>
      <c r="O1098" t="s">
        <v>104</v>
      </c>
      <c r="P1098" t="s">
        <v>50</v>
      </c>
    </row>
    <row r="1099" spans="1:16" x14ac:dyDescent="0.35">
      <c r="A1099" t="s">
        <v>2354</v>
      </c>
      <c r="B1099" t="s">
        <v>2355</v>
      </c>
      <c r="C1099" t="s">
        <v>35</v>
      </c>
      <c r="D1099" t="s">
        <v>75</v>
      </c>
      <c r="E1099" t="s">
        <v>62</v>
      </c>
      <c r="F1099" s="1">
        <v>45027</v>
      </c>
      <c r="G1099">
        <v>2015</v>
      </c>
      <c r="H1099" t="s">
        <v>114</v>
      </c>
      <c r="I1099" t="s">
        <v>39</v>
      </c>
      <c r="J1099" t="s">
        <v>96</v>
      </c>
      <c r="K1099">
        <v>5.4</v>
      </c>
      <c r="L1099">
        <v>16352140</v>
      </c>
      <c r="M1099">
        <v>142394</v>
      </c>
      <c r="N1099">
        <v>64</v>
      </c>
      <c r="O1099" t="s">
        <v>104</v>
      </c>
      <c r="P1099" t="s">
        <v>42</v>
      </c>
    </row>
    <row r="1100" spans="1:16" x14ac:dyDescent="0.35">
      <c r="A1100" t="s">
        <v>2356</v>
      </c>
      <c r="B1100" t="s">
        <v>2357</v>
      </c>
      <c r="C1100" t="s">
        <v>79</v>
      </c>
      <c r="D1100" t="s">
        <v>75</v>
      </c>
      <c r="E1100" t="s">
        <v>55</v>
      </c>
      <c r="F1100" s="1">
        <v>42960</v>
      </c>
      <c r="G1100">
        <v>2005</v>
      </c>
      <c r="H1100" t="s">
        <v>38</v>
      </c>
      <c r="I1100" t="s">
        <v>2212</v>
      </c>
      <c r="J1100" t="s">
        <v>133</v>
      </c>
      <c r="K1100">
        <v>6.6</v>
      </c>
      <c r="L1100">
        <v>9993462</v>
      </c>
      <c r="M1100">
        <v>4274629</v>
      </c>
      <c r="N1100">
        <v>43</v>
      </c>
      <c r="O1100" t="s">
        <v>104</v>
      </c>
      <c r="P1100" t="s">
        <v>32</v>
      </c>
    </row>
    <row r="1101" spans="1:16" x14ac:dyDescent="0.35">
      <c r="A1101" t="s">
        <v>2358</v>
      </c>
      <c r="B1101" t="s">
        <v>2357</v>
      </c>
      <c r="C1101" t="s">
        <v>53</v>
      </c>
      <c r="D1101" t="s">
        <v>36</v>
      </c>
      <c r="E1101" t="s">
        <v>28</v>
      </c>
      <c r="F1101" s="1">
        <v>43078</v>
      </c>
      <c r="G1101">
        <v>2016</v>
      </c>
      <c r="H1101" t="s">
        <v>38</v>
      </c>
      <c r="I1101" t="s">
        <v>64</v>
      </c>
      <c r="J1101" t="s">
        <v>153</v>
      </c>
      <c r="K1101">
        <v>5.9</v>
      </c>
      <c r="L1101">
        <v>12706390</v>
      </c>
      <c r="M1101">
        <v>2509501</v>
      </c>
      <c r="N1101">
        <v>57</v>
      </c>
      <c r="O1101" t="s">
        <v>24</v>
      </c>
      <c r="P1101" t="s">
        <v>42</v>
      </c>
    </row>
    <row r="1102" spans="1:16" x14ac:dyDescent="0.35">
      <c r="A1102" t="s">
        <v>2359</v>
      </c>
      <c r="B1102" t="s">
        <v>2360</v>
      </c>
      <c r="C1102" t="s">
        <v>79</v>
      </c>
      <c r="D1102" t="s">
        <v>90</v>
      </c>
      <c r="E1102" t="s">
        <v>20</v>
      </c>
      <c r="F1102" s="1">
        <v>45759</v>
      </c>
      <c r="G1102">
        <v>2020</v>
      </c>
      <c r="H1102" t="s">
        <v>46</v>
      </c>
      <c r="J1102" t="s">
        <v>100</v>
      </c>
      <c r="K1102">
        <v>4.7</v>
      </c>
      <c r="L1102">
        <v>24091819</v>
      </c>
      <c r="M1102">
        <v>4364444</v>
      </c>
      <c r="N1102">
        <v>58</v>
      </c>
      <c r="O1102" t="s">
        <v>58</v>
      </c>
      <c r="P1102" t="s">
        <v>87</v>
      </c>
    </row>
    <row r="1103" spans="1:16" x14ac:dyDescent="0.35">
      <c r="A1103" t="s">
        <v>2361</v>
      </c>
      <c r="B1103" t="s">
        <v>2362</v>
      </c>
      <c r="C1103" t="s">
        <v>18</v>
      </c>
      <c r="D1103" t="s">
        <v>68</v>
      </c>
      <c r="E1103" t="s">
        <v>55</v>
      </c>
      <c r="F1103" s="1">
        <v>44186</v>
      </c>
      <c r="G1103">
        <v>2020</v>
      </c>
      <c r="I1103" t="s">
        <v>894</v>
      </c>
      <c r="J1103" t="s">
        <v>30</v>
      </c>
      <c r="K1103">
        <v>5.7</v>
      </c>
      <c r="L1103">
        <v>22411575</v>
      </c>
      <c r="M1103">
        <v>384194</v>
      </c>
      <c r="N1103">
        <v>47</v>
      </c>
      <c r="O1103" t="s">
        <v>49</v>
      </c>
      <c r="P1103" t="s">
        <v>87</v>
      </c>
    </row>
    <row r="1104" spans="1:16" x14ac:dyDescent="0.35">
      <c r="A1104" t="s">
        <v>2363</v>
      </c>
      <c r="B1104" t="s">
        <v>2364</v>
      </c>
      <c r="C1104" t="s">
        <v>84</v>
      </c>
      <c r="D1104" t="s">
        <v>90</v>
      </c>
      <c r="E1104" t="s">
        <v>113</v>
      </c>
      <c r="F1104" s="1">
        <v>43262</v>
      </c>
      <c r="G1104">
        <v>2026</v>
      </c>
      <c r="I1104" t="s">
        <v>192</v>
      </c>
      <c r="J1104" t="s">
        <v>96</v>
      </c>
      <c r="K1104">
        <v>6.9</v>
      </c>
      <c r="L1104">
        <v>7695009</v>
      </c>
      <c r="M1104">
        <v>4872869</v>
      </c>
      <c r="N1104">
        <v>60</v>
      </c>
      <c r="O1104" t="s">
        <v>49</v>
      </c>
    </row>
    <row r="1105" spans="1:16" x14ac:dyDescent="0.35">
      <c r="A1105" t="s">
        <v>2365</v>
      </c>
      <c r="B1105" t="s">
        <v>2366</v>
      </c>
      <c r="C1105" t="s">
        <v>18</v>
      </c>
      <c r="D1105" t="s">
        <v>27</v>
      </c>
      <c r="E1105" t="s">
        <v>62</v>
      </c>
      <c r="F1105" s="1">
        <v>43292</v>
      </c>
      <c r="G1105">
        <v>2009</v>
      </c>
      <c r="H1105" t="s">
        <v>81</v>
      </c>
      <c r="I1105" t="s">
        <v>1225</v>
      </c>
      <c r="J1105" t="s">
        <v>23</v>
      </c>
      <c r="K1105">
        <v>9.1</v>
      </c>
      <c r="L1105">
        <v>2822450</v>
      </c>
      <c r="M1105">
        <v>4060679</v>
      </c>
      <c r="N1105">
        <v>60</v>
      </c>
      <c r="O1105" t="s">
        <v>91</v>
      </c>
      <c r="P1105" t="s">
        <v>32</v>
      </c>
    </row>
    <row r="1106" spans="1:16" x14ac:dyDescent="0.35">
      <c r="A1106" t="s">
        <v>2367</v>
      </c>
      <c r="B1106" t="s">
        <v>2368</v>
      </c>
      <c r="C1106" t="s">
        <v>35</v>
      </c>
      <c r="D1106" t="s">
        <v>94</v>
      </c>
      <c r="E1106" t="s">
        <v>20</v>
      </c>
      <c r="F1106" s="1">
        <v>44187</v>
      </c>
      <c r="G1106">
        <v>2005</v>
      </c>
      <c r="H1106" t="s">
        <v>85</v>
      </c>
      <c r="I1106" t="s">
        <v>64</v>
      </c>
      <c r="J1106" t="s">
        <v>133</v>
      </c>
      <c r="K1106">
        <v>6.4</v>
      </c>
      <c r="L1106">
        <v>12005243</v>
      </c>
      <c r="M1106">
        <v>3142974</v>
      </c>
      <c r="N1106">
        <v>69</v>
      </c>
      <c r="O1106" t="s">
        <v>24</v>
      </c>
      <c r="P1106" t="s">
        <v>50</v>
      </c>
    </row>
    <row r="1107" spans="1:16" x14ac:dyDescent="0.35">
      <c r="A1107" t="s">
        <v>2369</v>
      </c>
      <c r="B1107" t="s">
        <v>2370</v>
      </c>
      <c r="C1107" t="s">
        <v>35</v>
      </c>
      <c r="D1107" t="s">
        <v>75</v>
      </c>
      <c r="E1107" t="s">
        <v>37</v>
      </c>
      <c r="F1107" s="1">
        <v>42221</v>
      </c>
      <c r="G1107">
        <v>2002</v>
      </c>
      <c r="H1107" t="s">
        <v>81</v>
      </c>
      <c r="I1107" t="s">
        <v>64</v>
      </c>
      <c r="J1107" t="s">
        <v>72</v>
      </c>
      <c r="K1107">
        <v>7.5</v>
      </c>
      <c r="L1107">
        <v>4369124</v>
      </c>
      <c r="M1107">
        <v>3029412</v>
      </c>
      <c r="N1107">
        <v>43</v>
      </c>
      <c r="O1107" t="s">
        <v>65</v>
      </c>
      <c r="P1107" t="s">
        <v>87</v>
      </c>
    </row>
    <row r="1108" spans="1:16" x14ac:dyDescent="0.35">
      <c r="A1108" t="s">
        <v>2371</v>
      </c>
      <c r="B1108" t="s">
        <v>2372</v>
      </c>
      <c r="C1108" t="s">
        <v>18</v>
      </c>
      <c r="D1108" t="s">
        <v>19</v>
      </c>
      <c r="F1108" s="1">
        <v>42221</v>
      </c>
      <c r="G1108">
        <v>2011</v>
      </c>
      <c r="H1108" t="s">
        <v>114</v>
      </c>
      <c r="I1108" t="s">
        <v>195</v>
      </c>
      <c r="J1108" t="s">
        <v>57</v>
      </c>
      <c r="K1108">
        <v>9</v>
      </c>
      <c r="L1108">
        <v>7757091</v>
      </c>
      <c r="M1108">
        <v>2429759</v>
      </c>
      <c r="N1108">
        <v>41</v>
      </c>
      <c r="O1108" t="s">
        <v>58</v>
      </c>
      <c r="P1108" t="s">
        <v>87</v>
      </c>
    </row>
    <row r="1109" spans="1:16" x14ac:dyDescent="0.35">
      <c r="A1109" t="s">
        <v>2373</v>
      </c>
      <c r="B1109" t="s">
        <v>2374</v>
      </c>
      <c r="C1109" t="s">
        <v>18</v>
      </c>
      <c r="E1109" t="s">
        <v>165</v>
      </c>
      <c r="F1109" s="1">
        <v>44981</v>
      </c>
      <c r="G1109">
        <v>2017</v>
      </c>
      <c r="H1109" t="s">
        <v>38</v>
      </c>
      <c r="I1109" t="s">
        <v>963</v>
      </c>
      <c r="J1109" t="s">
        <v>72</v>
      </c>
      <c r="K1109">
        <v>5.9</v>
      </c>
      <c r="L1109">
        <v>8521162</v>
      </c>
      <c r="M1109">
        <v>2289875</v>
      </c>
      <c r="N1109">
        <v>46</v>
      </c>
      <c r="O1109" t="s">
        <v>65</v>
      </c>
      <c r="P1109" t="s">
        <v>32</v>
      </c>
    </row>
    <row r="1110" spans="1:16" x14ac:dyDescent="0.35">
      <c r="A1110" t="s">
        <v>2375</v>
      </c>
      <c r="B1110" t="s">
        <v>2376</v>
      </c>
      <c r="C1110" t="s">
        <v>79</v>
      </c>
      <c r="D1110" t="s">
        <v>68</v>
      </c>
      <c r="E1110" t="s">
        <v>165</v>
      </c>
      <c r="F1110" s="1">
        <v>44734</v>
      </c>
      <c r="G1110">
        <v>2010</v>
      </c>
      <c r="H1110" t="s">
        <v>114</v>
      </c>
      <c r="I1110" t="s">
        <v>218</v>
      </c>
      <c r="J1110" t="s">
        <v>100</v>
      </c>
      <c r="K1110">
        <v>9.3000000000000007</v>
      </c>
      <c r="L1110">
        <v>19745943</v>
      </c>
      <c r="M1110">
        <v>4532206</v>
      </c>
      <c r="N1110">
        <v>48</v>
      </c>
      <c r="O1110" t="s">
        <v>24</v>
      </c>
      <c r="P1110" t="s">
        <v>50</v>
      </c>
    </row>
    <row r="1111" spans="1:16" x14ac:dyDescent="0.35">
      <c r="A1111" t="s">
        <v>2377</v>
      </c>
      <c r="B1111" t="s">
        <v>2378</v>
      </c>
      <c r="C1111" t="s">
        <v>18</v>
      </c>
      <c r="D1111" t="s">
        <v>19</v>
      </c>
      <c r="E1111" t="s">
        <v>131</v>
      </c>
      <c r="F1111" s="1">
        <v>43094</v>
      </c>
      <c r="G1111">
        <v>2006</v>
      </c>
      <c r="H1111" t="s">
        <v>70</v>
      </c>
      <c r="I1111" t="s">
        <v>1362</v>
      </c>
      <c r="J1111" t="s">
        <v>30</v>
      </c>
      <c r="K1111">
        <v>5</v>
      </c>
      <c r="L1111">
        <v>14250858</v>
      </c>
      <c r="M1111">
        <v>1195791</v>
      </c>
      <c r="N1111">
        <v>81</v>
      </c>
      <c r="O1111" t="s">
        <v>58</v>
      </c>
      <c r="P1111" t="s">
        <v>50</v>
      </c>
    </row>
    <row r="1112" spans="1:16" x14ac:dyDescent="0.35">
      <c r="A1112" t="s">
        <v>2379</v>
      </c>
      <c r="B1112" t="s">
        <v>2380</v>
      </c>
      <c r="C1112" t="s">
        <v>79</v>
      </c>
      <c r="D1112" t="s">
        <v>54</v>
      </c>
      <c r="E1112" t="s">
        <v>20</v>
      </c>
      <c r="F1112" s="1">
        <v>42596</v>
      </c>
      <c r="G1112">
        <v>2015</v>
      </c>
      <c r="H1112" t="s">
        <v>70</v>
      </c>
      <c r="I1112" t="s">
        <v>312</v>
      </c>
      <c r="J1112" t="s">
        <v>23</v>
      </c>
      <c r="K1112">
        <v>11.2</v>
      </c>
      <c r="L1112">
        <v>16901106</v>
      </c>
      <c r="M1112">
        <v>3806644</v>
      </c>
      <c r="N1112">
        <v>73</v>
      </c>
      <c r="O1112" t="s">
        <v>104</v>
      </c>
      <c r="P1112" t="s">
        <v>42</v>
      </c>
    </row>
    <row r="1113" spans="1:16" x14ac:dyDescent="0.35">
      <c r="A1113" t="s">
        <v>2381</v>
      </c>
      <c r="B1113" t="s">
        <v>2382</v>
      </c>
      <c r="C1113" t="s">
        <v>18</v>
      </c>
      <c r="D1113" t="s">
        <v>54</v>
      </c>
      <c r="E1113" t="s">
        <v>165</v>
      </c>
      <c r="F1113" s="1">
        <v>43385</v>
      </c>
      <c r="G1113">
        <v>2009</v>
      </c>
      <c r="H1113" t="s">
        <v>21</v>
      </c>
      <c r="I1113" t="s">
        <v>958</v>
      </c>
      <c r="K1113">
        <v>8.9</v>
      </c>
      <c r="L1113">
        <v>3379233</v>
      </c>
      <c r="M1113">
        <v>666707</v>
      </c>
      <c r="N1113">
        <v>40</v>
      </c>
      <c r="O1113" t="s">
        <v>65</v>
      </c>
      <c r="P1113" t="s">
        <v>32</v>
      </c>
    </row>
    <row r="1114" spans="1:16" x14ac:dyDescent="0.35">
      <c r="A1114" t="s">
        <v>2383</v>
      </c>
      <c r="B1114" t="s">
        <v>2384</v>
      </c>
      <c r="C1114" t="s">
        <v>84</v>
      </c>
      <c r="E1114" t="s">
        <v>55</v>
      </c>
      <c r="F1114" s="1">
        <v>44280</v>
      </c>
      <c r="G1114">
        <v>2022</v>
      </c>
      <c r="H1114" t="s">
        <v>46</v>
      </c>
      <c r="I1114" t="s">
        <v>966</v>
      </c>
      <c r="J1114" t="s">
        <v>23</v>
      </c>
      <c r="K1114">
        <v>5</v>
      </c>
      <c r="L1114">
        <v>856627</v>
      </c>
      <c r="M1114">
        <v>1328045</v>
      </c>
      <c r="N1114">
        <v>56</v>
      </c>
      <c r="O1114" t="s">
        <v>24</v>
      </c>
      <c r="P1114" t="s">
        <v>50</v>
      </c>
    </row>
    <row r="1115" spans="1:16" x14ac:dyDescent="0.35">
      <c r="A1115" t="s">
        <v>2385</v>
      </c>
      <c r="B1115" t="s">
        <v>2384</v>
      </c>
      <c r="C1115" t="s">
        <v>35</v>
      </c>
      <c r="D1115" t="s">
        <v>54</v>
      </c>
      <c r="E1115" t="s">
        <v>80</v>
      </c>
      <c r="F1115" s="1">
        <v>42008</v>
      </c>
      <c r="G1115">
        <v>2019</v>
      </c>
      <c r="H1115" t="s">
        <v>121</v>
      </c>
      <c r="I1115" t="s">
        <v>95</v>
      </c>
      <c r="J1115" t="s">
        <v>76</v>
      </c>
      <c r="K1115">
        <v>7.8</v>
      </c>
      <c r="L1115">
        <v>6266416</v>
      </c>
      <c r="M1115">
        <v>31721</v>
      </c>
      <c r="N1115">
        <v>62</v>
      </c>
      <c r="O1115" t="s">
        <v>31</v>
      </c>
      <c r="P1115" t="s">
        <v>42</v>
      </c>
    </row>
    <row r="1116" spans="1:16" x14ac:dyDescent="0.35">
      <c r="A1116" t="s">
        <v>2386</v>
      </c>
      <c r="B1116" t="s">
        <v>2387</v>
      </c>
      <c r="C1116" t="s">
        <v>79</v>
      </c>
      <c r="D1116" t="s">
        <v>94</v>
      </c>
      <c r="E1116" t="s">
        <v>62</v>
      </c>
      <c r="F1116" s="1">
        <v>45246</v>
      </c>
      <c r="G1116">
        <v>2032</v>
      </c>
      <c r="H1116" t="s">
        <v>85</v>
      </c>
      <c r="I1116" t="s">
        <v>366</v>
      </c>
      <c r="J1116" t="s">
        <v>40</v>
      </c>
      <c r="K1116">
        <v>6.3</v>
      </c>
      <c r="L1116">
        <v>17762290</v>
      </c>
      <c r="M1116">
        <v>2868106</v>
      </c>
      <c r="N1116">
        <v>95</v>
      </c>
      <c r="O1116" t="s">
        <v>24</v>
      </c>
      <c r="P1116" t="s">
        <v>32</v>
      </c>
    </row>
    <row r="1117" spans="1:16" x14ac:dyDescent="0.35">
      <c r="A1117" t="s">
        <v>2388</v>
      </c>
      <c r="B1117" t="s">
        <v>2389</v>
      </c>
      <c r="C1117" t="s">
        <v>79</v>
      </c>
      <c r="D1117" t="s">
        <v>68</v>
      </c>
      <c r="E1117" t="s">
        <v>113</v>
      </c>
      <c r="F1117" s="1">
        <v>43739</v>
      </c>
      <c r="G1117">
        <v>2032</v>
      </c>
      <c r="H1117" t="s">
        <v>107</v>
      </c>
      <c r="I1117" t="s">
        <v>717</v>
      </c>
      <c r="J1117" t="s">
        <v>72</v>
      </c>
      <c r="K1117">
        <v>7.4</v>
      </c>
      <c r="L1117">
        <v>-189</v>
      </c>
      <c r="M1117">
        <v>3231644</v>
      </c>
      <c r="N1117">
        <v>46</v>
      </c>
      <c r="O1117" t="s">
        <v>65</v>
      </c>
      <c r="P1117" t="s">
        <v>87</v>
      </c>
    </row>
    <row r="1118" spans="1:16" x14ac:dyDescent="0.35">
      <c r="A1118" t="s">
        <v>2390</v>
      </c>
      <c r="B1118" t="s">
        <v>2391</v>
      </c>
      <c r="C1118" t="s">
        <v>84</v>
      </c>
      <c r="D1118" t="s">
        <v>90</v>
      </c>
      <c r="E1118" t="s">
        <v>37</v>
      </c>
      <c r="F1118" s="1">
        <v>45609</v>
      </c>
      <c r="G1118">
        <v>2025</v>
      </c>
      <c r="H1118" t="s">
        <v>85</v>
      </c>
      <c r="I1118" t="s">
        <v>170</v>
      </c>
      <c r="J1118" t="s">
        <v>57</v>
      </c>
      <c r="K1118">
        <v>5.7</v>
      </c>
      <c r="L1118">
        <v>14396528</v>
      </c>
      <c r="M1118">
        <v>622735</v>
      </c>
      <c r="N1118">
        <v>96</v>
      </c>
      <c r="O1118" t="s">
        <v>65</v>
      </c>
      <c r="P1118" t="s">
        <v>42</v>
      </c>
    </row>
    <row r="1119" spans="1:16" x14ac:dyDescent="0.35">
      <c r="A1119" t="s">
        <v>2392</v>
      </c>
      <c r="B1119" t="s">
        <v>2393</v>
      </c>
      <c r="C1119" t="s">
        <v>18</v>
      </c>
      <c r="D1119" t="s">
        <v>94</v>
      </c>
      <c r="E1119" t="s">
        <v>62</v>
      </c>
      <c r="F1119" s="1">
        <v>44779</v>
      </c>
      <c r="G1119">
        <v>2001</v>
      </c>
      <c r="H1119" t="s">
        <v>46</v>
      </c>
      <c r="I1119" t="s">
        <v>2394</v>
      </c>
      <c r="J1119" t="s">
        <v>103</v>
      </c>
      <c r="K1119">
        <v>8.3000000000000007</v>
      </c>
      <c r="L1119">
        <v>18556594</v>
      </c>
      <c r="M1119">
        <v>490573</v>
      </c>
      <c r="N1119">
        <v>120</v>
      </c>
      <c r="O1119" t="s">
        <v>58</v>
      </c>
      <c r="P1119" t="s">
        <v>32</v>
      </c>
    </row>
    <row r="1120" spans="1:16" x14ac:dyDescent="0.35">
      <c r="A1120" t="s">
        <v>2395</v>
      </c>
      <c r="B1120" t="s">
        <v>2396</v>
      </c>
      <c r="F1120" s="1">
        <v>44641</v>
      </c>
      <c r="G1120">
        <v>2021</v>
      </c>
      <c r="H1120" t="s">
        <v>121</v>
      </c>
      <c r="I1120" t="s">
        <v>162</v>
      </c>
      <c r="J1120" t="s">
        <v>153</v>
      </c>
      <c r="K1120">
        <v>11.2</v>
      </c>
      <c r="L1120">
        <v>7132630</v>
      </c>
      <c r="M1120">
        <v>290736</v>
      </c>
      <c r="N1120">
        <v>49</v>
      </c>
      <c r="O1120" t="s">
        <v>104</v>
      </c>
      <c r="P1120" t="s">
        <v>42</v>
      </c>
    </row>
    <row r="1121" spans="1:16" x14ac:dyDescent="0.35">
      <c r="A1121" t="s">
        <v>2397</v>
      </c>
      <c r="B1121" t="s">
        <v>2398</v>
      </c>
      <c r="C1121" t="s">
        <v>84</v>
      </c>
      <c r="D1121" t="s">
        <v>36</v>
      </c>
      <c r="E1121" t="s">
        <v>45</v>
      </c>
      <c r="F1121" s="1">
        <v>45780</v>
      </c>
      <c r="G1121">
        <v>2006</v>
      </c>
      <c r="H1121" t="s">
        <v>85</v>
      </c>
      <c r="I1121" t="s">
        <v>315</v>
      </c>
      <c r="J1121" t="s">
        <v>103</v>
      </c>
      <c r="K1121">
        <v>9.3000000000000007</v>
      </c>
      <c r="L1121">
        <v>19162933</v>
      </c>
      <c r="M1121">
        <v>1569336</v>
      </c>
      <c r="N1121">
        <v>99</v>
      </c>
      <c r="O1121" t="s">
        <v>41</v>
      </c>
      <c r="P1121" t="s">
        <v>42</v>
      </c>
    </row>
    <row r="1122" spans="1:16" x14ac:dyDescent="0.35">
      <c r="A1122" t="s">
        <v>2399</v>
      </c>
      <c r="B1122" t="s">
        <v>2398</v>
      </c>
      <c r="C1122" t="s">
        <v>84</v>
      </c>
      <c r="D1122" t="s">
        <v>90</v>
      </c>
      <c r="E1122" t="s">
        <v>69</v>
      </c>
      <c r="F1122" s="1">
        <v>44496</v>
      </c>
      <c r="G1122">
        <v>2006</v>
      </c>
      <c r="H1122" t="s">
        <v>21</v>
      </c>
      <c r="I1122" t="s">
        <v>696</v>
      </c>
      <c r="J1122" t="s">
        <v>30</v>
      </c>
      <c r="K1122">
        <v>7.1</v>
      </c>
      <c r="L1122">
        <v>18311434</v>
      </c>
      <c r="M1122">
        <v>2305211</v>
      </c>
      <c r="N1122">
        <v>90</v>
      </c>
      <c r="P1122" t="s">
        <v>87</v>
      </c>
    </row>
    <row r="1123" spans="1:16" x14ac:dyDescent="0.35">
      <c r="A1123" t="s">
        <v>2400</v>
      </c>
      <c r="B1123" t="s">
        <v>2401</v>
      </c>
      <c r="C1123" t="s">
        <v>84</v>
      </c>
      <c r="D1123" t="s">
        <v>61</v>
      </c>
      <c r="E1123" t="s">
        <v>80</v>
      </c>
      <c r="F1123" s="1">
        <v>42023</v>
      </c>
      <c r="G1123">
        <v>2017</v>
      </c>
      <c r="H1123" t="s">
        <v>70</v>
      </c>
      <c r="I1123" t="s">
        <v>994</v>
      </c>
      <c r="J1123" t="s">
        <v>23</v>
      </c>
      <c r="K1123">
        <v>8.6999999999999993</v>
      </c>
      <c r="L1123">
        <v>4111341</v>
      </c>
      <c r="M1123">
        <v>2376505</v>
      </c>
      <c r="N1123">
        <v>75</v>
      </c>
      <c r="O1123" t="s">
        <v>91</v>
      </c>
    </row>
    <row r="1124" spans="1:16" x14ac:dyDescent="0.35">
      <c r="A1124" t="s">
        <v>2402</v>
      </c>
      <c r="B1124" t="s">
        <v>2403</v>
      </c>
      <c r="C1124" t="s">
        <v>79</v>
      </c>
      <c r="E1124" t="s">
        <v>165</v>
      </c>
      <c r="F1124" s="1">
        <v>45494</v>
      </c>
      <c r="G1124">
        <v>2025</v>
      </c>
      <c r="I1124" t="s">
        <v>1904</v>
      </c>
      <c r="J1124" t="s">
        <v>96</v>
      </c>
      <c r="K1124">
        <v>4.8</v>
      </c>
      <c r="L1124">
        <v>4596049</v>
      </c>
      <c r="M1124">
        <v>1324545</v>
      </c>
      <c r="N1124">
        <v>99</v>
      </c>
      <c r="O1124" t="s">
        <v>104</v>
      </c>
    </row>
    <row r="1125" spans="1:16" x14ac:dyDescent="0.35">
      <c r="A1125" t="s">
        <v>2404</v>
      </c>
      <c r="B1125" t="s">
        <v>2405</v>
      </c>
      <c r="D1125" t="s">
        <v>90</v>
      </c>
      <c r="E1125" t="s">
        <v>80</v>
      </c>
      <c r="F1125" s="1">
        <v>45587</v>
      </c>
      <c r="G1125">
        <v>2024</v>
      </c>
      <c r="H1125" t="s">
        <v>121</v>
      </c>
      <c r="I1125" t="s">
        <v>39</v>
      </c>
      <c r="J1125" t="s">
        <v>48</v>
      </c>
      <c r="K1125">
        <v>9</v>
      </c>
      <c r="L1125">
        <v>17326589</v>
      </c>
      <c r="M1125">
        <v>2523795</v>
      </c>
      <c r="N1125">
        <v>91</v>
      </c>
      <c r="O1125" t="s">
        <v>104</v>
      </c>
      <c r="P1125" t="s">
        <v>42</v>
      </c>
    </row>
    <row r="1126" spans="1:16" x14ac:dyDescent="0.35">
      <c r="A1126" t="s">
        <v>2406</v>
      </c>
      <c r="B1126" t="s">
        <v>2407</v>
      </c>
      <c r="C1126" t="s">
        <v>53</v>
      </c>
      <c r="D1126" t="s">
        <v>156</v>
      </c>
      <c r="F1126" s="1">
        <v>43803</v>
      </c>
      <c r="G1126">
        <v>2018</v>
      </c>
      <c r="H1126" t="s">
        <v>107</v>
      </c>
      <c r="I1126" t="s">
        <v>162</v>
      </c>
      <c r="J1126" t="s">
        <v>100</v>
      </c>
      <c r="K1126">
        <v>9.1</v>
      </c>
      <c r="L1126">
        <v>10319839</v>
      </c>
      <c r="M1126">
        <v>4135576</v>
      </c>
      <c r="N1126">
        <v>74</v>
      </c>
      <c r="O1126" t="s">
        <v>41</v>
      </c>
      <c r="P1126" t="s">
        <v>32</v>
      </c>
    </row>
    <row r="1127" spans="1:16" x14ac:dyDescent="0.35">
      <c r="A1127" t="s">
        <v>2408</v>
      </c>
      <c r="B1127" t="s">
        <v>2409</v>
      </c>
      <c r="C1127" t="s">
        <v>53</v>
      </c>
      <c r="D1127" t="s">
        <v>19</v>
      </c>
      <c r="E1127" t="s">
        <v>99</v>
      </c>
      <c r="F1127" s="1">
        <v>42206</v>
      </c>
      <c r="G1127">
        <v>2014</v>
      </c>
      <c r="H1127" t="s">
        <v>70</v>
      </c>
      <c r="I1127" t="s">
        <v>162</v>
      </c>
      <c r="J1127" t="s">
        <v>96</v>
      </c>
      <c r="K1127">
        <v>9.5</v>
      </c>
      <c r="L1127">
        <v>9014162</v>
      </c>
      <c r="M1127">
        <v>1533954</v>
      </c>
      <c r="N1127">
        <v>66</v>
      </c>
      <c r="O1127" t="s">
        <v>91</v>
      </c>
      <c r="P1127" t="s">
        <v>50</v>
      </c>
    </row>
    <row r="1128" spans="1:16" x14ac:dyDescent="0.35">
      <c r="A1128" t="s">
        <v>2410</v>
      </c>
      <c r="B1128" t="s">
        <v>2411</v>
      </c>
      <c r="C1128" t="s">
        <v>18</v>
      </c>
      <c r="D1128" t="s">
        <v>54</v>
      </c>
      <c r="E1128" t="s">
        <v>55</v>
      </c>
      <c r="F1128" s="1">
        <v>42681</v>
      </c>
      <c r="G1128">
        <v>2010</v>
      </c>
      <c r="H1128" t="s">
        <v>70</v>
      </c>
      <c r="I1128" t="s">
        <v>211</v>
      </c>
      <c r="J1128" t="s">
        <v>103</v>
      </c>
      <c r="K1128">
        <v>4.5999999999999996</v>
      </c>
      <c r="L1128">
        <v>16718113</v>
      </c>
      <c r="M1128">
        <v>38755</v>
      </c>
      <c r="N1128">
        <v>69</v>
      </c>
      <c r="O1128" t="s">
        <v>65</v>
      </c>
      <c r="P1128" t="s">
        <v>42</v>
      </c>
    </row>
    <row r="1129" spans="1:16" x14ac:dyDescent="0.35">
      <c r="A1129" t="s">
        <v>2412</v>
      </c>
      <c r="B1129" t="s">
        <v>2413</v>
      </c>
      <c r="C1129" t="s">
        <v>84</v>
      </c>
      <c r="D1129" t="s">
        <v>90</v>
      </c>
      <c r="F1129" s="1">
        <v>44727</v>
      </c>
      <c r="G1129">
        <v>2019</v>
      </c>
      <c r="H1129" t="s">
        <v>85</v>
      </c>
      <c r="I1129" t="s">
        <v>661</v>
      </c>
      <c r="J1129" t="s">
        <v>72</v>
      </c>
      <c r="K1129">
        <v>9.3000000000000007</v>
      </c>
      <c r="L1129">
        <v>21417673</v>
      </c>
      <c r="M1129">
        <v>1812941</v>
      </c>
      <c r="N1129">
        <v>89</v>
      </c>
      <c r="O1129" t="s">
        <v>49</v>
      </c>
      <c r="P1129" t="s">
        <v>32</v>
      </c>
    </row>
    <row r="1130" spans="1:16" x14ac:dyDescent="0.35">
      <c r="A1130" t="s">
        <v>2414</v>
      </c>
      <c r="B1130" t="s">
        <v>2415</v>
      </c>
      <c r="C1130" t="s">
        <v>79</v>
      </c>
      <c r="D1130" t="s">
        <v>54</v>
      </c>
      <c r="E1130" t="s">
        <v>55</v>
      </c>
      <c r="F1130" s="1">
        <v>42581</v>
      </c>
      <c r="G1130">
        <v>2007</v>
      </c>
      <c r="H1130" t="s">
        <v>70</v>
      </c>
      <c r="I1130" t="s">
        <v>275</v>
      </c>
      <c r="J1130" t="s">
        <v>103</v>
      </c>
      <c r="K1130">
        <v>7</v>
      </c>
      <c r="L1130">
        <v>12370951</v>
      </c>
      <c r="M1130">
        <v>3679580</v>
      </c>
      <c r="N1130">
        <v>63</v>
      </c>
      <c r="O1130" t="s">
        <v>24</v>
      </c>
      <c r="P1130" t="s">
        <v>32</v>
      </c>
    </row>
    <row r="1131" spans="1:16" x14ac:dyDescent="0.35">
      <c r="A1131" t="s">
        <v>2416</v>
      </c>
      <c r="B1131" t="s">
        <v>2417</v>
      </c>
      <c r="C1131" t="s">
        <v>53</v>
      </c>
      <c r="D1131" t="s">
        <v>68</v>
      </c>
      <c r="F1131" s="1">
        <v>43988</v>
      </c>
      <c r="G1131">
        <v>2016</v>
      </c>
      <c r="H1131" t="s">
        <v>85</v>
      </c>
      <c r="I1131" t="s">
        <v>95</v>
      </c>
      <c r="J1131" t="s">
        <v>23</v>
      </c>
      <c r="K1131">
        <v>5.2</v>
      </c>
      <c r="L1131">
        <v>11817868</v>
      </c>
      <c r="M1131">
        <v>4613834</v>
      </c>
      <c r="N1131">
        <v>88</v>
      </c>
      <c r="O1131" t="s">
        <v>104</v>
      </c>
      <c r="P1131" t="s">
        <v>32</v>
      </c>
    </row>
    <row r="1132" spans="1:16" x14ac:dyDescent="0.35">
      <c r="A1132" t="s">
        <v>2418</v>
      </c>
      <c r="B1132" t="s">
        <v>2419</v>
      </c>
      <c r="C1132" t="s">
        <v>84</v>
      </c>
      <c r="D1132" t="s">
        <v>36</v>
      </c>
      <c r="E1132" t="s">
        <v>20</v>
      </c>
      <c r="F1132" s="1">
        <v>44070</v>
      </c>
      <c r="G1132">
        <v>2015</v>
      </c>
      <c r="I1132" t="s">
        <v>366</v>
      </c>
      <c r="J1132" t="s">
        <v>103</v>
      </c>
      <c r="K1132">
        <v>7.5</v>
      </c>
      <c r="L1132">
        <v>2845220</v>
      </c>
      <c r="M1132">
        <v>1333640</v>
      </c>
      <c r="N1132">
        <v>68</v>
      </c>
      <c r="O1132" t="s">
        <v>41</v>
      </c>
      <c r="P1132" t="s">
        <v>42</v>
      </c>
    </row>
    <row r="1133" spans="1:16" x14ac:dyDescent="0.35">
      <c r="A1133" t="s">
        <v>2420</v>
      </c>
      <c r="B1133" t="s">
        <v>2421</v>
      </c>
      <c r="C1133" t="s">
        <v>18</v>
      </c>
      <c r="D1133" t="s">
        <v>36</v>
      </c>
      <c r="E1133" t="s">
        <v>20</v>
      </c>
      <c r="F1133" s="1">
        <v>45370</v>
      </c>
      <c r="G1133">
        <v>2023</v>
      </c>
      <c r="H1133" t="s">
        <v>38</v>
      </c>
      <c r="I1133" t="s">
        <v>1279</v>
      </c>
      <c r="J1133" t="s">
        <v>153</v>
      </c>
      <c r="K1133">
        <v>7.8</v>
      </c>
      <c r="L1133">
        <v>7851198</v>
      </c>
      <c r="M1133">
        <v>3736322</v>
      </c>
      <c r="N1133">
        <v>41</v>
      </c>
      <c r="O1133" t="s">
        <v>31</v>
      </c>
      <c r="P1133" t="s">
        <v>42</v>
      </c>
    </row>
    <row r="1134" spans="1:16" x14ac:dyDescent="0.35">
      <c r="A1134" t="s">
        <v>2422</v>
      </c>
      <c r="B1134" t="s">
        <v>2423</v>
      </c>
      <c r="D1134" t="s">
        <v>36</v>
      </c>
      <c r="E1134" t="s">
        <v>131</v>
      </c>
      <c r="F1134" s="1">
        <v>42153</v>
      </c>
      <c r="G1134">
        <v>2017</v>
      </c>
      <c r="H1134" t="s">
        <v>70</v>
      </c>
      <c r="J1134" t="s">
        <v>48</v>
      </c>
      <c r="K1134">
        <v>8.5</v>
      </c>
      <c r="L1134">
        <v>6278755</v>
      </c>
      <c r="M1134">
        <v>4696463</v>
      </c>
      <c r="N1134">
        <v>60</v>
      </c>
      <c r="O1134" t="s">
        <v>31</v>
      </c>
      <c r="P1134" t="s">
        <v>42</v>
      </c>
    </row>
    <row r="1135" spans="1:16" x14ac:dyDescent="0.35">
      <c r="A1135" t="s">
        <v>2424</v>
      </c>
      <c r="B1135" t="s">
        <v>2425</v>
      </c>
      <c r="C1135" t="s">
        <v>35</v>
      </c>
      <c r="D1135" t="s">
        <v>61</v>
      </c>
      <c r="F1135" s="1">
        <v>42290</v>
      </c>
      <c r="G1135">
        <v>2012</v>
      </c>
      <c r="H1135" t="s">
        <v>85</v>
      </c>
      <c r="I1135" t="s">
        <v>71</v>
      </c>
      <c r="J1135" t="s">
        <v>153</v>
      </c>
      <c r="K1135">
        <v>7.2</v>
      </c>
      <c r="L1135">
        <v>8111719</v>
      </c>
      <c r="M1135">
        <v>4863494</v>
      </c>
      <c r="N1135">
        <v>96</v>
      </c>
      <c r="O1135" t="s">
        <v>24</v>
      </c>
      <c r="P1135" t="s">
        <v>42</v>
      </c>
    </row>
    <row r="1136" spans="1:16" x14ac:dyDescent="0.35">
      <c r="A1136" t="s">
        <v>2426</v>
      </c>
      <c r="B1136" t="s">
        <v>2427</v>
      </c>
      <c r="C1136" t="s">
        <v>84</v>
      </c>
      <c r="D1136" t="s">
        <v>68</v>
      </c>
      <c r="E1136" t="s">
        <v>62</v>
      </c>
      <c r="F1136" s="1">
        <v>45929</v>
      </c>
      <c r="G1136">
        <v>2024</v>
      </c>
      <c r="H1136" t="s">
        <v>38</v>
      </c>
      <c r="I1136" t="s">
        <v>472</v>
      </c>
      <c r="J1136" t="s">
        <v>48</v>
      </c>
      <c r="K1136">
        <v>8.1999999999999993</v>
      </c>
      <c r="L1136">
        <v>22383505</v>
      </c>
      <c r="M1136">
        <v>1969922</v>
      </c>
      <c r="N1136">
        <v>47</v>
      </c>
      <c r="O1136" t="s">
        <v>65</v>
      </c>
      <c r="P1136" t="s">
        <v>42</v>
      </c>
    </row>
    <row r="1137" spans="1:16" x14ac:dyDescent="0.35">
      <c r="A1137" t="s">
        <v>2428</v>
      </c>
      <c r="B1137" t="s">
        <v>2429</v>
      </c>
      <c r="C1137" t="s">
        <v>79</v>
      </c>
      <c r="D1137" t="s">
        <v>27</v>
      </c>
      <c r="E1137" t="s">
        <v>69</v>
      </c>
      <c r="F1137" s="1">
        <v>43510</v>
      </c>
      <c r="G1137">
        <v>2016</v>
      </c>
      <c r="H1137" t="s">
        <v>70</v>
      </c>
      <c r="I1137" t="s">
        <v>754</v>
      </c>
      <c r="J1137" t="s">
        <v>30</v>
      </c>
      <c r="K1137">
        <v>4.9000000000000004</v>
      </c>
      <c r="L1137">
        <v>10759239</v>
      </c>
      <c r="M1137">
        <v>1699479</v>
      </c>
      <c r="N1137">
        <v>100</v>
      </c>
      <c r="O1137" t="s">
        <v>65</v>
      </c>
      <c r="P1137" t="s">
        <v>50</v>
      </c>
    </row>
    <row r="1138" spans="1:16" x14ac:dyDescent="0.35">
      <c r="A1138" t="s">
        <v>2430</v>
      </c>
      <c r="B1138" t="s">
        <v>2431</v>
      </c>
      <c r="C1138" t="s">
        <v>18</v>
      </c>
      <c r="D1138" t="s">
        <v>90</v>
      </c>
      <c r="F1138" s="1">
        <v>44827</v>
      </c>
      <c r="G1138">
        <v>2006</v>
      </c>
      <c r="H1138" t="s">
        <v>121</v>
      </c>
      <c r="I1138" t="s">
        <v>754</v>
      </c>
      <c r="J1138" t="s">
        <v>30</v>
      </c>
      <c r="K1138">
        <v>9.6999999999999993</v>
      </c>
      <c r="L1138">
        <v>10335568</v>
      </c>
      <c r="M1138">
        <v>1573252</v>
      </c>
      <c r="N1138">
        <v>43</v>
      </c>
      <c r="O1138" t="s">
        <v>123</v>
      </c>
      <c r="P1138" t="s">
        <v>42</v>
      </c>
    </row>
    <row r="1139" spans="1:16" x14ac:dyDescent="0.35">
      <c r="A1139" t="s">
        <v>2432</v>
      </c>
      <c r="B1139" t="s">
        <v>2433</v>
      </c>
      <c r="D1139" t="s">
        <v>61</v>
      </c>
      <c r="E1139" t="s">
        <v>62</v>
      </c>
      <c r="F1139" s="1">
        <v>43345</v>
      </c>
      <c r="G1139">
        <v>2007</v>
      </c>
      <c r="H1139" t="s">
        <v>21</v>
      </c>
      <c r="I1139" t="s">
        <v>118</v>
      </c>
      <c r="J1139" t="s">
        <v>100</v>
      </c>
      <c r="K1139">
        <v>9.3000000000000007</v>
      </c>
      <c r="L1139">
        <v>5145165</v>
      </c>
      <c r="M1139">
        <v>646794</v>
      </c>
      <c r="N1139">
        <v>83</v>
      </c>
      <c r="O1139" t="s">
        <v>65</v>
      </c>
      <c r="P1139" t="s">
        <v>87</v>
      </c>
    </row>
    <row r="1140" spans="1:16" x14ac:dyDescent="0.35">
      <c r="A1140" t="s">
        <v>2434</v>
      </c>
      <c r="B1140" t="s">
        <v>2433</v>
      </c>
      <c r="C1140" t="s">
        <v>35</v>
      </c>
      <c r="D1140" t="s">
        <v>156</v>
      </c>
      <c r="E1140" t="s">
        <v>45</v>
      </c>
      <c r="F1140" s="1">
        <v>45706</v>
      </c>
      <c r="G1140">
        <v>2001</v>
      </c>
      <c r="H1140" t="s">
        <v>81</v>
      </c>
      <c r="I1140" t="s">
        <v>162</v>
      </c>
      <c r="J1140" t="s">
        <v>96</v>
      </c>
      <c r="K1140">
        <v>8.3000000000000007</v>
      </c>
      <c r="L1140">
        <v>22828888</v>
      </c>
      <c r="M1140">
        <v>3159533</v>
      </c>
      <c r="N1140">
        <v>94</v>
      </c>
      <c r="O1140" t="s">
        <v>31</v>
      </c>
      <c r="P1140" t="s">
        <v>50</v>
      </c>
    </row>
    <row r="1141" spans="1:16" x14ac:dyDescent="0.35">
      <c r="A1141" t="s">
        <v>2435</v>
      </c>
      <c r="B1141" t="s">
        <v>2436</v>
      </c>
      <c r="C1141" t="s">
        <v>35</v>
      </c>
      <c r="D1141" t="s">
        <v>54</v>
      </c>
      <c r="E1141" t="s">
        <v>37</v>
      </c>
      <c r="F1141" s="1">
        <v>42764</v>
      </c>
      <c r="G1141">
        <v>2021</v>
      </c>
      <c r="I1141" t="s">
        <v>56</v>
      </c>
      <c r="K1141">
        <v>7.8</v>
      </c>
      <c r="L1141">
        <v>3679955</v>
      </c>
      <c r="M1141">
        <v>2527150</v>
      </c>
      <c r="N1141">
        <v>74</v>
      </c>
      <c r="O1141" t="s">
        <v>31</v>
      </c>
      <c r="P1141" t="s">
        <v>50</v>
      </c>
    </row>
    <row r="1142" spans="1:16" x14ac:dyDescent="0.35">
      <c r="A1142" t="s">
        <v>2437</v>
      </c>
      <c r="B1142" t="s">
        <v>2438</v>
      </c>
      <c r="C1142" t="s">
        <v>53</v>
      </c>
      <c r="D1142" t="s">
        <v>75</v>
      </c>
      <c r="F1142" s="1">
        <v>42381</v>
      </c>
      <c r="G1142">
        <v>2024</v>
      </c>
      <c r="H1142" t="s">
        <v>121</v>
      </c>
      <c r="I1142" t="s">
        <v>95</v>
      </c>
      <c r="J1142" t="s">
        <v>96</v>
      </c>
      <c r="K1142">
        <v>5.7</v>
      </c>
      <c r="L1142">
        <v>12370312</v>
      </c>
      <c r="M1142">
        <v>2926974</v>
      </c>
      <c r="N1142">
        <v>120</v>
      </c>
      <c r="O1142" t="s">
        <v>49</v>
      </c>
      <c r="P1142" t="s">
        <v>50</v>
      </c>
    </row>
    <row r="1143" spans="1:16" x14ac:dyDescent="0.35">
      <c r="A1143" t="s">
        <v>2439</v>
      </c>
      <c r="B1143" t="s">
        <v>2440</v>
      </c>
      <c r="C1143" t="s">
        <v>84</v>
      </c>
      <c r="D1143" t="s">
        <v>27</v>
      </c>
      <c r="E1143" t="s">
        <v>113</v>
      </c>
      <c r="F1143" s="1">
        <v>42390</v>
      </c>
      <c r="G1143">
        <v>2026</v>
      </c>
      <c r="H1143" t="s">
        <v>70</v>
      </c>
      <c r="I1143" t="s">
        <v>397</v>
      </c>
      <c r="J1143" t="s">
        <v>30</v>
      </c>
      <c r="K1143">
        <v>9.1999999999999993</v>
      </c>
      <c r="L1143">
        <v>12993457</v>
      </c>
      <c r="M1143">
        <v>1521580</v>
      </c>
      <c r="N1143">
        <v>67</v>
      </c>
      <c r="O1143" t="s">
        <v>41</v>
      </c>
    </row>
    <row r="1144" spans="1:16" x14ac:dyDescent="0.35">
      <c r="A1144" t="s">
        <v>2441</v>
      </c>
      <c r="B1144" t="s">
        <v>2442</v>
      </c>
      <c r="C1144" t="s">
        <v>84</v>
      </c>
      <c r="D1144" t="s">
        <v>19</v>
      </c>
      <c r="E1144" t="s">
        <v>131</v>
      </c>
      <c r="F1144" s="1">
        <v>45007</v>
      </c>
      <c r="G1144">
        <v>2026</v>
      </c>
      <c r="H1144" t="s">
        <v>81</v>
      </c>
      <c r="I1144" t="s">
        <v>958</v>
      </c>
      <c r="J1144" t="s">
        <v>96</v>
      </c>
      <c r="K1144">
        <v>6.5</v>
      </c>
      <c r="L1144">
        <v>9026437</v>
      </c>
      <c r="M1144">
        <v>4394167</v>
      </c>
      <c r="N1144">
        <v>71</v>
      </c>
      <c r="O1144" t="s">
        <v>24</v>
      </c>
      <c r="P1144" t="s">
        <v>87</v>
      </c>
    </row>
    <row r="1145" spans="1:16" x14ac:dyDescent="0.35">
      <c r="A1145" t="s">
        <v>2443</v>
      </c>
      <c r="B1145" t="s">
        <v>2444</v>
      </c>
      <c r="C1145" t="s">
        <v>53</v>
      </c>
      <c r="D1145" t="s">
        <v>27</v>
      </c>
      <c r="E1145" t="s">
        <v>45</v>
      </c>
      <c r="F1145" s="1">
        <v>43749</v>
      </c>
      <c r="G1145">
        <v>2003</v>
      </c>
      <c r="H1145" t="s">
        <v>70</v>
      </c>
      <c r="I1145" t="s">
        <v>56</v>
      </c>
      <c r="J1145" t="s">
        <v>48</v>
      </c>
      <c r="K1145">
        <v>8.8000000000000007</v>
      </c>
      <c r="L1145">
        <v>11078217</v>
      </c>
      <c r="M1145">
        <v>1335283</v>
      </c>
      <c r="N1145">
        <v>52</v>
      </c>
      <c r="O1145" t="s">
        <v>49</v>
      </c>
      <c r="P1145" t="s">
        <v>42</v>
      </c>
    </row>
    <row r="1146" spans="1:16" x14ac:dyDescent="0.35">
      <c r="A1146" t="s">
        <v>2445</v>
      </c>
      <c r="B1146" t="s">
        <v>2446</v>
      </c>
      <c r="C1146" t="s">
        <v>53</v>
      </c>
      <c r="D1146" t="s">
        <v>156</v>
      </c>
      <c r="E1146" t="s">
        <v>80</v>
      </c>
      <c r="F1146" s="1">
        <v>46066</v>
      </c>
      <c r="G1146">
        <v>2002</v>
      </c>
      <c r="H1146" t="s">
        <v>38</v>
      </c>
      <c r="I1146" t="s">
        <v>39</v>
      </c>
      <c r="K1146">
        <v>11.2</v>
      </c>
      <c r="L1146">
        <v>15855992</v>
      </c>
      <c r="M1146">
        <v>4676864</v>
      </c>
      <c r="N1146">
        <v>94</v>
      </c>
      <c r="O1146" t="s">
        <v>49</v>
      </c>
      <c r="P1146" t="s">
        <v>87</v>
      </c>
    </row>
    <row r="1147" spans="1:16" x14ac:dyDescent="0.35">
      <c r="A1147" t="s">
        <v>2447</v>
      </c>
      <c r="B1147" t="s">
        <v>2448</v>
      </c>
      <c r="C1147" t="s">
        <v>53</v>
      </c>
      <c r="D1147" t="s">
        <v>156</v>
      </c>
      <c r="F1147" s="1">
        <v>42572</v>
      </c>
      <c r="G1147">
        <v>2024</v>
      </c>
      <c r="H1147" t="s">
        <v>38</v>
      </c>
      <c r="I1147" t="s">
        <v>64</v>
      </c>
      <c r="J1147" t="s">
        <v>96</v>
      </c>
      <c r="K1147">
        <v>7.9</v>
      </c>
      <c r="L1147">
        <v>44013</v>
      </c>
      <c r="M1147">
        <v>4938587</v>
      </c>
      <c r="N1147">
        <v>97</v>
      </c>
      <c r="O1147" t="s">
        <v>24</v>
      </c>
      <c r="P1147" t="s">
        <v>42</v>
      </c>
    </row>
    <row r="1148" spans="1:16" x14ac:dyDescent="0.35">
      <c r="A1148" t="s">
        <v>2449</v>
      </c>
      <c r="B1148" t="s">
        <v>2450</v>
      </c>
      <c r="D1148" t="s">
        <v>27</v>
      </c>
      <c r="E1148" t="s">
        <v>113</v>
      </c>
      <c r="F1148" s="1">
        <v>44832</v>
      </c>
      <c r="G1148">
        <v>2012</v>
      </c>
      <c r="H1148" t="s">
        <v>114</v>
      </c>
      <c r="I1148" t="s">
        <v>136</v>
      </c>
      <c r="J1148" t="s">
        <v>103</v>
      </c>
      <c r="K1148">
        <v>7.1</v>
      </c>
      <c r="L1148">
        <v>9956860</v>
      </c>
      <c r="M1148">
        <v>3978763</v>
      </c>
      <c r="N1148">
        <v>96</v>
      </c>
      <c r="O1148" t="s">
        <v>123</v>
      </c>
      <c r="P1148" t="s">
        <v>42</v>
      </c>
    </row>
    <row r="1149" spans="1:16" x14ac:dyDescent="0.35">
      <c r="A1149" t="s">
        <v>2451</v>
      </c>
      <c r="B1149" t="s">
        <v>2452</v>
      </c>
      <c r="E1149" t="s">
        <v>20</v>
      </c>
      <c r="F1149" s="1">
        <v>43795</v>
      </c>
      <c r="G1149">
        <v>2006</v>
      </c>
      <c r="H1149" t="s">
        <v>63</v>
      </c>
      <c r="I1149" t="s">
        <v>118</v>
      </c>
      <c r="J1149" t="s">
        <v>76</v>
      </c>
      <c r="K1149">
        <v>6.4</v>
      </c>
      <c r="L1149">
        <v>21207219</v>
      </c>
      <c r="M1149">
        <v>4630444</v>
      </c>
      <c r="N1149">
        <v>48</v>
      </c>
      <c r="O1149" t="s">
        <v>24</v>
      </c>
    </row>
    <row r="1150" spans="1:16" x14ac:dyDescent="0.35">
      <c r="A1150" t="s">
        <v>2453</v>
      </c>
      <c r="B1150" t="s">
        <v>2454</v>
      </c>
      <c r="C1150" t="s">
        <v>35</v>
      </c>
      <c r="E1150" t="s">
        <v>62</v>
      </c>
      <c r="F1150" s="1">
        <v>42397</v>
      </c>
      <c r="G1150">
        <v>2018</v>
      </c>
      <c r="H1150" t="s">
        <v>63</v>
      </c>
      <c r="I1150" t="s">
        <v>162</v>
      </c>
      <c r="K1150">
        <v>6.9</v>
      </c>
      <c r="L1150">
        <v>5188695</v>
      </c>
      <c r="M1150">
        <v>4681489</v>
      </c>
      <c r="N1150">
        <v>47</v>
      </c>
    </row>
    <row r="1151" spans="1:16" x14ac:dyDescent="0.35">
      <c r="A1151" t="s">
        <v>2455</v>
      </c>
      <c r="B1151" t="s">
        <v>2456</v>
      </c>
      <c r="C1151" t="s">
        <v>18</v>
      </c>
      <c r="D1151" t="s">
        <v>94</v>
      </c>
      <c r="E1151" t="s">
        <v>131</v>
      </c>
      <c r="F1151" s="1">
        <v>45696</v>
      </c>
      <c r="G1151">
        <v>2007</v>
      </c>
      <c r="H1151" t="s">
        <v>21</v>
      </c>
      <c r="I1151" t="s">
        <v>450</v>
      </c>
      <c r="J1151" t="s">
        <v>76</v>
      </c>
      <c r="K1151">
        <v>8.8000000000000007</v>
      </c>
      <c r="L1151">
        <v>17219885</v>
      </c>
      <c r="M1151">
        <v>2574908</v>
      </c>
      <c r="N1151">
        <v>46</v>
      </c>
      <c r="O1151" t="s">
        <v>65</v>
      </c>
      <c r="P1151" t="s">
        <v>32</v>
      </c>
    </row>
    <row r="1152" spans="1:16" x14ac:dyDescent="0.35">
      <c r="A1152" t="s">
        <v>2457</v>
      </c>
      <c r="B1152" t="s">
        <v>2458</v>
      </c>
      <c r="C1152" t="s">
        <v>35</v>
      </c>
      <c r="D1152" t="s">
        <v>36</v>
      </c>
      <c r="E1152" t="s">
        <v>113</v>
      </c>
      <c r="F1152" s="1">
        <v>42223</v>
      </c>
      <c r="G1152">
        <v>2026</v>
      </c>
      <c r="H1152" t="s">
        <v>21</v>
      </c>
      <c r="I1152" t="s">
        <v>162</v>
      </c>
      <c r="J1152" t="s">
        <v>48</v>
      </c>
      <c r="K1152">
        <v>8.5</v>
      </c>
      <c r="L1152">
        <v>11258432</v>
      </c>
      <c r="M1152">
        <v>2005496</v>
      </c>
      <c r="N1152">
        <v>81</v>
      </c>
      <c r="O1152" t="s">
        <v>65</v>
      </c>
    </row>
    <row r="1153" spans="1:16" x14ac:dyDescent="0.35">
      <c r="A1153" t="s">
        <v>2459</v>
      </c>
      <c r="B1153" t="s">
        <v>2460</v>
      </c>
      <c r="C1153" t="s">
        <v>35</v>
      </c>
      <c r="D1153" t="s">
        <v>54</v>
      </c>
      <c r="E1153" t="s">
        <v>20</v>
      </c>
      <c r="F1153" s="1">
        <v>43679</v>
      </c>
      <c r="G1153">
        <v>2015</v>
      </c>
      <c r="H1153" t="s">
        <v>63</v>
      </c>
      <c r="I1153" t="s">
        <v>95</v>
      </c>
      <c r="K1153">
        <v>8.1</v>
      </c>
      <c r="L1153">
        <v>12543508</v>
      </c>
      <c r="M1153">
        <v>83613</v>
      </c>
      <c r="N1153">
        <v>79</v>
      </c>
      <c r="O1153" t="s">
        <v>104</v>
      </c>
      <c r="P1153" t="s">
        <v>50</v>
      </c>
    </row>
    <row r="1154" spans="1:16" x14ac:dyDescent="0.35">
      <c r="A1154" t="s">
        <v>2461</v>
      </c>
      <c r="B1154" t="s">
        <v>2462</v>
      </c>
      <c r="C1154" t="s">
        <v>84</v>
      </c>
      <c r="D1154" t="s">
        <v>54</v>
      </c>
      <c r="E1154" t="s">
        <v>37</v>
      </c>
      <c r="F1154" s="1">
        <v>44793</v>
      </c>
      <c r="G1154">
        <v>2013</v>
      </c>
      <c r="H1154" t="s">
        <v>70</v>
      </c>
      <c r="J1154" t="s">
        <v>30</v>
      </c>
      <c r="K1154">
        <v>5.3</v>
      </c>
      <c r="L1154">
        <v>869072</v>
      </c>
      <c r="M1154">
        <v>3582689</v>
      </c>
      <c r="N1154">
        <v>61</v>
      </c>
      <c r="O1154" t="s">
        <v>123</v>
      </c>
      <c r="P1154" t="s">
        <v>87</v>
      </c>
    </row>
    <row r="1155" spans="1:16" x14ac:dyDescent="0.35">
      <c r="A1155" t="s">
        <v>2463</v>
      </c>
      <c r="B1155" t="s">
        <v>2464</v>
      </c>
      <c r="C1155" t="s">
        <v>53</v>
      </c>
      <c r="D1155" t="s">
        <v>19</v>
      </c>
      <c r="F1155" s="1">
        <v>44280</v>
      </c>
      <c r="G1155">
        <v>2007</v>
      </c>
      <c r="H1155" t="s">
        <v>21</v>
      </c>
      <c r="I1155" t="s">
        <v>95</v>
      </c>
      <c r="J1155" t="s">
        <v>23</v>
      </c>
      <c r="K1155">
        <v>8.8000000000000007</v>
      </c>
      <c r="L1155">
        <v>22949929</v>
      </c>
      <c r="M1155">
        <v>872032</v>
      </c>
      <c r="N1155">
        <v>61</v>
      </c>
      <c r="O1155" t="s">
        <v>24</v>
      </c>
      <c r="P1155" t="s">
        <v>87</v>
      </c>
    </row>
    <row r="1156" spans="1:16" x14ac:dyDescent="0.35">
      <c r="A1156" t="s">
        <v>2465</v>
      </c>
      <c r="B1156" t="s">
        <v>2466</v>
      </c>
      <c r="C1156" t="s">
        <v>18</v>
      </c>
      <c r="E1156" t="s">
        <v>165</v>
      </c>
      <c r="F1156" s="1">
        <v>43936</v>
      </c>
      <c r="G1156">
        <v>2023</v>
      </c>
      <c r="H1156" t="s">
        <v>85</v>
      </c>
      <c r="I1156" t="s">
        <v>958</v>
      </c>
      <c r="K1156">
        <v>7.2</v>
      </c>
      <c r="L1156">
        <v>4036494</v>
      </c>
      <c r="M1156">
        <v>3878220</v>
      </c>
      <c r="N1156">
        <v>72</v>
      </c>
      <c r="O1156" t="s">
        <v>58</v>
      </c>
      <c r="P1156" t="s">
        <v>87</v>
      </c>
    </row>
    <row r="1157" spans="1:16" x14ac:dyDescent="0.35">
      <c r="A1157" t="s">
        <v>2467</v>
      </c>
      <c r="B1157" t="s">
        <v>2468</v>
      </c>
      <c r="C1157" t="s">
        <v>18</v>
      </c>
      <c r="F1157" s="1">
        <v>46175</v>
      </c>
      <c r="G1157">
        <v>2004</v>
      </c>
      <c r="I1157" t="s">
        <v>696</v>
      </c>
      <c r="J1157" t="s">
        <v>76</v>
      </c>
      <c r="K1157">
        <v>11.2</v>
      </c>
      <c r="L1157">
        <v>5112335</v>
      </c>
      <c r="M1157">
        <v>1284554</v>
      </c>
      <c r="N1157">
        <v>93</v>
      </c>
      <c r="O1157" t="s">
        <v>58</v>
      </c>
      <c r="P1157" t="s">
        <v>87</v>
      </c>
    </row>
    <row r="1158" spans="1:16" x14ac:dyDescent="0.35">
      <c r="A1158" t="s">
        <v>2469</v>
      </c>
      <c r="B1158" t="s">
        <v>2470</v>
      </c>
      <c r="D1158" t="s">
        <v>19</v>
      </c>
      <c r="E1158" t="s">
        <v>99</v>
      </c>
      <c r="F1158" s="1">
        <v>45825</v>
      </c>
      <c r="G1158">
        <v>2016</v>
      </c>
      <c r="H1158" t="s">
        <v>85</v>
      </c>
      <c r="I1158" t="s">
        <v>64</v>
      </c>
      <c r="J1158" t="s">
        <v>23</v>
      </c>
      <c r="K1158">
        <v>6.4</v>
      </c>
      <c r="L1158">
        <v>2193827</v>
      </c>
      <c r="M1158">
        <v>4534331</v>
      </c>
      <c r="N1158">
        <v>51</v>
      </c>
      <c r="O1158" t="s">
        <v>91</v>
      </c>
    </row>
    <row r="1159" spans="1:16" x14ac:dyDescent="0.35">
      <c r="A1159" t="s">
        <v>2471</v>
      </c>
      <c r="B1159" t="s">
        <v>2472</v>
      </c>
      <c r="D1159" t="s">
        <v>156</v>
      </c>
      <c r="E1159" t="s">
        <v>99</v>
      </c>
      <c r="F1159" s="1">
        <v>44706</v>
      </c>
      <c r="G1159">
        <v>2021</v>
      </c>
      <c r="H1159" t="s">
        <v>114</v>
      </c>
      <c r="I1159" t="s">
        <v>64</v>
      </c>
      <c r="J1159" t="s">
        <v>72</v>
      </c>
      <c r="K1159">
        <v>8</v>
      </c>
      <c r="L1159">
        <v>19576886</v>
      </c>
      <c r="M1159">
        <v>2243969</v>
      </c>
      <c r="N1159">
        <v>87</v>
      </c>
      <c r="O1159" t="s">
        <v>31</v>
      </c>
      <c r="P1159" t="s">
        <v>32</v>
      </c>
    </row>
    <row r="1160" spans="1:16" x14ac:dyDescent="0.35">
      <c r="A1160" t="s">
        <v>2473</v>
      </c>
      <c r="B1160" t="s">
        <v>2474</v>
      </c>
      <c r="C1160" t="s">
        <v>18</v>
      </c>
      <c r="D1160" t="s">
        <v>156</v>
      </c>
      <c r="E1160" t="s">
        <v>69</v>
      </c>
      <c r="F1160" s="1">
        <v>43129</v>
      </c>
      <c r="G1160">
        <v>2003</v>
      </c>
      <c r="I1160" t="s">
        <v>423</v>
      </c>
      <c r="J1160" t="s">
        <v>153</v>
      </c>
      <c r="K1160">
        <v>4.8</v>
      </c>
      <c r="L1160">
        <v>6877187</v>
      </c>
      <c r="M1160">
        <v>1712187</v>
      </c>
      <c r="N1160">
        <v>72</v>
      </c>
      <c r="O1160" t="s">
        <v>123</v>
      </c>
    </row>
    <row r="1161" spans="1:16" x14ac:dyDescent="0.35">
      <c r="A1161" t="s">
        <v>2475</v>
      </c>
      <c r="B1161" t="s">
        <v>2476</v>
      </c>
      <c r="C1161" t="s">
        <v>84</v>
      </c>
      <c r="D1161" t="s">
        <v>90</v>
      </c>
      <c r="E1161" t="s">
        <v>113</v>
      </c>
      <c r="F1161" s="1">
        <v>45529</v>
      </c>
      <c r="G1161">
        <v>2001</v>
      </c>
      <c r="H1161" t="s">
        <v>121</v>
      </c>
      <c r="I1161" t="s">
        <v>608</v>
      </c>
      <c r="J1161" t="s">
        <v>153</v>
      </c>
      <c r="K1161">
        <v>6.8</v>
      </c>
      <c r="L1161">
        <v>10999525</v>
      </c>
      <c r="M1161">
        <v>4915831</v>
      </c>
      <c r="N1161">
        <v>82</v>
      </c>
      <c r="O1161" t="s">
        <v>31</v>
      </c>
      <c r="P1161" t="s">
        <v>50</v>
      </c>
    </row>
    <row r="1162" spans="1:16" x14ac:dyDescent="0.35">
      <c r="A1162" t="s">
        <v>2477</v>
      </c>
      <c r="B1162" t="s">
        <v>2478</v>
      </c>
      <c r="C1162" t="s">
        <v>53</v>
      </c>
      <c r="D1162" t="s">
        <v>90</v>
      </c>
      <c r="E1162" t="s">
        <v>165</v>
      </c>
      <c r="F1162" s="1">
        <v>44202</v>
      </c>
      <c r="G1162">
        <v>2017</v>
      </c>
      <c r="H1162" t="s">
        <v>46</v>
      </c>
      <c r="I1162" t="s">
        <v>118</v>
      </c>
      <c r="J1162" t="s">
        <v>76</v>
      </c>
      <c r="K1162">
        <v>5.4</v>
      </c>
      <c r="L1162">
        <v>14607559</v>
      </c>
      <c r="M1162">
        <v>4273672</v>
      </c>
      <c r="N1162">
        <v>76</v>
      </c>
      <c r="O1162" t="s">
        <v>41</v>
      </c>
      <c r="P1162" t="s">
        <v>32</v>
      </c>
    </row>
    <row r="1163" spans="1:16" x14ac:dyDescent="0.35">
      <c r="A1163" t="s">
        <v>2479</v>
      </c>
      <c r="B1163" t="s">
        <v>2480</v>
      </c>
      <c r="C1163" t="s">
        <v>79</v>
      </c>
      <c r="D1163" t="s">
        <v>156</v>
      </c>
      <c r="E1163" t="s">
        <v>99</v>
      </c>
      <c r="F1163" s="1">
        <v>45588</v>
      </c>
      <c r="G1163">
        <v>2005</v>
      </c>
      <c r="H1163" t="s">
        <v>70</v>
      </c>
      <c r="I1163" t="s">
        <v>231</v>
      </c>
      <c r="K1163">
        <v>7.9</v>
      </c>
      <c r="L1163">
        <v>14703822</v>
      </c>
      <c r="M1163">
        <v>1384901</v>
      </c>
      <c r="N1163">
        <v>80</v>
      </c>
      <c r="O1163" t="s">
        <v>49</v>
      </c>
      <c r="P1163" t="s">
        <v>42</v>
      </c>
    </row>
    <row r="1164" spans="1:16" x14ac:dyDescent="0.35">
      <c r="A1164" t="s">
        <v>2481</v>
      </c>
      <c r="B1164" t="s">
        <v>2482</v>
      </c>
      <c r="C1164" t="s">
        <v>84</v>
      </c>
      <c r="D1164" t="s">
        <v>54</v>
      </c>
      <c r="E1164" t="s">
        <v>165</v>
      </c>
      <c r="F1164" s="1">
        <v>44386</v>
      </c>
      <c r="G1164">
        <v>2017</v>
      </c>
      <c r="H1164" t="s">
        <v>21</v>
      </c>
      <c r="I1164" t="s">
        <v>661</v>
      </c>
      <c r="J1164" t="s">
        <v>57</v>
      </c>
      <c r="K1164">
        <v>5.6</v>
      </c>
      <c r="L1164">
        <v>14208473</v>
      </c>
      <c r="M1164">
        <v>1056935</v>
      </c>
      <c r="N1164">
        <v>76</v>
      </c>
      <c r="O1164" t="s">
        <v>65</v>
      </c>
      <c r="P1164" t="s">
        <v>50</v>
      </c>
    </row>
    <row r="1165" spans="1:16" x14ac:dyDescent="0.35">
      <c r="A1165" t="s">
        <v>2483</v>
      </c>
      <c r="B1165" t="s">
        <v>2484</v>
      </c>
      <c r="C1165" t="s">
        <v>84</v>
      </c>
      <c r="D1165" t="s">
        <v>61</v>
      </c>
      <c r="E1165" t="s">
        <v>165</v>
      </c>
      <c r="F1165" s="1">
        <v>43072</v>
      </c>
      <c r="G1165">
        <v>2007</v>
      </c>
      <c r="H1165" t="s">
        <v>63</v>
      </c>
      <c r="I1165" t="s">
        <v>594</v>
      </c>
      <c r="K1165">
        <v>7.3</v>
      </c>
      <c r="L1165">
        <v>21414967</v>
      </c>
      <c r="M1165">
        <v>2156623</v>
      </c>
      <c r="N1165">
        <v>92</v>
      </c>
      <c r="O1165" t="s">
        <v>49</v>
      </c>
      <c r="P1165" t="s">
        <v>87</v>
      </c>
    </row>
    <row r="1166" spans="1:16" x14ac:dyDescent="0.35">
      <c r="A1166" t="s">
        <v>2485</v>
      </c>
      <c r="B1166" t="s">
        <v>2486</v>
      </c>
      <c r="C1166" t="s">
        <v>18</v>
      </c>
      <c r="D1166" t="s">
        <v>75</v>
      </c>
      <c r="F1166" s="1">
        <v>42826</v>
      </c>
      <c r="G1166">
        <v>2001</v>
      </c>
      <c r="H1166" t="s">
        <v>38</v>
      </c>
      <c r="I1166" t="s">
        <v>2394</v>
      </c>
      <c r="J1166" t="s">
        <v>103</v>
      </c>
      <c r="K1166">
        <v>7.9</v>
      </c>
      <c r="L1166">
        <v>21214923</v>
      </c>
      <c r="M1166">
        <v>116204</v>
      </c>
      <c r="N1166">
        <v>57</v>
      </c>
      <c r="O1166" t="s">
        <v>58</v>
      </c>
    </row>
    <row r="1167" spans="1:16" x14ac:dyDescent="0.35">
      <c r="A1167" t="s">
        <v>2487</v>
      </c>
      <c r="B1167" t="s">
        <v>2488</v>
      </c>
      <c r="C1167" t="s">
        <v>18</v>
      </c>
      <c r="D1167" t="s">
        <v>36</v>
      </c>
      <c r="F1167" s="1">
        <v>42119</v>
      </c>
      <c r="G1167">
        <v>2009</v>
      </c>
      <c r="H1167" t="s">
        <v>21</v>
      </c>
      <c r="I1167" t="s">
        <v>397</v>
      </c>
      <c r="J1167" t="s">
        <v>153</v>
      </c>
      <c r="K1167">
        <v>4.7</v>
      </c>
      <c r="L1167">
        <v>753435</v>
      </c>
      <c r="M1167">
        <v>4581311</v>
      </c>
      <c r="N1167">
        <v>97</v>
      </c>
      <c r="O1167" t="s">
        <v>123</v>
      </c>
    </row>
    <row r="1168" spans="1:16" x14ac:dyDescent="0.35">
      <c r="A1168" t="s">
        <v>2489</v>
      </c>
      <c r="B1168" t="s">
        <v>2490</v>
      </c>
      <c r="C1168" t="s">
        <v>53</v>
      </c>
      <c r="E1168" t="s">
        <v>165</v>
      </c>
      <c r="G1168">
        <v>2018</v>
      </c>
      <c r="H1168" t="s">
        <v>21</v>
      </c>
      <c r="I1168" t="s">
        <v>64</v>
      </c>
      <c r="J1168" t="s">
        <v>57</v>
      </c>
      <c r="K1168">
        <v>9.4</v>
      </c>
      <c r="L1168">
        <v>21981306</v>
      </c>
      <c r="M1168">
        <v>2463842</v>
      </c>
      <c r="N1168">
        <v>100</v>
      </c>
      <c r="O1168" t="s">
        <v>31</v>
      </c>
      <c r="P1168" t="s">
        <v>32</v>
      </c>
    </row>
    <row r="1169" spans="1:16" x14ac:dyDescent="0.35">
      <c r="A1169" t="s">
        <v>2491</v>
      </c>
      <c r="B1169" t="s">
        <v>2492</v>
      </c>
      <c r="C1169" t="s">
        <v>35</v>
      </c>
      <c r="D1169" t="s">
        <v>36</v>
      </c>
      <c r="E1169" t="s">
        <v>165</v>
      </c>
      <c r="G1169">
        <v>2002</v>
      </c>
      <c r="H1169" t="s">
        <v>38</v>
      </c>
      <c r="I1169" t="s">
        <v>118</v>
      </c>
      <c r="J1169" t="s">
        <v>133</v>
      </c>
      <c r="K1169">
        <v>6.3</v>
      </c>
      <c r="L1169">
        <v>17864675</v>
      </c>
      <c r="M1169">
        <v>90035</v>
      </c>
      <c r="N1169">
        <v>54</v>
      </c>
      <c r="O1169" t="s">
        <v>104</v>
      </c>
    </row>
    <row r="1170" spans="1:16" x14ac:dyDescent="0.35">
      <c r="A1170" t="s">
        <v>2493</v>
      </c>
      <c r="B1170" t="s">
        <v>2494</v>
      </c>
      <c r="C1170" t="s">
        <v>79</v>
      </c>
      <c r="D1170" t="s">
        <v>90</v>
      </c>
      <c r="E1170" t="s">
        <v>20</v>
      </c>
      <c r="F1170" s="1">
        <v>42195</v>
      </c>
      <c r="G1170">
        <v>2025</v>
      </c>
      <c r="H1170" t="s">
        <v>107</v>
      </c>
      <c r="I1170" t="s">
        <v>226</v>
      </c>
      <c r="K1170">
        <v>6.5</v>
      </c>
      <c r="L1170">
        <v>15926570</v>
      </c>
      <c r="M1170">
        <v>923908</v>
      </c>
      <c r="N1170">
        <v>69</v>
      </c>
      <c r="O1170" t="s">
        <v>65</v>
      </c>
      <c r="P1170" t="s">
        <v>32</v>
      </c>
    </row>
    <row r="1171" spans="1:16" x14ac:dyDescent="0.35">
      <c r="A1171" t="s">
        <v>2495</v>
      </c>
      <c r="B1171" t="s">
        <v>2496</v>
      </c>
      <c r="C1171" t="s">
        <v>18</v>
      </c>
      <c r="D1171" t="s">
        <v>27</v>
      </c>
      <c r="E1171" t="s">
        <v>55</v>
      </c>
      <c r="F1171" s="1">
        <v>45374</v>
      </c>
      <c r="G1171">
        <v>2006</v>
      </c>
      <c r="H1171" t="s">
        <v>114</v>
      </c>
      <c r="I1171" t="s">
        <v>179</v>
      </c>
      <c r="J1171" t="s">
        <v>23</v>
      </c>
      <c r="K1171">
        <v>8.8000000000000007</v>
      </c>
      <c r="L1171">
        <v>12350615</v>
      </c>
      <c r="M1171">
        <v>726665</v>
      </c>
      <c r="N1171">
        <v>96</v>
      </c>
      <c r="O1171" t="s">
        <v>91</v>
      </c>
      <c r="P1171" t="s">
        <v>42</v>
      </c>
    </row>
    <row r="1172" spans="1:16" x14ac:dyDescent="0.35">
      <c r="A1172" t="s">
        <v>2497</v>
      </c>
      <c r="B1172" t="s">
        <v>2498</v>
      </c>
      <c r="C1172" t="s">
        <v>79</v>
      </c>
      <c r="D1172" t="s">
        <v>54</v>
      </c>
      <c r="F1172" s="1">
        <v>44489</v>
      </c>
      <c r="G1172">
        <v>2018</v>
      </c>
      <c r="I1172" t="s">
        <v>1008</v>
      </c>
      <c r="J1172" t="s">
        <v>96</v>
      </c>
      <c r="K1172">
        <v>5.6</v>
      </c>
      <c r="L1172">
        <v>15723734</v>
      </c>
      <c r="M1172">
        <v>4856854</v>
      </c>
      <c r="N1172">
        <v>51</v>
      </c>
      <c r="O1172" t="s">
        <v>58</v>
      </c>
      <c r="P1172" t="s">
        <v>32</v>
      </c>
    </row>
    <row r="1173" spans="1:16" x14ac:dyDescent="0.35">
      <c r="A1173" t="s">
        <v>2499</v>
      </c>
      <c r="B1173" t="s">
        <v>2500</v>
      </c>
      <c r="C1173" t="s">
        <v>35</v>
      </c>
      <c r="D1173" t="s">
        <v>94</v>
      </c>
      <c r="E1173" t="s">
        <v>62</v>
      </c>
      <c r="F1173" s="1">
        <v>42731</v>
      </c>
      <c r="G1173">
        <v>2001</v>
      </c>
      <c r="H1173" t="s">
        <v>121</v>
      </c>
      <c r="J1173" t="s">
        <v>103</v>
      </c>
      <c r="K1173">
        <v>7.8</v>
      </c>
      <c r="L1173">
        <v>381746</v>
      </c>
      <c r="M1173">
        <v>1664263</v>
      </c>
      <c r="N1173">
        <v>99</v>
      </c>
      <c r="O1173" t="s">
        <v>49</v>
      </c>
      <c r="P1173" t="s">
        <v>42</v>
      </c>
    </row>
    <row r="1174" spans="1:16" x14ac:dyDescent="0.35">
      <c r="A1174" t="s">
        <v>2501</v>
      </c>
      <c r="B1174" t="s">
        <v>2502</v>
      </c>
      <c r="D1174" t="s">
        <v>75</v>
      </c>
      <c r="F1174" s="1">
        <v>46158</v>
      </c>
      <c r="G1174">
        <v>2025</v>
      </c>
      <c r="H1174" t="s">
        <v>114</v>
      </c>
      <c r="I1174" t="s">
        <v>95</v>
      </c>
      <c r="J1174" t="s">
        <v>100</v>
      </c>
      <c r="K1174">
        <v>6.2</v>
      </c>
      <c r="L1174">
        <v>1441084</v>
      </c>
      <c r="M1174">
        <v>3441452</v>
      </c>
      <c r="N1174">
        <v>88</v>
      </c>
      <c r="O1174" t="s">
        <v>65</v>
      </c>
      <c r="P1174" t="s">
        <v>50</v>
      </c>
    </row>
    <row r="1175" spans="1:16" x14ac:dyDescent="0.35">
      <c r="A1175" t="s">
        <v>2503</v>
      </c>
      <c r="B1175" t="s">
        <v>2504</v>
      </c>
      <c r="C1175" t="s">
        <v>35</v>
      </c>
      <c r="D1175" t="s">
        <v>90</v>
      </c>
      <c r="F1175" s="1">
        <v>44247</v>
      </c>
      <c r="G1175">
        <v>2026</v>
      </c>
      <c r="H1175" t="s">
        <v>70</v>
      </c>
      <c r="I1175" t="s">
        <v>64</v>
      </c>
      <c r="J1175" t="s">
        <v>100</v>
      </c>
      <c r="K1175">
        <v>5</v>
      </c>
      <c r="L1175">
        <v>14544710</v>
      </c>
      <c r="M1175">
        <v>3923817</v>
      </c>
      <c r="N1175">
        <v>40</v>
      </c>
      <c r="O1175" t="s">
        <v>123</v>
      </c>
      <c r="P1175" t="s">
        <v>50</v>
      </c>
    </row>
    <row r="1176" spans="1:16" x14ac:dyDescent="0.35">
      <c r="A1176" t="s">
        <v>2505</v>
      </c>
      <c r="B1176" t="s">
        <v>2506</v>
      </c>
      <c r="C1176" t="s">
        <v>53</v>
      </c>
      <c r="D1176" t="s">
        <v>75</v>
      </c>
      <c r="E1176" t="s">
        <v>131</v>
      </c>
      <c r="F1176" s="1">
        <v>46077</v>
      </c>
      <c r="G1176">
        <v>2006</v>
      </c>
      <c r="H1176" t="s">
        <v>85</v>
      </c>
      <c r="I1176" t="s">
        <v>162</v>
      </c>
      <c r="J1176" t="s">
        <v>48</v>
      </c>
      <c r="K1176">
        <v>9.6999999999999993</v>
      </c>
      <c r="L1176">
        <v>11859239</v>
      </c>
      <c r="M1176">
        <v>2106189</v>
      </c>
      <c r="N1176">
        <v>93</v>
      </c>
      <c r="O1176" t="s">
        <v>24</v>
      </c>
    </row>
    <row r="1177" spans="1:16" x14ac:dyDescent="0.35">
      <c r="A1177" t="s">
        <v>2507</v>
      </c>
      <c r="B1177" t="s">
        <v>2508</v>
      </c>
      <c r="C1177" t="s">
        <v>18</v>
      </c>
      <c r="D1177" t="s">
        <v>75</v>
      </c>
      <c r="E1177" t="s">
        <v>20</v>
      </c>
      <c r="G1177">
        <v>2017</v>
      </c>
      <c r="H1177" t="s">
        <v>85</v>
      </c>
      <c r="I1177" t="s">
        <v>794</v>
      </c>
      <c r="J1177" t="s">
        <v>96</v>
      </c>
      <c r="K1177">
        <v>7.4</v>
      </c>
      <c r="L1177">
        <v>18617753</v>
      </c>
      <c r="M1177">
        <v>3583406</v>
      </c>
      <c r="N1177">
        <v>41</v>
      </c>
      <c r="P1177" t="s">
        <v>42</v>
      </c>
    </row>
    <row r="1178" spans="1:16" x14ac:dyDescent="0.35">
      <c r="A1178" t="s">
        <v>2509</v>
      </c>
      <c r="B1178" t="s">
        <v>2510</v>
      </c>
      <c r="C1178" t="s">
        <v>35</v>
      </c>
      <c r="D1178" t="s">
        <v>75</v>
      </c>
      <c r="E1178" t="s">
        <v>20</v>
      </c>
      <c r="F1178" s="1">
        <v>42044</v>
      </c>
      <c r="G1178">
        <v>2015</v>
      </c>
      <c r="I1178" t="s">
        <v>136</v>
      </c>
      <c r="J1178" t="s">
        <v>30</v>
      </c>
      <c r="K1178">
        <v>4.7</v>
      </c>
      <c r="L1178">
        <v>19072292</v>
      </c>
      <c r="M1178">
        <v>420205</v>
      </c>
      <c r="N1178">
        <v>100</v>
      </c>
      <c r="O1178" t="s">
        <v>123</v>
      </c>
      <c r="P1178" t="s">
        <v>87</v>
      </c>
    </row>
    <row r="1179" spans="1:16" x14ac:dyDescent="0.35">
      <c r="A1179" t="s">
        <v>2511</v>
      </c>
      <c r="B1179" t="s">
        <v>2512</v>
      </c>
      <c r="C1179" t="s">
        <v>35</v>
      </c>
      <c r="D1179" t="s">
        <v>19</v>
      </c>
      <c r="E1179" t="s">
        <v>165</v>
      </c>
      <c r="F1179" s="1">
        <v>42789</v>
      </c>
      <c r="G1179">
        <v>2007</v>
      </c>
      <c r="H1179" t="s">
        <v>81</v>
      </c>
      <c r="I1179" t="s">
        <v>71</v>
      </c>
      <c r="J1179" t="s">
        <v>133</v>
      </c>
      <c r="K1179">
        <v>4.5999999999999996</v>
      </c>
      <c r="L1179">
        <v>1324698</v>
      </c>
      <c r="M1179">
        <v>2428988</v>
      </c>
      <c r="N1179">
        <v>81</v>
      </c>
      <c r="O1179" t="s">
        <v>31</v>
      </c>
      <c r="P1179" t="s">
        <v>32</v>
      </c>
    </row>
    <row r="1180" spans="1:16" x14ac:dyDescent="0.35">
      <c r="A1180" t="s">
        <v>2513</v>
      </c>
      <c r="B1180" t="s">
        <v>2514</v>
      </c>
      <c r="C1180" t="s">
        <v>79</v>
      </c>
      <c r="E1180" t="s">
        <v>20</v>
      </c>
      <c r="F1180" s="1">
        <v>42247</v>
      </c>
      <c r="G1180">
        <v>2009</v>
      </c>
      <c r="H1180" t="s">
        <v>63</v>
      </c>
      <c r="I1180" t="s">
        <v>132</v>
      </c>
      <c r="K1180">
        <v>5.8</v>
      </c>
      <c r="L1180">
        <v>22072373</v>
      </c>
      <c r="M1180">
        <v>3532433</v>
      </c>
      <c r="N1180">
        <v>95</v>
      </c>
      <c r="O1180" t="s">
        <v>123</v>
      </c>
      <c r="P1180" t="s">
        <v>32</v>
      </c>
    </row>
    <row r="1181" spans="1:16" x14ac:dyDescent="0.35">
      <c r="A1181" t="s">
        <v>2515</v>
      </c>
      <c r="B1181" t="s">
        <v>2516</v>
      </c>
      <c r="C1181" t="s">
        <v>35</v>
      </c>
      <c r="D1181" t="s">
        <v>94</v>
      </c>
      <c r="E1181" t="s">
        <v>113</v>
      </c>
      <c r="F1181" s="1">
        <v>42327</v>
      </c>
      <c r="G1181">
        <v>2002</v>
      </c>
      <c r="H1181" t="s">
        <v>114</v>
      </c>
      <c r="I1181" t="s">
        <v>136</v>
      </c>
      <c r="J1181" t="s">
        <v>133</v>
      </c>
      <c r="K1181">
        <v>9.3000000000000007</v>
      </c>
      <c r="L1181">
        <v>7649379</v>
      </c>
      <c r="M1181">
        <v>1066031</v>
      </c>
      <c r="N1181">
        <v>95</v>
      </c>
      <c r="O1181" t="s">
        <v>91</v>
      </c>
    </row>
    <row r="1182" spans="1:16" x14ac:dyDescent="0.35">
      <c r="A1182" t="s">
        <v>2517</v>
      </c>
      <c r="B1182" t="s">
        <v>2518</v>
      </c>
      <c r="C1182" t="s">
        <v>79</v>
      </c>
      <c r="D1182" t="s">
        <v>156</v>
      </c>
      <c r="E1182" t="s">
        <v>69</v>
      </c>
      <c r="F1182" s="1">
        <v>46034</v>
      </c>
      <c r="G1182">
        <v>2005</v>
      </c>
      <c r="H1182" t="s">
        <v>46</v>
      </c>
      <c r="I1182" t="s">
        <v>1333</v>
      </c>
      <c r="J1182" t="s">
        <v>96</v>
      </c>
      <c r="K1182">
        <v>7.4</v>
      </c>
      <c r="L1182">
        <v>21484345</v>
      </c>
      <c r="M1182">
        <v>3140153</v>
      </c>
      <c r="N1182">
        <v>88</v>
      </c>
      <c r="O1182" t="s">
        <v>31</v>
      </c>
      <c r="P1182" t="s">
        <v>87</v>
      </c>
    </row>
    <row r="1183" spans="1:16" x14ac:dyDescent="0.35">
      <c r="A1183" t="s">
        <v>2519</v>
      </c>
      <c r="B1183" t="s">
        <v>2520</v>
      </c>
      <c r="C1183" t="s">
        <v>79</v>
      </c>
      <c r="D1183" t="s">
        <v>36</v>
      </c>
      <c r="E1183" t="s">
        <v>80</v>
      </c>
      <c r="F1183" s="1">
        <v>45493</v>
      </c>
      <c r="G1183">
        <v>2013</v>
      </c>
      <c r="H1183" t="s">
        <v>114</v>
      </c>
      <c r="I1183" t="s">
        <v>187</v>
      </c>
      <c r="J1183" t="s">
        <v>48</v>
      </c>
      <c r="K1183">
        <v>5.7</v>
      </c>
      <c r="L1183">
        <v>2853762</v>
      </c>
      <c r="M1183">
        <v>864685</v>
      </c>
      <c r="N1183">
        <v>73</v>
      </c>
      <c r="O1183" t="s">
        <v>65</v>
      </c>
      <c r="P1183" t="s">
        <v>87</v>
      </c>
    </row>
    <row r="1184" spans="1:16" x14ac:dyDescent="0.35">
      <c r="A1184" t="s">
        <v>2521</v>
      </c>
      <c r="B1184" t="s">
        <v>2522</v>
      </c>
      <c r="C1184" t="s">
        <v>79</v>
      </c>
      <c r="D1184" t="s">
        <v>19</v>
      </c>
      <c r="E1184" t="s">
        <v>37</v>
      </c>
      <c r="F1184" s="1">
        <v>44787</v>
      </c>
      <c r="G1184">
        <v>2005</v>
      </c>
      <c r="H1184" t="s">
        <v>107</v>
      </c>
      <c r="I1184" t="s">
        <v>231</v>
      </c>
      <c r="K1184">
        <v>8.5</v>
      </c>
      <c r="L1184">
        <v>12260605</v>
      </c>
      <c r="M1184">
        <v>3924122</v>
      </c>
      <c r="N1184">
        <v>63</v>
      </c>
      <c r="O1184" t="s">
        <v>24</v>
      </c>
      <c r="P1184" t="s">
        <v>87</v>
      </c>
    </row>
    <row r="1185" spans="1:16" x14ac:dyDescent="0.35">
      <c r="A1185" t="s">
        <v>2523</v>
      </c>
      <c r="B1185" t="s">
        <v>2524</v>
      </c>
      <c r="C1185" t="s">
        <v>35</v>
      </c>
      <c r="D1185" t="s">
        <v>36</v>
      </c>
      <c r="E1185" t="s">
        <v>165</v>
      </c>
      <c r="F1185" s="1">
        <v>44385</v>
      </c>
      <c r="G1185">
        <v>2002</v>
      </c>
      <c r="H1185" t="s">
        <v>70</v>
      </c>
      <c r="I1185" t="s">
        <v>162</v>
      </c>
      <c r="J1185" t="s">
        <v>103</v>
      </c>
      <c r="K1185">
        <v>7.7</v>
      </c>
      <c r="L1185">
        <v>1056658</v>
      </c>
      <c r="M1185">
        <v>2292897</v>
      </c>
      <c r="N1185">
        <v>89</v>
      </c>
      <c r="O1185" t="s">
        <v>24</v>
      </c>
      <c r="P1185" t="s">
        <v>50</v>
      </c>
    </row>
    <row r="1186" spans="1:16" x14ac:dyDescent="0.35">
      <c r="A1186" t="s">
        <v>2525</v>
      </c>
      <c r="B1186" t="s">
        <v>2526</v>
      </c>
      <c r="E1186" t="s">
        <v>113</v>
      </c>
      <c r="F1186" s="1">
        <v>44719</v>
      </c>
      <c r="G1186">
        <v>2014</v>
      </c>
      <c r="H1186" t="s">
        <v>38</v>
      </c>
      <c r="I1186" t="s">
        <v>118</v>
      </c>
      <c r="J1186" t="s">
        <v>100</v>
      </c>
      <c r="K1186">
        <v>9.1</v>
      </c>
      <c r="L1186">
        <v>24262031</v>
      </c>
      <c r="M1186">
        <v>762111</v>
      </c>
      <c r="N1186">
        <v>85</v>
      </c>
      <c r="O1186" t="s">
        <v>24</v>
      </c>
      <c r="P1186" t="s">
        <v>87</v>
      </c>
    </row>
    <row r="1187" spans="1:16" x14ac:dyDescent="0.35">
      <c r="A1187" t="s">
        <v>2527</v>
      </c>
      <c r="B1187" t="s">
        <v>2528</v>
      </c>
      <c r="D1187" t="s">
        <v>27</v>
      </c>
      <c r="E1187" t="s">
        <v>62</v>
      </c>
      <c r="F1187" s="1">
        <v>44113</v>
      </c>
      <c r="G1187">
        <v>2008</v>
      </c>
      <c r="H1187" t="s">
        <v>107</v>
      </c>
      <c r="I1187" t="s">
        <v>39</v>
      </c>
      <c r="J1187" t="s">
        <v>30</v>
      </c>
      <c r="K1187">
        <v>8.5</v>
      </c>
      <c r="L1187">
        <v>4268419</v>
      </c>
      <c r="M1187">
        <v>211290</v>
      </c>
      <c r="N1187">
        <v>85</v>
      </c>
      <c r="O1187" t="s">
        <v>123</v>
      </c>
      <c r="P1187" t="s">
        <v>50</v>
      </c>
    </row>
    <row r="1188" spans="1:16" x14ac:dyDescent="0.35">
      <c r="A1188" t="s">
        <v>2529</v>
      </c>
      <c r="B1188" t="s">
        <v>2530</v>
      </c>
      <c r="C1188" t="s">
        <v>18</v>
      </c>
      <c r="D1188" t="s">
        <v>156</v>
      </c>
      <c r="E1188" t="s">
        <v>45</v>
      </c>
      <c r="F1188" s="1">
        <v>44280</v>
      </c>
      <c r="G1188">
        <v>2003</v>
      </c>
      <c r="H1188" t="s">
        <v>121</v>
      </c>
      <c r="I1188" t="s">
        <v>254</v>
      </c>
      <c r="J1188" t="s">
        <v>100</v>
      </c>
      <c r="K1188">
        <v>8.3000000000000007</v>
      </c>
      <c r="L1188">
        <v>8465379</v>
      </c>
      <c r="M1188">
        <v>892631</v>
      </c>
      <c r="N1188">
        <v>47</v>
      </c>
      <c r="O1188" t="s">
        <v>123</v>
      </c>
      <c r="P1188" t="s">
        <v>50</v>
      </c>
    </row>
    <row r="1189" spans="1:16" x14ac:dyDescent="0.35">
      <c r="A1189" t="s">
        <v>2531</v>
      </c>
      <c r="B1189" t="s">
        <v>2532</v>
      </c>
      <c r="C1189" t="s">
        <v>18</v>
      </c>
      <c r="D1189" t="s">
        <v>68</v>
      </c>
      <c r="E1189" t="s">
        <v>80</v>
      </c>
      <c r="F1189" s="1">
        <v>44389</v>
      </c>
      <c r="G1189">
        <v>2011</v>
      </c>
      <c r="H1189" t="s">
        <v>121</v>
      </c>
      <c r="I1189" t="s">
        <v>262</v>
      </c>
      <c r="J1189" t="s">
        <v>72</v>
      </c>
      <c r="K1189">
        <v>7.2</v>
      </c>
      <c r="L1189">
        <v>15133131</v>
      </c>
      <c r="M1189">
        <v>1778728</v>
      </c>
      <c r="N1189">
        <v>70</v>
      </c>
      <c r="O1189" t="s">
        <v>65</v>
      </c>
      <c r="P1189" t="s">
        <v>87</v>
      </c>
    </row>
    <row r="1190" spans="1:16" x14ac:dyDescent="0.35">
      <c r="A1190" t="s">
        <v>2533</v>
      </c>
      <c r="B1190" t="s">
        <v>2534</v>
      </c>
      <c r="C1190" t="s">
        <v>84</v>
      </c>
      <c r="D1190" t="s">
        <v>94</v>
      </c>
      <c r="E1190" t="s">
        <v>113</v>
      </c>
      <c r="F1190" s="1">
        <v>42285</v>
      </c>
      <c r="G1190">
        <v>2006</v>
      </c>
      <c r="H1190" t="s">
        <v>38</v>
      </c>
      <c r="I1190" t="s">
        <v>29</v>
      </c>
      <c r="J1190" t="s">
        <v>48</v>
      </c>
      <c r="K1190">
        <v>5.6</v>
      </c>
      <c r="L1190">
        <v>23110877</v>
      </c>
      <c r="M1190">
        <v>3906196</v>
      </c>
      <c r="N1190">
        <v>84</v>
      </c>
      <c r="O1190" t="s">
        <v>104</v>
      </c>
    </row>
    <row r="1191" spans="1:16" x14ac:dyDescent="0.35">
      <c r="A1191" t="s">
        <v>2535</v>
      </c>
      <c r="B1191" t="s">
        <v>2536</v>
      </c>
      <c r="C1191" t="s">
        <v>53</v>
      </c>
      <c r="D1191" t="s">
        <v>19</v>
      </c>
      <c r="F1191" s="1">
        <v>43190</v>
      </c>
      <c r="G1191">
        <v>2014</v>
      </c>
      <c r="H1191" t="s">
        <v>63</v>
      </c>
      <c r="I1191" t="s">
        <v>118</v>
      </c>
      <c r="J1191" t="s">
        <v>40</v>
      </c>
      <c r="K1191">
        <v>5.9</v>
      </c>
      <c r="L1191">
        <v>2358476</v>
      </c>
      <c r="M1191">
        <v>1212720</v>
      </c>
      <c r="N1191">
        <v>86</v>
      </c>
      <c r="P1191" t="s">
        <v>50</v>
      </c>
    </row>
    <row r="1192" spans="1:16" x14ac:dyDescent="0.35">
      <c r="A1192" t="s">
        <v>2537</v>
      </c>
      <c r="B1192" t="s">
        <v>2538</v>
      </c>
      <c r="E1192" t="s">
        <v>80</v>
      </c>
      <c r="F1192" s="1">
        <v>43845</v>
      </c>
      <c r="G1192">
        <v>2017</v>
      </c>
      <c r="H1192" t="s">
        <v>70</v>
      </c>
      <c r="I1192" t="s">
        <v>71</v>
      </c>
      <c r="J1192" t="s">
        <v>76</v>
      </c>
      <c r="K1192">
        <v>5</v>
      </c>
      <c r="L1192">
        <v>18104266</v>
      </c>
      <c r="M1192">
        <v>905233</v>
      </c>
      <c r="N1192">
        <v>64</v>
      </c>
      <c r="O1192" t="s">
        <v>104</v>
      </c>
      <c r="P1192" t="s">
        <v>32</v>
      </c>
    </row>
    <row r="1193" spans="1:16" x14ac:dyDescent="0.35">
      <c r="A1193" t="s">
        <v>2539</v>
      </c>
      <c r="B1193" t="s">
        <v>2540</v>
      </c>
      <c r="D1193" t="s">
        <v>94</v>
      </c>
      <c r="E1193" t="s">
        <v>99</v>
      </c>
      <c r="F1193" s="1">
        <v>43000</v>
      </c>
      <c r="G1193">
        <v>2025</v>
      </c>
      <c r="H1193" t="s">
        <v>46</v>
      </c>
      <c r="I1193" t="s">
        <v>56</v>
      </c>
      <c r="J1193" t="s">
        <v>133</v>
      </c>
      <c r="K1193">
        <v>7.6</v>
      </c>
      <c r="L1193">
        <v>12455226</v>
      </c>
      <c r="M1193">
        <v>3910734</v>
      </c>
      <c r="N1193">
        <v>120</v>
      </c>
      <c r="O1193" t="s">
        <v>91</v>
      </c>
    </row>
    <row r="1194" spans="1:16" x14ac:dyDescent="0.35">
      <c r="A1194" t="s">
        <v>2541</v>
      </c>
      <c r="B1194" t="s">
        <v>2542</v>
      </c>
      <c r="C1194" t="s">
        <v>18</v>
      </c>
      <c r="D1194" t="s">
        <v>54</v>
      </c>
      <c r="E1194" t="s">
        <v>20</v>
      </c>
      <c r="F1194" s="1">
        <v>44005</v>
      </c>
      <c r="G1194">
        <v>2007</v>
      </c>
      <c r="H1194" t="s">
        <v>114</v>
      </c>
      <c r="I1194" t="s">
        <v>720</v>
      </c>
      <c r="J1194" t="s">
        <v>96</v>
      </c>
      <c r="K1194">
        <v>9.1999999999999993</v>
      </c>
      <c r="L1194">
        <v>23057702</v>
      </c>
      <c r="M1194">
        <v>986134</v>
      </c>
      <c r="N1194">
        <v>55</v>
      </c>
      <c r="P1194" t="s">
        <v>87</v>
      </c>
    </row>
    <row r="1195" spans="1:16" x14ac:dyDescent="0.35">
      <c r="A1195" t="s">
        <v>2543</v>
      </c>
      <c r="B1195" t="s">
        <v>2544</v>
      </c>
      <c r="C1195" t="s">
        <v>84</v>
      </c>
      <c r="D1195" t="s">
        <v>27</v>
      </c>
      <c r="E1195" t="s">
        <v>165</v>
      </c>
      <c r="F1195" s="1">
        <v>43655</v>
      </c>
      <c r="G1195">
        <v>2000</v>
      </c>
      <c r="H1195" t="s">
        <v>114</v>
      </c>
      <c r="I1195" t="s">
        <v>22</v>
      </c>
      <c r="J1195" t="s">
        <v>133</v>
      </c>
      <c r="K1195">
        <v>6.9</v>
      </c>
      <c r="L1195">
        <v>19355401</v>
      </c>
      <c r="M1195">
        <v>2573333</v>
      </c>
      <c r="N1195">
        <v>44</v>
      </c>
      <c r="O1195" t="s">
        <v>41</v>
      </c>
      <c r="P1195" t="s">
        <v>42</v>
      </c>
    </row>
    <row r="1196" spans="1:16" x14ac:dyDescent="0.35">
      <c r="A1196" t="s">
        <v>2545</v>
      </c>
      <c r="B1196" t="s">
        <v>2544</v>
      </c>
      <c r="C1196" t="s">
        <v>35</v>
      </c>
      <c r="D1196" t="s">
        <v>61</v>
      </c>
      <c r="E1196" t="s">
        <v>62</v>
      </c>
      <c r="F1196" s="1">
        <v>46194</v>
      </c>
      <c r="G1196">
        <v>2024</v>
      </c>
      <c r="H1196" t="s">
        <v>85</v>
      </c>
      <c r="I1196" t="s">
        <v>118</v>
      </c>
      <c r="K1196">
        <v>11.2</v>
      </c>
      <c r="L1196">
        <v>-695</v>
      </c>
      <c r="M1196">
        <v>7178</v>
      </c>
      <c r="N1196">
        <v>49</v>
      </c>
      <c r="O1196" t="s">
        <v>49</v>
      </c>
      <c r="P1196" t="s">
        <v>87</v>
      </c>
    </row>
    <row r="1197" spans="1:16" x14ac:dyDescent="0.35">
      <c r="A1197" t="s">
        <v>2546</v>
      </c>
      <c r="B1197" t="s">
        <v>2547</v>
      </c>
      <c r="C1197" t="s">
        <v>18</v>
      </c>
      <c r="E1197" t="s">
        <v>99</v>
      </c>
      <c r="F1197" s="1">
        <v>44546</v>
      </c>
      <c r="G1197">
        <v>2024</v>
      </c>
      <c r="H1197" t="s">
        <v>70</v>
      </c>
      <c r="I1197" t="s">
        <v>82</v>
      </c>
      <c r="J1197" t="s">
        <v>103</v>
      </c>
      <c r="K1197">
        <v>6</v>
      </c>
      <c r="L1197">
        <v>6761632</v>
      </c>
      <c r="M1197">
        <v>4396386</v>
      </c>
      <c r="N1197">
        <v>84</v>
      </c>
    </row>
    <row r="1198" spans="1:16" x14ac:dyDescent="0.35">
      <c r="A1198" t="s">
        <v>2548</v>
      </c>
      <c r="B1198" t="s">
        <v>2549</v>
      </c>
      <c r="C1198" t="s">
        <v>18</v>
      </c>
      <c r="D1198" t="s">
        <v>36</v>
      </c>
      <c r="E1198" t="s">
        <v>45</v>
      </c>
      <c r="F1198" s="1">
        <v>43844</v>
      </c>
      <c r="G1198">
        <v>2011</v>
      </c>
      <c r="H1198" t="s">
        <v>21</v>
      </c>
      <c r="I1198" t="s">
        <v>1452</v>
      </c>
      <c r="J1198" t="s">
        <v>100</v>
      </c>
      <c r="K1198">
        <v>5</v>
      </c>
      <c r="L1198">
        <v>21410804</v>
      </c>
      <c r="M1198">
        <v>1193215</v>
      </c>
      <c r="N1198">
        <v>48</v>
      </c>
      <c r="O1198" t="s">
        <v>91</v>
      </c>
      <c r="P1198" t="s">
        <v>50</v>
      </c>
    </row>
    <row r="1199" spans="1:16" x14ac:dyDescent="0.35">
      <c r="A1199" t="s">
        <v>2550</v>
      </c>
      <c r="B1199" t="s">
        <v>2551</v>
      </c>
      <c r="C1199" t="s">
        <v>35</v>
      </c>
      <c r="D1199" t="s">
        <v>54</v>
      </c>
      <c r="E1199" t="s">
        <v>45</v>
      </c>
      <c r="F1199" s="1">
        <v>45332</v>
      </c>
      <c r="G1199">
        <v>2018</v>
      </c>
      <c r="H1199" t="s">
        <v>107</v>
      </c>
      <c r="I1199" t="s">
        <v>39</v>
      </c>
      <c r="J1199" t="s">
        <v>96</v>
      </c>
      <c r="K1199">
        <v>9.6999999999999993</v>
      </c>
      <c r="L1199">
        <v>2575719</v>
      </c>
      <c r="M1199">
        <v>54718</v>
      </c>
      <c r="N1199">
        <v>52</v>
      </c>
      <c r="O1199" t="s">
        <v>91</v>
      </c>
      <c r="P1199" t="s">
        <v>87</v>
      </c>
    </row>
    <row r="1200" spans="1:16" x14ac:dyDescent="0.35">
      <c r="A1200" t="s">
        <v>2552</v>
      </c>
      <c r="B1200" t="s">
        <v>2553</v>
      </c>
      <c r="C1200" t="s">
        <v>53</v>
      </c>
      <c r="D1200" t="s">
        <v>68</v>
      </c>
      <c r="E1200" t="s">
        <v>80</v>
      </c>
      <c r="F1200" s="1">
        <v>44191</v>
      </c>
      <c r="G1200">
        <v>2020</v>
      </c>
      <c r="H1200" t="s">
        <v>63</v>
      </c>
      <c r="I1200" t="s">
        <v>64</v>
      </c>
      <c r="J1200" t="s">
        <v>72</v>
      </c>
      <c r="K1200">
        <v>6</v>
      </c>
      <c r="L1200">
        <v>19122730</v>
      </c>
      <c r="M1200">
        <v>3962037</v>
      </c>
      <c r="N1200">
        <v>76</v>
      </c>
      <c r="O1200" t="s">
        <v>123</v>
      </c>
    </row>
    <row r="1201" spans="1:16" x14ac:dyDescent="0.35">
      <c r="A1201" t="s">
        <v>2554</v>
      </c>
      <c r="B1201" t="s">
        <v>2555</v>
      </c>
      <c r="C1201" t="s">
        <v>79</v>
      </c>
      <c r="D1201" t="s">
        <v>68</v>
      </c>
      <c r="E1201" t="s">
        <v>113</v>
      </c>
      <c r="F1201" s="1">
        <v>44231</v>
      </c>
      <c r="G1201">
        <v>2006</v>
      </c>
      <c r="H1201" t="s">
        <v>21</v>
      </c>
      <c r="I1201" t="s">
        <v>115</v>
      </c>
      <c r="K1201">
        <v>8.8000000000000007</v>
      </c>
      <c r="L1201">
        <v>14496328</v>
      </c>
      <c r="M1201">
        <v>1745620</v>
      </c>
      <c r="N1201">
        <v>67</v>
      </c>
      <c r="O1201" t="s">
        <v>91</v>
      </c>
      <c r="P1201" t="s">
        <v>42</v>
      </c>
    </row>
    <row r="1202" spans="1:16" x14ac:dyDescent="0.35">
      <c r="A1202" t="s">
        <v>2556</v>
      </c>
      <c r="B1202" t="s">
        <v>2557</v>
      </c>
      <c r="C1202" t="s">
        <v>53</v>
      </c>
      <c r="D1202" t="s">
        <v>54</v>
      </c>
      <c r="E1202" t="s">
        <v>69</v>
      </c>
      <c r="F1202" s="1">
        <v>44899</v>
      </c>
      <c r="G1202">
        <v>2025</v>
      </c>
      <c r="H1202" t="s">
        <v>38</v>
      </c>
      <c r="I1202" t="s">
        <v>64</v>
      </c>
      <c r="J1202" t="s">
        <v>30</v>
      </c>
      <c r="K1202">
        <v>4.8</v>
      </c>
      <c r="L1202">
        <v>17935598</v>
      </c>
      <c r="M1202">
        <v>2908646</v>
      </c>
      <c r="N1202">
        <v>56</v>
      </c>
      <c r="O1202" t="s">
        <v>104</v>
      </c>
      <c r="P1202" t="s">
        <v>32</v>
      </c>
    </row>
    <row r="1203" spans="1:16" x14ac:dyDescent="0.35">
      <c r="A1203" t="s">
        <v>2558</v>
      </c>
      <c r="B1203" t="s">
        <v>2559</v>
      </c>
      <c r="C1203" t="s">
        <v>35</v>
      </c>
      <c r="D1203" t="s">
        <v>75</v>
      </c>
      <c r="E1203" t="s">
        <v>99</v>
      </c>
      <c r="F1203" s="1">
        <v>45150</v>
      </c>
      <c r="G1203">
        <v>2004</v>
      </c>
      <c r="H1203" t="s">
        <v>81</v>
      </c>
      <c r="I1203" t="s">
        <v>39</v>
      </c>
      <c r="J1203" t="s">
        <v>153</v>
      </c>
      <c r="K1203">
        <v>8.3000000000000007</v>
      </c>
      <c r="L1203">
        <v>6294321</v>
      </c>
      <c r="M1203">
        <v>58443</v>
      </c>
      <c r="N1203">
        <v>73</v>
      </c>
      <c r="O1203" t="s">
        <v>58</v>
      </c>
      <c r="P1203" t="s">
        <v>87</v>
      </c>
    </row>
    <row r="1204" spans="1:16" x14ac:dyDescent="0.35">
      <c r="A1204" t="s">
        <v>2560</v>
      </c>
      <c r="B1204" t="s">
        <v>2561</v>
      </c>
      <c r="C1204" t="s">
        <v>84</v>
      </c>
      <c r="D1204" t="s">
        <v>19</v>
      </c>
      <c r="E1204" t="s">
        <v>45</v>
      </c>
      <c r="F1204" s="1">
        <v>46081</v>
      </c>
      <c r="G1204">
        <v>2013</v>
      </c>
      <c r="H1204" t="s">
        <v>46</v>
      </c>
      <c r="I1204" t="s">
        <v>312</v>
      </c>
      <c r="J1204" t="s">
        <v>133</v>
      </c>
      <c r="K1204">
        <v>6.4</v>
      </c>
      <c r="L1204">
        <v>15858960</v>
      </c>
      <c r="M1204">
        <v>1589515</v>
      </c>
      <c r="N1204">
        <v>94</v>
      </c>
      <c r="O1204" t="s">
        <v>104</v>
      </c>
      <c r="P1204" t="s">
        <v>50</v>
      </c>
    </row>
    <row r="1205" spans="1:16" x14ac:dyDescent="0.35">
      <c r="A1205" t="s">
        <v>2562</v>
      </c>
      <c r="B1205" t="s">
        <v>2563</v>
      </c>
      <c r="C1205" t="s">
        <v>35</v>
      </c>
      <c r="D1205" t="s">
        <v>156</v>
      </c>
      <c r="E1205" t="s">
        <v>55</v>
      </c>
      <c r="F1205" s="1">
        <v>44568</v>
      </c>
      <c r="G1205">
        <v>2016</v>
      </c>
      <c r="H1205" t="s">
        <v>121</v>
      </c>
      <c r="I1205" t="s">
        <v>162</v>
      </c>
      <c r="J1205" t="s">
        <v>40</v>
      </c>
      <c r="K1205">
        <v>9.1</v>
      </c>
      <c r="L1205">
        <v>7859155</v>
      </c>
      <c r="M1205">
        <v>1060246</v>
      </c>
      <c r="N1205">
        <v>72</v>
      </c>
      <c r="O1205" t="s">
        <v>31</v>
      </c>
      <c r="P1205" t="s">
        <v>87</v>
      </c>
    </row>
    <row r="1206" spans="1:16" x14ac:dyDescent="0.35">
      <c r="A1206" t="s">
        <v>2564</v>
      </c>
      <c r="B1206" t="s">
        <v>2565</v>
      </c>
      <c r="C1206" t="s">
        <v>53</v>
      </c>
      <c r="D1206" t="s">
        <v>94</v>
      </c>
      <c r="E1206" t="s">
        <v>62</v>
      </c>
      <c r="F1206" s="1">
        <v>44383</v>
      </c>
      <c r="G1206">
        <v>2007</v>
      </c>
      <c r="I1206" t="s">
        <v>71</v>
      </c>
      <c r="J1206" t="s">
        <v>30</v>
      </c>
      <c r="K1206">
        <v>6.9</v>
      </c>
      <c r="L1206">
        <v>18224880</v>
      </c>
      <c r="M1206">
        <v>1429279</v>
      </c>
      <c r="N1206">
        <v>95</v>
      </c>
      <c r="O1206" t="s">
        <v>65</v>
      </c>
      <c r="P1206" t="s">
        <v>50</v>
      </c>
    </row>
    <row r="1207" spans="1:16" x14ac:dyDescent="0.35">
      <c r="A1207" t="s">
        <v>2566</v>
      </c>
      <c r="B1207" t="s">
        <v>2567</v>
      </c>
      <c r="C1207" t="s">
        <v>18</v>
      </c>
      <c r="D1207" t="s">
        <v>27</v>
      </c>
      <c r="E1207" t="s">
        <v>45</v>
      </c>
      <c r="F1207" s="1">
        <v>43819</v>
      </c>
      <c r="G1207">
        <v>2015</v>
      </c>
      <c r="H1207" t="s">
        <v>63</v>
      </c>
      <c r="I1207" t="s">
        <v>696</v>
      </c>
      <c r="J1207" t="s">
        <v>76</v>
      </c>
      <c r="K1207">
        <v>5.9</v>
      </c>
      <c r="L1207">
        <v>16479978</v>
      </c>
      <c r="M1207">
        <v>3697840</v>
      </c>
      <c r="N1207">
        <v>95</v>
      </c>
      <c r="O1207" t="s">
        <v>104</v>
      </c>
      <c r="P1207" t="s">
        <v>32</v>
      </c>
    </row>
    <row r="1208" spans="1:16" x14ac:dyDescent="0.35">
      <c r="A1208" t="s">
        <v>2568</v>
      </c>
      <c r="B1208" t="s">
        <v>2569</v>
      </c>
      <c r="C1208" t="s">
        <v>53</v>
      </c>
      <c r="E1208" t="s">
        <v>69</v>
      </c>
      <c r="F1208" s="1">
        <v>44595</v>
      </c>
      <c r="G1208">
        <v>2001</v>
      </c>
      <c r="H1208" t="s">
        <v>63</v>
      </c>
      <c r="I1208" t="s">
        <v>162</v>
      </c>
      <c r="K1208">
        <v>6.5</v>
      </c>
      <c r="L1208">
        <v>2106023</v>
      </c>
      <c r="M1208">
        <v>2933811</v>
      </c>
      <c r="N1208">
        <v>92</v>
      </c>
      <c r="O1208" t="s">
        <v>58</v>
      </c>
    </row>
    <row r="1209" spans="1:16" x14ac:dyDescent="0.35">
      <c r="A1209" t="s">
        <v>2570</v>
      </c>
      <c r="B1209" t="s">
        <v>2571</v>
      </c>
      <c r="C1209" t="s">
        <v>79</v>
      </c>
      <c r="D1209" t="s">
        <v>94</v>
      </c>
      <c r="E1209" t="s">
        <v>20</v>
      </c>
      <c r="F1209" s="1">
        <v>44198</v>
      </c>
      <c r="G1209">
        <v>2026</v>
      </c>
      <c r="H1209" t="s">
        <v>21</v>
      </c>
      <c r="I1209" t="s">
        <v>958</v>
      </c>
      <c r="J1209" t="s">
        <v>30</v>
      </c>
      <c r="K1209">
        <v>8.6999999999999993</v>
      </c>
      <c r="L1209">
        <v>18319839</v>
      </c>
      <c r="M1209">
        <v>878007</v>
      </c>
      <c r="N1209">
        <v>47</v>
      </c>
      <c r="O1209" t="s">
        <v>91</v>
      </c>
      <c r="P1209" t="s">
        <v>87</v>
      </c>
    </row>
    <row r="1210" spans="1:16" x14ac:dyDescent="0.35">
      <c r="A1210" t="s">
        <v>2572</v>
      </c>
      <c r="B1210" t="s">
        <v>2573</v>
      </c>
      <c r="C1210" t="s">
        <v>79</v>
      </c>
      <c r="D1210" t="s">
        <v>27</v>
      </c>
      <c r="E1210" t="s">
        <v>45</v>
      </c>
      <c r="F1210" s="1">
        <v>45609</v>
      </c>
      <c r="G1210">
        <v>2020</v>
      </c>
      <c r="H1210" t="s">
        <v>63</v>
      </c>
      <c r="I1210" t="s">
        <v>1975</v>
      </c>
      <c r="J1210" t="s">
        <v>72</v>
      </c>
      <c r="K1210">
        <v>6.4</v>
      </c>
      <c r="L1210">
        <v>5093202</v>
      </c>
      <c r="M1210">
        <v>2189471</v>
      </c>
      <c r="N1210">
        <v>83</v>
      </c>
      <c r="O1210" t="s">
        <v>58</v>
      </c>
    </row>
    <row r="1211" spans="1:16" x14ac:dyDescent="0.35">
      <c r="A1211" t="s">
        <v>2574</v>
      </c>
      <c r="B1211" t="s">
        <v>2573</v>
      </c>
      <c r="C1211" t="s">
        <v>84</v>
      </c>
      <c r="D1211" t="s">
        <v>90</v>
      </c>
      <c r="E1211" t="s">
        <v>165</v>
      </c>
      <c r="F1211" s="1">
        <v>43127</v>
      </c>
      <c r="G1211">
        <v>2011</v>
      </c>
      <c r="H1211" t="s">
        <v>114</v>
      </c>
      <c r="I1211" t="s">
        <v>108</v>
      </c>
      <c r="J1211" t="s">
        <v>72</v>
      </c>
      <c r="K1211">
        <v>5.0999999999999996</v>
      </c>
      <c r="L1211">
        <v>14487895</v>
      </c>
      <c r="M1211">
        <v>4883164</v>
      </c>
      <c r="N1211">
        <v>40</v>
      </c>
      <c r="P1211" t="s">
        <v>87</v>
      </c>
    </row>
    <row r="1212" spans="1:16" x14ac:dyDescent="0.35">
      <c r="A1212" t="s">
        <v>2575</v>
      </c>
      <c r="B1212" t="s">
        <v>2576</v>
      </c>
      <c r="C1212" t="s">
        <v>53</v>
      </c>
      <c r="D1212" t="s">
        <v>61</v>
      </c>
      <c r="E1212" t="s">
        <v>37</v>
      </c>
      <c r="F1212" s="1">
        <v>43161</v>
      </c>
      <c r="G1212">
        <v>2019</v>
      </c>
      <c r="H1212" t="s">
        <v>21</v>
      </c>
      <c r="I1212" t="s">
        <v>136</v>
      </c>
      <c r="J1212" t="s">
        <v>57</v>
      </c>
      <c r="K1212">
        <v>8.1999999999999993</v>
      </c>
      <c r="L1212">
        <v>4725895</v>
      </c>
      <c r="M1212">
        <v>1043705</v>
      </c>
      <c r="N1212">
        <v>87</v>
      </c>
      <c r="O1212" t="s">
        <v>31</v>
      </c>
    </row>
    <row r="1213" spans="1:16" x14ac:dyDescent="0.35">
      <c r="A1213" t="s">
        <v>2577</v>
      </c>
      <c r="B1213" t="s">
        <v>2578</v>
      </c>
      <c r="E1213" t="s">
        <v>99</v>
      </c>
      <c r="F1213" s="1">
        <v>42214</v>
      </c>
      <c r="G1213">
        <v>2018</v>
      </c>
      <c r="H1213" t="s">
        <v>21</v>
      </c>
      <c r="I1213" t="s">
        <v>136</v>
      </c>
      <c r="J1213" t="s">
        <v>23</v>
      </c>
      <c r="K1213">
        <v>6.6</v>
      </c>
      <c r="L1213">
        <v>17578256</v>
      </c>
      <c r="M1213">
        <v>1871950</v>
      </c>
      <c r="N1213">
        <v>75</v>
      </c>
    </row>
    <row r="1214" spans="1:16" x14ac:dyDescent="0.35">
      <c r="A1214" t="s">
        <v>2579</v>
      </c>
      <c r="B1214" t="s">
        <v>2580</v>
      </c>
      <c r="C1214" t="s">
        <v>53</v>
      </c>
      <c r="D1214" t="s">
        <v>68</v>
      </c>
      <c r="E1214" t="s">
        <v>45</v>
      </c>
      <c r="F1214" s="1">
        <v>43774</v>
      </c>
      <c r="G1214">
        <v>2010</v>
      </c>
      <c r="H1214" t="s">
        <v>81</v>
      </c>
      <c r="I1214" t="s">
        <v>95</v>
      </c>
      <c r="J1214" t="s">
        <v>23</v>
      </c>
      <c r="K1214">
        <v>4.8</v>
      </c>
      <c r="L1214">
        <v>22598783</v>
      </c>
      <c r="M1214">
        <v>4785079</v>
      </c>
      <c r="N1214">
        <v>72</v>
      </c>
      <c r="O1214" t="s">
        <v>24</v>
      </c>
      <c r="P1214" t="s">
        <v>87</v>
      </c>
    </row>
    <row r="1215" spans="1:16" x14ac:dyDescent="0.35">
      <c r="A1215" t="s">
        <v>2581</v>
      </c>
      <c r="B1215" t="s">
        <v>2582</v>
      </c>
      <c r="C1215" t="s">
        <v>35</v>
      </c>
      <c r="D1215" t="s">
        <v>27</v>
      </c>
      <c r="E1215" t="s">
        <v>62</v>
      </c>
      <c r="F1215" s="1">
        <v>44039</v>
      </c>
      <c r="G1215">
        <v>2012</v>
      </c>
      <c r="H1215" t="s">
        <v>38</v>
      </c>
      <c r="J1215" t="s">
        <v>57</v>
      </c>
      <c r="K1215">
        <v>6.3</v>
      </c>
      <c r="L1215">
        <v>17175828</v>
      </c>
      <c r="M1215">
        <v>327896</v>
      </c>
      <c r="N1215">
        <v>78</v>
      </c>
      <c r="O1215" t="s">
        <v>49</v>
      </c>
      <c r="P1215" t="s">
        <v>87</v>
      </c>
    </row>
    <row r="1216" spans="1:16" x14ac:dyDescent="0.35">
      <c r="A1216" t="s">
        <v>2583</v>
      </c>
      <c r="B1216" t="s">
        <v>2584</v>
      </c>
      <c r="C1216" t="s">
        <v>79</v>
      </c>
      <c r="D1216" t="s">
        <v>36</v>
      </c>
      <c r="E1216" t="s">
        <v>37</v>
      </c>
      <c r="F1216" s="1">
        <v>45804</v>
      </c>
      <c r="G1216">
        <v>2004</v>
      </c>
      <c r="H1216" t="s">
        <v>63</v>
      </c>
      <c r="I1216" t="s">
        <v>1225</v>
      </c>
      <c r="J1216" t="s">
        <v>76</v>
      </c>
      <c r="K1216">
        <v>9.6</v>
      </c>
      <c r="L1216">
        <v>2757451</v>
      </c>
      <c r="M1216">
        <v>179013</v>
      </c>
      <c r="N1216">
        <v>97</v>
      </c>
      <c r="O1216" t="s">
        <v>123</v>
      </c>
      <c r="P1216" t="s">
        <v>32</v>
      </c>
    </row>
    <row r="1217" spans="1:16" x14ac:dyDescent="0.35">
      <c r="A1217" t="s">
        <v>2585</v>
      </c>
      <c r="B1217" t="s">
        <v>2586</v>
      </c>
      <c r="C1217" t="s">
        <v>79</v>
      </c>
      <c r="D1217" t="s">
        <v>61</v>
      </c>
      <c r="E1217" t="s">
        <v>113</v>
      </c>
      <c r="F1217" s="1">
        <v>42120</v>
      </c>
      <c r="G1217">
        <v>2003</v>
      </c>
      <c r="H1217" t="s">
        <v>38</v>
      </c>
      <c r="I1217" t="s">
        <v>211</v>
      </c>
      <c r="J1217" t="s">
        <v>57</v>
      </c>
      <c r="K1217">
        <v>11.2</v>
      </c>
      <c r="L1217">
        <v>1517249</v>
      </c>
      <c r="M1217">
        <v>2615199</v>
      </c>
      <c r="N1217">
        <v>64</v>
      </c>
      <c r="O1217" t="s">
        <v>24</v>
      </c>
    </row>
    <row r="1218" spans="1:16" x14ac:dyDescent="0.35">
      <c r="A1218" t="s">
        <v>2587</v>
      </c>
      <c r="B1218" t="s">
        <v>2588</v>
      </c>
      <c r="D1218" t="s">
        <v>36</v>
      </c>
      <c r="E1218" t="s">
        <v>99</v>
      </c>
      <c r="F1218" s="1">
        <v>43052</v>
      </c>
      <c r="G1218">
        <v>2025</v>
      </c>
      <c r="H1218" t="s">
        <v>38</v>
      </c>
      <c r="I1218" t="s">
        <v>162</v>
      </c>
      <c r="J1218" t="s">
        <v>133</v>
      </c>
      <c r="K1218">
        <v>8.4</v>
      </c>
      <c r="L1218">
        <v>13463435</v>
      </c>
      <c r="M1218">
        <v>1171029</v>
      </c>
      <c r="N1218">
        <v>91</v>
      </c>
      <c r="O1218" t="s">
        <v>41</v>
      </c>
      <c r="P1218" t="s">
        <v>32</v>
      </c>
    </row>
    <row r="1219" spans="1:16" x14ac:dyDescent="0.35">
      <c r="A1219" t="s">
        <v>2589</v>
      </c>
      <c r="B1219" t="s">
        <v>2590</v>
      </c>
      <c r="C1219" t="s">
        <v>18</v>
      </c>
      <c r="D1219" t="s">
        <v>61</v>
      </c>
      <c r="E1219" t="s">
        <v>69</v>
      </c>
      <c r="F1219" s="1">
        <v>42796</v>
      </c>
      <c r="G1219">
        <v>2025</v>
      </c>
      <c r="H1219" t="s">
        <v>21</v>
      </c>
      <c r="I1219" t="s">
        <v>517</v>
      </c>
      <c r="J1219" t="s">
        <v>76</v>
      </c>
      <c r="K1219">
        <v>7.1</v>
      </c>
      <c r="L1219">
        <v>10200597</v>
      </c>
      <c r="M1219">
        <v>348168</v>
      </c>
      <c r="N1219">
        <v>62</v>
      </c>
      <c r="O1219" t="s">
        <v>123</v>
      </c>
    </row>
    <row r="1220" spans="1:16" x14ac:dyDescent="0.35">
      <c r="A1220" t="s">
        <v>2591</v>
      </c>
      <c r="B1220" t="s">
        <v>2592</v>
      </c>
      <c r="C1220" t="s">
        <v>53</v>
      </c>
      <c r="D1220" t="s">
        <v>94</v>
      </c>
      <c r="E1220" t="s">
        <v>55</v>
      </c>
      <c r="G1220">
        <v>2009</v>
      </c>
      <c r="H1220" t="s">
        <v>81</v>
      </c>
      <c r="I1220" t="s">
        <v>56</v>
      </c>
      <c r="J1220" t="s">
        <v>96</v>
      </c>
      <c r="K1220">
        <v>6.2</v>
      </c>
      <c r="L1220">
        <v>4480419</v>
      </c>
      <c r="M1220">
        <v>4092071</v>
      </c>
      <c r="N1220">
        <v>79</v>
      </c>
      <c r="O1220" t="s">
        <v>58</v>
      </c>
      <c r="P1220" t="s">
        <v>42</v>
      </c>
    </row>
    <row r="1221" spans="1:16" x14ac:dyDescent="0.35">
      <c r="A1221" t="s">
        <v>2593</v>
      </c>
      <c r="B1221" t="s">
        <v>2594</v>
      </c>
      <c r="C1221" t="s">
        <v>79</v>
      </c>
      <c r="D1221" t="s">
        <v>61</v>
      </c>
      <c r="E1221" t="s">
        <v>62</v>
      </c>
      <c r="F1221" s="1">
        <v>43489</v>
      </c>
      <c r="G1221">
        <v>2005</v>
      </c>
      <c r="H1221" t="s">
        <v>46</v>
      </c>
      <c r="I1221" t="s">
        <v>661</v>
      </c>
      <c r="J1221" t="s">
        <v>57</v>
      </c>
      <c r="K1221">
        <v>5.6</v>
      </c>
      <c r="L1221">
        <v>15839477</v>
      </c>
      <c r="M1221">
        <v>2548400</v>
      </c>
      <c r="N1221">
        <v>77</v>
      </c>
      <c r="O1221" t="s">
        <v>49</v>
      </c>
      <c r="P1221" t="s">
        <v>42</v>
      </c>
    </row>
    <row r="1222" spans="1:16" x14ac:dyDescent="0.35">
      <c r="A1222" t="s">
        <v>2595</v>
      </c>
      <c r="B1222" t="s">
        <v>2596</v>
      </c>
      <c r="D1222" t="s">
        <v>90</v>
      </c>
      <c r="E1222" t="s">
        <v>62</v>
      </c>
      <c r="F1222" s="1">
        <v>43009</v>
      </c>
      <c r="G1222">
        <v>2008</v>
      </c>
      <c r="H1222" t="s">
        <v>70</v>
      </c>
      <c r="I1222" t="s">
        <v>162</v>
      </c>
      <c r="J1222" t="s">
        <v>100</v>
      </c>
      <c r="K1222">
        <v>11.2</v>
      </c>
      <c r="L1222">
        <v>19141779</v>
      </c>
      <c r="M1222">
        <v>3579862</v>
      </c>
      <c r="N1222">
        <v>87</v>
      </c>
      <c r="P1222" t="s">
        <v>42</v>
      </c>
    </row>
    <row r="1223" spans="1:16" x14ac:dyDescent="0.35">
      <c r="A1223" t="s">
        <v>2597</v>
      </c>
      <c r="B1223" t="s">
        <v>2598</v>
      </c>
      <c r="C1223" t="s">
        <v>79</v>
      </c>
      <c r="D1223" t="s">
        <v>54</v>
      </c>
      <c r="E1223" t="s">
        <v>37</v>
      </c>
      <c r="F1223" s="1">
        <v>45018</v>
      </c>
      <c r="G1223">
        <v>2008</v>
      </c>
      <c r="H1223" t="s">
        <v>63</v>
      </c>
      <c r="I1223" t="s">
        <v>373</v>
      </c>
      <c r="J1223" t="s">
        <v>23</v>
      </c>
      <c r="K1223">
        <v>5.6</v>
      </c>
      <c r="L1223">
        <v>2528775</v>
      </c>
      <c r="M1223">
        <v>1171825</v>
      </c>
      <c r="N1223">
        <v>91</v>
      </c>
      <c r="O1223" t="s">
        <v>41</v>
      </c>
      <c r="P1223" t="s">
        <v>87</v>
      </c>
    </row>
    <row r="1224" spans="1:16" x14ac:dyDescent="0.35">
      <c r="A1224" t="s">
        <v>2599</v>
      </c>
      <c r="B1224" t="s">
        <v>2600</v>
      </c>
      <c r="C1224" t="s">
        <v>84</v>
      </c>
      <c r="D1224" t="s">
        <v>94</v>
      </c>
      <c r="E1224" t="s">
        <v>45</v>
      </c>
      <c r="F1224" s="1">
        <v>43325</v>
      </c>
      <c r="G1224">
        <v>2008</v>
      </c>
      <c r="H1224" t="s">
        <v>46</v>
      </c>
      <c r="I1224" t="s">
        <v>1751</v>
      </c>
      <c r="J1224" t="s">
        <v>23</v>
      </c>
      <c r="K1224">
        <v>6.7</v>
      </c>
      <c r="L1224">
        <v>8865465</v>
      </c>
      <c r="M1224">
        <v>3117317</v>
      </c>
      <c r="N1224">
        <v>95</v>
      </c>
      <c r="O1224" t="s">
        <v>41</v>
      </c>
      <c r="P1224" t="s">
        <v>87</v>
      </c>
    </row>
    <row r="1225" spans="1:16" x14ac:dyDescent="0.35">
      <c r="A1225" t="s">
        <v>2601</v>
      </c>
      <c r="B1225" t="s">
        <v>2602</v>
      </c>
      <c r="C1225" t="s">
        <v>79</v>
      </c>
      <c r="D1225" t="s">
        <v>54</v>
      </c>
      <c r="E1225" t="s">
        <v>80</v>
      </c>
      <c r="F1225" s="1">
        <v>45740</v>
      </c>
      <c r="G1225">
        <v>2006</v>
      </c>
      <c r="H1225" t="s">
        <v>38</v>
      </c>
      <c r="I1225" t="s">
        <v>987</v>
      </c>
      <c r="J1225" t="s">
        <v>96</v>
      </c>
      <c r="K1225">
        <v>5.2</v>
      </c>
      <c r="L1225">
        <v>20823445</v>
      </c>
      <c r="M1225">
        <v>2237383</v>
      </c>
      <c r="N1225">
        <v>56</v>
      </c>
      <c r="O1225" t="s">
        <v>58</v>
      </c>
      <c r="P1225" t="s">
        <v>87</v>
      </c>
    </row>
    <row r="1226" spans="1:16" x14ac:dyDescent="0.35">
      <c r="A1226" t="s">
        <v>2603</v>
      </c>
      <c r="B1226" t="s">
        <v>2604</v>
      </c>
      <c r="C1226" t="s">
        <v>79</v>
      </c>
      <c r="D1226" t="s">
        <v>19</v>
      </c>
      <c r="E1226" t="s">
        <v>165</v>
      </c>
      <c r="F1226" s="1">
        <v>45048</v>
      </c>
      <c r="G1226">
        <v>2004</v>
      </c>
      <c r="H1226" t="s">
        <v>85</v>
      </c>
      <c r="I1226" t="s">
        <v>571</v>
      </c>
      <c r="J1226" t="s">
        <v>96</v>
      </c>
      <c r="K1226">
        <v>8.6999999999999993</v>
      </c>
      <c r="L1226">
        <v>17984171</v>
      </c>
      <c r="M1226">
        <v>4226713</v>
      </c>
      <c r="N1226">
        <v>89</v>
      </c>
      <c r="O1226" t="s">
        <v>49</v>
      </c>
    </row>
    <row r="1227" spans="1:16" x14ac:dyDescent="0.35">
      <c r="A1227" t="s">
        <v>2605</v>
      </c>
      <c r="B1227" t="s">
        <v>2606</v>
      </c>
      <c r="C1227" t="s">
        <v>18</v>
      </c>
      <c r="D1227" t="s">
        <v>68</v>
      </c>
      <c r="F1227" s="1">
        <v>43801</v>
      </c>
      <c r="G1227">
        <v>2019</v>
      </c>
      <c r="H1227" t="s">
        <v>70</v>
      </c>
      <c r="I1227" t="s">
        <v>179</v>
      </c>
      <c r="J1227" t="s">
        <v>153</v>
      </c>
      <c r="K1227">
        <v>6.9</v>
      </c>
      <c r="L1227">
        <v>771392</v>
      </c>
      <c r="M1227">
        <v>1855968</v>
      </c>
      <c r="N1227">
        <v>76</v>
      </c>
      <c r="O1227" t="s">
        <v>58</v>
      </c>
      <c r="P1227" t="s">
        <v>50</v>
      </c>
    </row>
    <row r="1228" spans="1:16" x14ac:dyDescent="0.35">
      <c r="A1228" t="s">
        <v>2607</v>
      </c>
      <c r="B1228" t="s">
        <v>2608</v>
      </c>
      <c r="C1228" t="s">
        <v>79</v>
      </c>
      <c r="D1228" t="s">
        <v>19</v>
      </c>
      <c r="E1228" t="s">
        <v>113</v>
      </c>
      <c r="F1228" s="1">
        <v>42629</v>
      </c>
      <c r="G1228">
        <v>2019</v>
      </c>
      <c r="H1228" t="s">
        <v>38</v>
      </c>
      <c r="I1228" t="s">
        <v>420</v>
      </c>
      <c r="K1228">
        <v>7.6</v>
      </c>
      <c r="L1228">
        <v>19666986</v>
      </c>
      <c r="M1228">
        <v>4853686</v>
      </c>
      <c r="N1228">
        <v>120</v>
      </c>
      <c r="O1228" t="s">
        <v>24</v>
      </c>
    </row>
    <row r="1229" spans="1:16" x14ac:dyDescent="0.35">
      <c r="A1229" t="s">
        <v>2609</v>
      </c>
      <c r="B1229" t="s">
        <v>2610</v>
      </c>
      <c r="D1229" t="s">
        <v>156</v>
      </c>
      <c r="E1229" t="s">
        <v>55</v>
      </c>
      <c r="F1229" s="1">
        <v>43321</v>
      </c>
      <c r="G1229">
        <v>2015</v>
      </c>
      <c r="I1229" t="s">
        <v>39</v>
      </c>
      <c r="J1229" t="s">
        <v>96</v>
      </c>
      <c r="K1229">
        <v>5.6</v>
      </c>
      <c r="L1229">
        <v>22045648</v>
      </c>
      <c r="M1229">
        <v>3032905</v>
      </c>
      <c r="N1229">
        <v>58</v>
      </c>
      <c r="O1229" t="s">
        <v>123</v>
      </c>
      <c r="P1229" t="s">
        <v>32</v>
      </c>
    </row>
    <row r="1230" spans="1:16" x14ac:dyDescent="0.35">
      <c r="A1230" t="s">
        <v>2611</v>
      </c>
      <c r="B1230" t="s">
        <v>2612</v>
      </c>
      <c r="C1230" t="s">
        <v>35</v>
      </c>
      <c r="D1230" t="s">
        <v>68</v>
      </c>
      <c r="E1230" t="s">
        <v>165</v>
      </c>
      <c r="F1230" s="1">
        <v>42890</v>
      </c>
      <c r="G1230">
        <v>2023</v>
      </c>
      <c r="H1230" t="s">
        <v>107</v>
      </c>
      <c r="I1230" t="s">
        <v>162</v>
      </c>
      <c r="J1230" t="s">
        <v>48</v>
      </c>
      <c r="K1230">
        <v>7.9</v>
      </c>
      <c r="L1230">
        <v>21326993</v>
      </c>
      <c r="M1230">
        <v>2072578</v>
      </c>
      <c r="N1230">
        <v>43</v>
      </c>
      <c r="O1230" t="s">
        <v>49</v>
      </c>
      <c r="P1230" t="s">
        <v>50</v>
      </c>
    </row>
    <row r="1231" spans="1:16" x14ac:dyDescent="0.35">
      <c r="A1231" t="s">
        <v>2613</v>
      </c>
      <c r="B1231" t="s">
        <v>2614</v>
      </c>
      <c r="C1231" t="s">
        <v>18</v>
      </c>
      <c r="E1231" t="s">
        <v>20</v>
      </c>
      <c r="F1231" s="1">
        <v>45033</v>
      </c>
      <c r="G1231">
        <v>2015</v>
      </c>
      <c r="H1231" t="s">
        <v>114</v>
      </c>
      <c r="I1231" t="s">
        <v>788</v>
      </c>
      <c r="J1231" t="s">
        <v>100</v>
      </c>
      <c r="K1231">
        <v>5.9</v>
      </c>
      <c r="L1231">
        <v>11663416</v>
      </c>
      <c r="M1231">
        <v>60505</v>
      </c>
      <c r="N1231">
        <v>89</v>
      </c>
      <c r="O1231" t="s">
        <v>65</v>
      </c>
      <c r="P1231" t="s">
        <v>42</v>
      </c>
    </row>
    <row r="1232" spans="1:16" x14ac:dyDescent="0.35">
      <c r="A1232" t="s">
        <v>2615</v>
      </c>
      <c r="B1232" t="s">
        <v>2616</v>
      </c>
      <c r="C1232" t="s">
        <v>35</v>
      </c>
      <c r="D1232" t="s">
        <v>61</v>
      </c>
      <c r="E1232" t="s">
        <v>45</v>
      </c>
      <c r="F1232" s="1">
        <v>42780</v>
      </c>
      <c r="G1232">
        <v>2014</v>
      </c>
      <c r="H1232" t="s">
        <v>85</v>
      </c>
      <c r="I1232" t="s">
        <v>64</v>
      </c>
      <c r="J1232" t="s">
        <v>133</v>
      </c>
      <c r="K1232">
        <v>7.5</v>
      </c>
      <c r="L1232">
        <v>17734392</v>
      </c>
      <c r="M1232">
        <v>4450253</v>
      </c>
      <c r="N1232">
        <v>43</v>
      </c>
      <c r="O1232" t="s">
        <v>24</v>
      </c>
      <c r="P1232" t="s">
        <v>32</v>
      </c>
    </row>
    <row r="1233" spans="1:16" x14ac:dyDescent="0.35">
      <c r="A1233" t="s">
        <v>2617</v>
      </c>
      <c r="B1233" t="s">
        <v>2618</v>
      </c>
      <c r="C1233" t="s">
        <v>84</v>
      </c>
      <c r="D1233" t="s">
        <v>19</v>
      </c>
      <c r="E1233" t="s">
        <v>28</v>
      </c>
      <c r="F1233" s="1">
        <v>42480</v>
      </c>
      <c r="G1233">
        <v>2018</v>
      </c>
      <c r="H1233" t="s">
        <v>70</v>
      </c>
      <c r="I1233" t="s">
        <v>236</v>
      </c>
      <c r="J1233" t="s">
        <v>72</v>
      </c>
      <c r="K1233">
        <v>8.8000000000000007</v>
      </c>
      <c r="L1233">
        <v>13448255</v>
      </c>
      <c r="M1233">
        <v>1487973</v>
      </c>
      <c r="N1233">
        <v>82</v>
      </c>
      <c r="O1233" t="s">
        <v>31</v>
      </c>
    </row>
    <row r="1234" spans="1:16" x14ac:dyDescent="0.35">
      <c r="A1234" t="s">
        <v>2619</v>
      </c>
      <c r="B1234" t="s">
        <v>2620</v>
      </c>
      <c r="C1234" t="s">
        <v>18</v>
      </c>
      <c r="D1234" t="s">
        <v>94</v>
      </c>
      <c r="E1234" t="s">
        <v>131</v>
      </c>
      <c r="F1234" s="1">
        <v>45348</v>
      </c>
      <c r="G1234">
        <v>2018</v>
      </c>
      <c r="H1234" t="s">
        <v>46</v>
      </c>
      <c r="I1234" t="s">
        <v>320</v>
      </c>
      <c r="J1234" t="s">
        <v>72</v>
      </c>
      <c r="K1234">
        <v>6.9</v>
      </c>
      <c r="L1234">
        <v>20660402</v>
      </c>
      <c r="M1234">
        <v>466064</v>
      </c>
      <c r="N1234">
        <v>98</v>
      </c>
      <c r="O1234" t="s">
        <v>41</v>
      </c>
      <c r="P1234" t="s">
        <v>50</v>
      </c>
    </row>
    <row r="1235" spans="1:16" x14ac:dyDescent="0.35">
      <c r="A1235" t="s">
        <v>2621</v>
      </c>
      <c r="B1235" t="s">
        <v>2622</v>
      </c>
      <c r="D1235" t="s">
        <v>94</v>
      </c>
      <c r="E1235" t="s">
        <v>131</v>
      </c>
      <c r="F1235" s="1">
        <v>42201</v>
      </c>
      <c r="G1235">
        <v>2022</v>
      </c>
      <c r="H1235" t="s">
        <v>38</v>
      </c>
      <c r="I1235" t="s">
        <v>64</v>
      </c>
      <c r="J1235" t="s">
        <v>133</v>
      </c>
      <c r="K1235">
        <v>7.2</v>
      </c>
      <c r="L1235">
        <v>9150001</v>
      </c>
      <c r="M1235">
        <v>1012717</v>
      </c>
      <c r="N1235">
        <v>56</v>
      </c>
      <c r="O1235" t="s">
        <v>41</v>
      </c>
      <c r="P1235" t="s">
        <v>50</v>
      </c>
    </row>
    <row r="1236" spans="1:16" x14ac:dyDescent="0.35">
      <c r="A1236" t="s">
        <v>2623</v>
      </c>
      <c r="B1236" t="s">
        <v>2624</v>
      </c>
      <c r="D1236" t="s">
        <v>54</v>
      </c>
      <c r="E1236" t="s">
        <v>165</v>
      </c>
      <c r="F1236" s="1">
        <v>42988</v>
      </c>
      <c r="G1236">
        <v>2021</v>
      </c>
      <c r="H1236" t="s">
        <v>107</v>
      </c>
      <c r="I1236" t="s">
        <v>39</v>
      </c>
      <c r="J1236" t="s">
        <v>133</v>
      </c>
      <c r="K1236">
        <v>9.6</v>
      </c>
      <c r="L1236">
        <v>2517384</v>
      </c>
      <c r="M1236">
        <v>27703</v>
      </c>
      <c r="N1236">
        <v>61</v>
      </c>
      <c r="O1236" t="s">
        <v>41</v>
      </c>
      <c r="P1236" t="s">
        <v>87</v>
      </c>
    </row>
    <row r="1237" spans="1:16" x14ac:dyDescent="0.35">
      <c r="A1237" t="s">
        <v>2625</v>
      </c>
      <c r="B1237" t="s">
        <v>2626</v>
      </c>
      <c r="D1237" t="s">
        <v>36</v>
      </c>
      <c r="E1237" t="s">
        <v>37</v>
      </c>
      <c r="F1237" s="1">
        <v>43435</v>
      </c>
      <c r="G1237">
        <v>2007</v>
      </c>
      <c r="H1237" t="s">
        <v>70</v>
      </c>
      <c r="I1237" t="s">
        <v>118</v>
      </c>
      <c r="J1237" t="s">
        <v>153</v>
      </c>
      <c r="K1237">
        <v>6.3</v>
      </c>
      <c r="L1237">
        <v>18002887</v>
      </c>
      <c r="M1237">
        <v>440557</v>
      </c>
      <c r="N1237">
        <v>60</v>
      </c>
      <c r="O1237" t="s">
        <v>41</v>
      </c>
      <c r="P1237" t="s">
        <v>87</v>
      </c>
    </row>
    <row r="1238" spans="1:16" x14ac:dyDescent="0.35">
      <c r="A1238" t="s">
        <v>2627</v>
      </c>
      <c r="B1238" t="s">
        <v>2628</v>
      </c>
      <c r="C1238" t="s">
        <v>53</v>
      </c>
      <c r="D1238" t="s">
        <v>54</v>
      </c>
      <c r="E1238" t="s">
        <v>69</v>
      </c>
      <c r="F1238" s="1">
        <v>42534</v>
      </c>
      <c r="G1238">
        <v>2025</v>
      </c>
      <c r="H1238" t="s">
        <v>38</v>
      </c>
      <c r="I1238" t="s">
        <v>95</v>
      </c>
      <c r="J1238" t="s">
        <v>57</v>
      </c>
      <c r="K1238">
        <v>5.5</v>
      </c>
      <c r="L1238">
        <v>5949738</v>
      </c>
      <c r="M1238">
        <v>4761880</v>
      </c>
      <c r="N1238">
        <v>98</v>
      </c>
      <c r="O1238" t="s">
        <v>24</v>
      </c>
      <c r="P1238" t="s">
        <v>50</v>
      </c>
    </row>
    <row r="1239" spans="1:16" x14ac:dyDescent="0.35">
      <c r="A1239" t="s">
        <v>2629</v>
      </c>
      <c r="B1239" t="s">
        <v>2630</v>
      </c>
      <c r="C1239" t="s">
        <v>18</v>
      </c>
      <c r="D1239" t="s">
        <v>27</v>
      </c>
      <c r="E1239" t="s">
        <v>69</v>
      </c>
      <c r="F1239" s="1">
        <v>46066</v>
      </c>
      <c r="G1239">
        <v>2021</v>
      </c>
      <c r="H1239" t="s">
        <v>38</v>
      </c>
      <c r="I1239" t="s">
        <v>315</v>
      </c>
      <c r="J1239" t="s">
        <v>30</v>
      </c>
      <c r="K1239">
        <v>5.3</v>
      </c>
      <c r="L1239">
        <v>1928460</v>
      </c>
      <c r="M1239">
        <v>3980999</v>
      </c>
      <c r="N1239">
        <v>80</v>
      </c>
      <c r="O1239" t="s">
        <v>123</v>
      </c>
      <c r="P1239" t="s">
        <v>32</v>
      </c>
    </row>
    <row r="1240" spans="1:16" x14ac:dyDescent="0.35">
      <c r="A1240" t="s">
        <v>2631</v>
      </c>
      <c r="B1240" t="s">
        <v>2632</v>
      </c>
      <c r="C1240" t="s">
        <v>84</v>
      </c>
      <c r="D1240" t="s">
        <v>54</v>
      </c>
      <c r="E1240" t="s">
        <v>113</v>
      </c>
      <c r="F1240" s="1">
        <v>44031</v>
      </c>
      <c r="G1240">
        <v>2007</v>
      </c>
      <c r="H1240" t="s">
        <v>85</v>
      </c>
      <c r="I1240" t="s">
        <v>22</v>
      </c>
      <c r="K1240">
        <v>6</v>
      </c>
      <c r="L1240">
        <v>537850</v>
      </c>
      <c r="M1240">
        <v>2837389</v>
      </c>
      <c r="N1240">
        <v>76</v>
      </c>
      <c r="O1240" t="s">
        <v>123</v>
      </c>
      <c r="P1240" t="s">
        <v>42</v>
      </c>
    </row>
    <row r="1241" spans="1:16" x14ac:dyDescent="0.35">
      <c r="A1241" t="s">
        <v>2633</v>
      </c>
      <c r="B1241" t="s">
        <v>2634</v>
      </c>
      <c r="C1241" t="s">
        <v>35</v>
      </c>
      <c r="D1241" t="s">
        <v>75</v>
      </c>
      <c r="E1241" t="s">
        <v>80</v>
      </c>
      <c r="F1241" s="1">
        <v>43905</v>
      </c>
      <c r="G1241">
        <v>2021</v>
      </c>
      <c r="H1241" t="s">
        <v>63</v>
      </c>
      <c r="I1241" t="s">
        <v>39</v>
      </c>
      <c r="J1241" t="s">
        <v>133</v>
      </c>
      <c r="K1241">
        <v>6.9</v>
      </c>
      <c r="L1241">
        <v>1134494</v>
      </c>
      <c r="M1241">
        <v>2635919</v>
      </c>
      <c r="N1241">
        <v>50</v>
      </c>
      <c r="O1241" t="s">
        <v>41</v>
      </c>
      <c r="P1241" t="s">
        <v>42</v>
      </c>
    </row>
    <row r="1242" spans="1:16" x14ac:dyDescent="0.35">
      <c r="A1242" t="s">
        <v>2635</v>
      </c>
      <c r="B1242" t="s">
        <v>2636</v>
      </c>
      <c r="D1242" t="s">
        <v>94</v>
      </c>
      <c r="E1242" t="s">
        <v>62</v>
      </c>
      <c r="F1242" s="1">
        <v>45633</v>
      </c>
      <c r="G1242">
        <v>2014</v>
      </c>
      <c r="H1242" t="s">
        <v>114</v>
      </c>
      <c r="I1242" t="s">
        <v>71</v>
      </c>
      <c r="J1242" t="s">
        <v>76</v>
      </c>
      <c r="K1242">
        <v>9.4</v>
      </c>
      <c r="L1242">
        <v>8905275</v>
      </c>
      <c r="M1242">
        <v>3450149</v>
      </c>
      <c r="N1242">
        <v>61</v>
      </c>
      <c r="O1242" t="s">
        <v>65</v>
      </c>
      <c r="P1242" t="s">
        <v>32</v>
      </c>
    </row>
    <row r="1243" spans="1:16" x14ac:dyDescent="0.35">
      <c r="A1243" t="s">
        <v>2637</v>
      </c>
      <c r="B1243" t="s">
        <v>2638</v>
      </c>
      <c r="C1243" t="s">
        <v>35</v>
      </c>
      <c r="D1243" t="s">
        <v>68</v>
      </c>
      <c r="E1243" t="s">
        <v>165</v>
      </c>
      <c r="F1243" s="1">
        <v>45383</v>
      </c>
      <c r="G1243">
        <v>2006</v>
      </c>
      <c r="H1243" t="s">
        <v>63</v>
      </c>
      <c r="I1243" t="s">
        <v>71</v>
      </c>
      <c r="J1243" t="s">
        <v>100</v>
      </c>
      <c r="K1243">
        <v>7.5</v>
      </c>
      <c r="L1243">
        <v>8931608</v>
      </c>
      <c r="M1243">
        <v>2418122</v>
      </c>
      <c r="N1243">
        <v>45</v>
      </c>
      <c r="O1243" t="s">
        <v>123</v>
      </c>
      <c r="P1243" t="s">
        <v>50</v>
      </c>
    </row>
    <row r="1244" spans="1:16" x14ac:dyDescent="0.35">
      <c r="A1244" t="s">
        <v>2639</v>
      </c>
      <c r="B1244" t="s">
        <v>2640</v>
      </c>
      <c r="C1244" t="s">
        <v>79</v>
      </c>
      <c r="D1244" t="s">
        <v>156</v>
      </c>
      <c r="E1244" t="s">
        <v>69</v>
      </c>
      <c r="F1244" s="1">
        <v>46012</v>
      </c>
      <c r="G1244">
        <v>2008</v>
      </c>
      <c r="H1244" t="s">
        <v>46</v>
      </c>
      <c r="I1244" t="s">
        <v>339</v>
      </c>
      <c r="J1244" t="s">
        <v>57</v>
      </c>
      <c r="K1244">
        <v>7.3</v>
      </c>
      <c r="L1244">
        <v>18010476</v>
      </c>
      <c r="M1244">
        <v>253698</v>
      </c>
      <c r="N1244">
        <v>73</v>
      </c>
      <c r="O1244" t="s">
        <v>31</v>
      </c>
      <c r="P1244" t="s">
        <v>42</v>
      </c>
    </row>
    <row r="1245" spans="1:16" x14ac:dyDescent="0.35">
      <c r="A1245" t="s">
        <v>2641</v>
      </c>
      <c r="B1245" t="s">
        <v>2642</v>
      </c>
      <c r="C1245" t="s">
        <v>84</v>
      </c>
      <c r="D1245" t="s">
        <v>94</v>
      </c>
      <c r="E1245" t="s">
        <v>113</v>
      </c>
      <c r="F1245" s="1">
        <v>43450</v>
      </c>
      <c r="G1245">
        <v>2026</v>
      </c>
      <c r="H1245" t="s">
        <v>46</v>
      </c>
      <c r="I1245" t="s">
        <v>423</v>
      </c>
      <c r="J1245" t="s">
        <v>100</v>
      </c>
      <c r="K1245">
        <v>11.2</v>
      </c>
      <c r="L1245">
        <v>2922159</v>
      </c>
      <c r="M1245">
        <v>2913070</v>
      </c>
      <c r="N1245">
        <v>65</v>
      </c>
      <c r="O1245" t="s">
        <v>58</v>
      </c>
      <c r="P1245" t="s">
        <v>50</v>
      </c>
    </row>
    <row r="1246" spans="1:16" x14ac:dyDescent="0.35">
      <c r="A1246" t="s">
        <v>2643</v>
      </c>
      <c r="B1246" t="s">
        <v>2644</v>
      </c>
      <c r="C1246" t="s">
        <v>35</v>
      </c>
      <c r="E1246" t="s">
        <v>113</v>
      </c>
      <c r="F1246" s="1">
        <v>43130</v>
      </c>
      <c r="G1246">
        <v>2017</v>
      </c>
      <c r="H1246" t="s">
        <v>81</v>
      </c>
      <c r="I1246" t="s">
        <v>136</v>
      </c>
      <c r="J1246" t="s">
        <v>103</v>
      </c>
      <c r="K1246">
        <v>7.1</v>
      </c>
      <c r="L1246">
        <v>5014480</v>
      </c>
      <c r="M1246">
        <v>1992431</v>
      </c>
      <c r="N1246">
        <v>81</v>
      </c>
      <c r="O1246" t="s">
        <v>31</v>
      </c>
      <c r="P1246" t="s">
        <v>42</v>
      </c>
    </row>
    <row r="1247" spans="1:16" x14ac:dyDescent="0.35">
      <c r="A1247" t="s">
        <v>2645</v>
      </c>
      <c r="B1247" t="s">
        <v>2646</v>
      </c>
      <c r="C1247" t="s">
        <v>35</v>
      </c>
      <c r="D1247" t="s">
        <v>36</v>
      </c>
      <c r="E1247" t="s">
        <v>131</v>
      </c>
      <c r="F1247" s="1">
        <v>42701</v>
      </c>
      <c r="G1247">
        <v>2006</v>
      </c>
      <c r="H1247" t="s">
        <v>81</v>
      </c>
      <c r="I1247" t="s">
        <v>162</v>
      </c>
      <c r="J1247" t="s">
        <v>30</v>
      </c>
      <c r="K1247">
        <v>7.2</v>
      </c>
      <c r="L1247">
        <v>22856404</v>
      </c>
      <c r="M1247">
        <v>3456097</v>
      </c>
      <c r="N1247">
        <v>77</v>
      </c>
      <c r="O1247" t="s">
        <v>58</v>
      </c>
      <c r="P1247" t="s">
        <v>50</v>
      </c>
    </row>
    <row r="1248" spans="1:16" x14ac:dyDescent="0.35">
      <c r="A1248" t="s">
        <v>2647</v>
      </c>
      <c r="B1248" t="s">
        <v>2648</v>
      </c>
      <c r="C1248" t="s">
        <v>18</v>
      </c>
      <c r="D1248" t="s">
        <v>61</v>
      </c>
      <c r="E1248" t="s">
        <v>99</v>
      </c>
      <c r="F1248" s="1">
        <v>43683</v>
      </c>
      <c r="G1248">
        <v>2026</v>
      </c>
      <c r="H1248" t="s">
        <v>38</v>
      </c>
      <c r="I1248" t="s">
        <v>132</v>
      </c>
      <c r="J1248" t="s">
        <v>153</v>
      </c>
      <c r="K1248">
        <v>8.6999999999999993</v>
      </c>
      <c r="L1248">
        <v>21838555</v>
      </c>
      <c r="M1248">
        <v>517885</v>
      </c>
      <c r="N1248">
        <v>79</v>
      </c>
      <c r="O1248" t="s">
        <v>65</v>
      </c>
      <c r="P1248" t="s">
        <v>50</v>
      </c>
    </row>
    <row r="1249" spans="1:16" x14ac:dyDescent="0.35">
      <c r="A1249" t="s">
        <v>2649</v>
      </c>
      <c r="B1249" t="s">
        <v>2650</v>
      </c>
      <c r="C1249" t="s">
        <v>79</v>
      </c>
      <c r="D1249" t="s">
        <v>54</v>
      </c>
      <c r="E1249" t="s">
        <v>113</v>
      </c>
      <c r="F1249" s="1">
        <v>45308</v>
      </c>
      <c r="G1249">
        <v>2005</v>
      </c>
      <c r="H1249" t="s">
        <v>121</v>
      </c>
      <c r="I1249" t="s">
        <v>1120</v>
      </c>
      <c r="J1249" t="s">
        <v>40</v>
      </c>
      <c r="K1249">
        <v>5.3</v>
      </c>
      <c r="L1249">
        <v>-855</v>
      </c>
      <c r="M1249">
        <v>1571839</v>
      </c>
      <c r="N1249">
        <v>43</v>
      </c>
      <c r="O1249" t="s">
        <v>104</v>
      </c>
      <c r="P1249" t="s">
        <v>87</v>
      </c>
    </row>
    <row r="1250" spans="1:16" x14ac:dyDescent="0.35">
      <c r="A1250" t="s">
        <v>2651</v>
      </c>
      <c r="B1250" t="s">
        <v>2652</v>
      </c>
      <c r="C1250" t="s">
        <v>53</v>
      </c>
      <c r="D1250" t="s">
        <v>75</v>
      </c>
      <c r="E1250" t="s">
        <v>55</v>
      </c>
      <c r="F1250" s="1">
        <v>44024</v>
      </c>
      <c r="G1250">
        <v>2018</v>
      </c>
      <c r="H1250" t="s">
        <v>121</v>
      </c>
      <c r="I1250" t="s">
        <v>64</v>
      </c>
      <c r="J1250" t="s">
        <v>133</v>
      </c>
      <c r="K1250">
        <v>8.4</v>
      </c>
      <c r="L1250">
        <v>21654865</v>
      </c>
      <c r="M1250">
        <v>2314414</v>
      </c>
      <c r="N1250">
        <v>41</v>
      </c>
      <c r="O1250" t="s">
        <v>65</v>
      </c>
      <c r="P1250" t="s">
        <v>42</v>
      </c>
    </row>
    <row r="1251" spans="1:16" x14ac:dyDescent="0.35">
      <c r="A1251" t="s">
        <v>2653</v>
      </c>
      <c r="B1251" t="s">
        <v>2654</v>
      </c>
      <c r="C1251" t="s">
        <v>18</v>
      </c>
      <c r="D1251" t="s">
        <v>68</v>
      </c>
      <c r="E1251" t="s">
        <v>69</v>
      </c>
      <c r="F1251" s="1">
        <v>44885</v>
      </c>
      <c r="G1251">
        <v>2006</v>
      </c>
      <c r="H1251" t="s">
        <v>114</v>
      </c>
      <c r="I1251" t="s">
        <v>754</v>
      </c>
      <c r="J1251" t="s">
        <v>72</v>
      </c>
      <c r="K1251">
        <v>5.5</v>
      </c>
      <c r="L1251">
        <v>24642150</v>
      </c>
      <c r="M1251">
        <v>4950440</v>
      </c>
      <c r="N1251">
        <v>81</v>
      </c>
      <c r="O1251" t="s">
        <v>24</v>
      </c>
    </row>
    <row r="1252" spans="1:16" x14ac:dyDescent="0.35">
      <c r="A1252" t="s">
        <v>2655</v>
      </c>
      <c r="B1252" t="s">
        <v>2656</v>
      </c>
      <c r="C1252" t="s">
        <v>35</v>
      </c>
      <c r="D1252" t="s">
        <v>61</v>
      </c>
      <c r="E1252" t="s">
        <v>62</v>
      </c>
      <c r="F1252" s="1">
        <v>43542</v>
      </c>
      <c r="G1252">
        <v>2011</v>
      </c>
      <c r="H1252" t="s">
        <v>63</v>
      </c>
      <c r="I1252" t="s">
        <v>64</v>
      </c>
      <c r="J1252" t="s">
        <v>40</v>
      </c>
      <c r="K1252">
        <v>9.6</v>
      </c>
      <c r="L1252">
        <v>17036750</v>
      </c>
      <c r="M1252">
        <v>803626</v>
      </c>
      <c r="N1252">
        <v>64</v>
      </c>
      <c r="O1252" t="s">
        <v>31</v>
      </c>
      <c r="P1252" t="s">
        <v>87</v>
      </c>
    </row>
    <row r="1253" spans="1:16" x14ac:dyDescent="0.35">
      <c r="A1253" t="s">
        <v>2657</v>
      </c>
      <c r="B1253" t="s">
        <v>2658</v>
      </c>
      <c r="C1253" t="s">
        <v>53</v>
      </c>
      <c r="E1253" t="s">
        <v>165</v>
      </c>
      <c r="F1253" s="1">
        <v>44218</v>
      </c>
      <c r="G1253">
        <v>2005</v>
      </c>
      <c r="H1253" t="s">
        <v>63</v>
      </c>
      <c r="I1253" t="s">
        <v>162</v>
      </c>
      <c r="J1253" t="s">
        <v>153</v>
      </c>
      <c r="K1253">
        <v>5.4</v>
      </c>
      <c r="L1253">
        <v>19328763</v>
      </c>
      <c r="M1253">
        <v>2008388</v>
      </c>
      <c r="N1253">
        <v>120</v>
      </c>
      <c r="O1253" t="s">
        <v>31</v>
      </c>
      <c r="P1253" t="s">
        <v>42</v>
      </c>
    </row>
    <row r="1254" spans="1:16" x14ac:dyDescent="0.35">
      <c r="A1254" t="s">
        <v>2659</v>
      </c>
      <c r="B1254" t="s">
        <v>2660</v>
      </c>
      <c r="C1254" t="s">
        <v>18</v>
      </c>
      <c r="D1254" t="s">
        <v>75</v>
      </c>
      <c r="E1254" t="s">
        <v>80</v>
      </c>
      <c r="F1254" s="1">
        <v>46169</v>
      </c>
      <c r="G1254">
        <v>2016</v>
      </c>
      <c r="H1254" t="s">
        <v>114</v>
      </c>
      <c r="I1254" t="s">
        <v>966</v>
      </c>
      <c r="K1254">
        <v>5.8</v>
      </c>
      <c r="L1254">
        <v>15504781</v>
      </c>
      <c r="M1254">
        <v>1714462</v>
      </c>
      <c r="N1254">
        <v>61</v>
      </c>
      <c r="O1254" t="s">
        <v>58</v>
      </c>
      <c r="P1254" t="s">
        <v>87</v>
      </c>
    </row>
    <row r="1255" spans="1:16" x14ac:dyDescent="0.35">
      <c r="A1255" t="s">
        <v>2661</v>
      </c>
      <c r="B1255" t="s">
        <v>2662</v>
      </c>
      <c r="E1255" t="s">
        <v>62</v>
      </c>
      <c r="F1255" s="1">
        <v>45458</v>
      </c>
      <c r="G1255">
        <v>2012</v>
      </c>
      <c r="H1255" t="s">
        <v>46</v>
      </c>
      <c r="I1255" t="s">
        <v>56</v>
      </c>
      <c r="J1255" t="s">
        <v>23</v>
      </c>
      <c r="K1255">
        <v>7.7</v>
      </c>
      <c r="L1255">
        <v>14757395</v>
      </c>
      <c r="M1255">
        <v>1320038</v>
      </c>
      <c r="N1255">
        <v>89</v>
      </c>
      <c r="O1255" t="s">
        <v>49</v>
      </c>
      <c r="P1255" t="s">
        <v>50</v>
      </c>
    </row>
    <row r="1256" spans="1:16" x14ac:dyDescent="0.35">
      <c r="A1256" t="s">
        <v>2663</v>
      </c>
      <c r="B1256" t="s">
        <v>2664</v>
      </c>
      <c r="C1256" t="s">
        <v>18</v>
      </c>
      <c r="D1256" t="s">
        <v>54</v>
      </c>
      <c r="E1256" t="s">
        <v>55</v>
      </c>
      <c r="F1256" s="1">
        <v>45659</v>
      </c>
      <c r="G1256">
        <v>2023</v>
      </c>
      <c r="H1256" t="s">
        <v>63</v>
      </c>
      <c r="I1256" t="s">
        <v>894</v>
      </c>
      <c r="J1256" t="s">
        <v>100</v>
      </c>
      <c r="K1256">
        <v>8.6</v>
      </c>
      <c r="L1256">
        <v>8259701</v>
      </c>
      <c r="M1256">
        <v>4405442</v>
      </c>
      <c r="N1256">
        <v>43</v>
      </c>
      <c r="O1256" t="s">
        <v>49</v>
      </c>
      <c r="P1256" t="s">
        <v>50</v>
      </c>
    </row>
    <row r="1257" spans="1:16" x14ac:dyDescent="0.35">
      <c r="A1257" t="s">
        <v>2665</v>
      </c>
      <c r="B1257" t="s">
        <v>2666</v>
      </c>
      <c r="C1257" t="s">
        <v>35</v>
      </c>
      <c r="D1257" t="s">
        <v>27</v>
      </c>
      <c r="E1257" t="s">
        <v>80</v>
      </c>
      <c r="F1257" s="1">
        <v>45129</v>
      </c>
      <c r="G1257">
        <v>2010</v>
      </c>
      <c r="H1257" t="s">
        <v>107</v>
      </c>
      <c r="I1257" t="s">
        <v>95</v>
      </c>
      <c r="J1257" t="s">
        <v>57</v>
      </c>
      <c r="K1257">
        <v>7.2</v>
      </c>
      <c r="L1257">
        <v>9610674</v>
      </c>
      <c r="M1257">
        <v>3567891</v>
      </c>
      <c r="N1257">
        <v>88</v>
      </c>
      <c r="O1257" t="s">
        <v>104</v>
      </c>
      <c r="P1257" t="s">
        <v>42</v>
      </c>
    </row>
    <row r="1258" spans="1:16" x14ac:dyDescent="0.35">
      <c r="A1258" t="s">
        <v>2667</v>
      </c>
      <c r="B1258" t="s">
        <v>2668</v>
      </c>
      <c r="C1258" t="s">
        <v>53</v>
      </c>
      <c r="E1258" t="s">
        <v>69</v>
      </c>
      <c r="F1258" s="1">
        <v>45935</v>
      </c>
      <c r="G1258">
        <v>2023</v>
      </c>
      <c r="H1258" t="s">
        <v>38</v>
      </c>
      <c r="I1258" t="s">
        <v>136</v>
      </c>
      <c r="J1258" t="s">
        <v>57</v>
      </c>
      <c r="K1258">
        <v>5.5</v>
      </c>
      <c r="L1258">
        <v>2526566</v>
      </c>
      <c r="M1258">
        <v>3647517</v>
      </c>
      <c r="N1258">
        <v>52</v>
      </c>
      <c r="O1258" t="s">
        <v>65</v>
      </c>
      <c r="P1258" t="s">
        <v>50</v>
      </c>
    </row>
    <row r="1259" spans="1:16" x14ac:dyDescent="0.35">
      <c r="A1259" t="s">
        <v>2669</v>
      </c>
      <c r="B1259" t="s">
        <v>2670</v>
      </c>
      <c r="D1259" t="s">
        <v>156</v>
      </c>
      <c r="E1259" t="s">
        <v>99</v>
      </c>
      <c r="F1259" s="1">
        <v>44464</v>
      </c>
      <c r="G1259">
        <v>2005</v>
      </c>
      <c r="I1259" t="s">
        <v>118</v>
      </c>
      <c r="J1259" t="s">
        <v>72</v>
      </c>
      <c r="K1259">
        <v>11.2</v>
      </c>
      <c r="L1259">
        <v>1132193</v>
      </c>
      <c r="M1259">
        <v>2590453</v>
      </c>
      <c r="N1259">
        <v>42</v>
      </c>
      <c r="O1259" t="s">
        <v>123</v>
      </c>
      <c r="P1259" t="s">
        <v>42</v>
      </c>
    </row>
    <row r="1260" spans="1:16" x14ac:dyDescent="0.35">
      <c r="A1260" t="s">
        <v>2671</v>
      </c>
      <c r="B1260" t="s">
        <v>2672</v>
      </c>
      <c r="D1260" t="s">
        <v>19</v>
      </c>
      <c r="E1260" t="s">
        <v>113</v>
      </c>
      <c r="F1260" s="1">
        <v>43729</v>
      </c>
      <c r="G1260">
        <v>2021</v>
      </c>
      <c r="H1260" t="s">
        <v>107</v>
      </c>
      <c r="I1260" t="s">
        <v>71</v>
      </c>
      <c r="J1260" t="s">
        <v>96</v>
      </c>
      <c r="K1260">
        <v>5.4</v>
      </c>
      <c r="L1260">
        <v>16913350</v>
      </c>
      <c r="M1260">
        <v>1234740</v>
      </c>
      <c r="N1260">
        <v>90</v>
      </c>
      <c r="O1260" t="s">
        <v>91</v>
      </c>
      <c r="P1260" t="s">
        <v>87</v>
      </c>
    </row>
    <row r="1261" spans="1:16" x14ac:dyDescent="0.35">
      <c r="A1261" t="s">
        <v>2673</v>
      </c>
      <c r="B1261" t="s">
        <v>2674</v>
      </c>
      <c r="C1261" t="s">
        <v>79</v>
      </c>
      <c r="D1261" t="s">
        <v>90</v>
      </c>
      <c r="E1261" t="s">
        <v>69</v>
      </c>
      <c r="F1261" s="1">
        <v>45636</v>
      </c>
      <c r="G1261">
        <v>2005</v>
      </c>
      <c r="H1261" t="s">
        <v>107</v>
      </c>
      <c r="I1261" t="s">
        <v>1171</v>
      </c>
      <c r="J1261" t="s">
        <v>133</v>
      </c>
      <c r="K1261">
        <v>6</v>
      </c>
      <c r="L1261">
        <v>9063948</v>
      </c>
      <c r="M1261">
        <v>2737168</v>
      </c>
      <c r="N1261">
        <v>47</v>
      </c>
      <c r="O1261" t="s">
        <v>91</v>
      </c>
      <c r="P1261" t="s">
        <v>32</v>
      </c>
    </row>
    <row r="1262" spans="1:16" x14ac:dyDescent="0.35">
      <c r="A1262" t="s">
        <v>2675</v>
      </c>
      <c r="B1262" t="s">
        <v>2676</v>
      </c>
      <c r="C1262" t="s">
        <v>18</v>
      </c>
      <c r="D1262" t="s">
        <v>68</v>
      </c>
      <c r="E1262" t="s">
        <v>20</v>
      </c>
      <c r="F1262" s="1">
        <v>43534</v>
      </c>
      <c r="G1262">
        <v>2000</v>
      </c>
      <c r="H1262" t="s">
        <v>114</v>
      </c>
      <c r="J1262" t="s">
        <v>96</v>
      </c>
      <c r="K1262">
        <v>4.8</v>
      </c>
      <c r="L1262">
        <v>18534587</v>
      </c>
      <c r="M1262">
        <v>3938848</v>
      </c>
      <c r="N1262">
        <v>79</v>
      </c>
      <c r="O1262" t="s">
        <v>49</v>
      </c>
      <c r="P1262" t="s">
        <v>87</v>
      </c>
    </row>
    <row r="1263" spans="1:16" x14ac:dyDescent="0.35">
      <c r="A1263" t="s">
        <v>2677</v>
      </c>
      <c r="B1263" t="s">
        <v>2678</v>
      </c>
      <c r="C1263" t="s">
        <v>18</v>
      </c>
      <c r="D1263" t="s">
        <v>94</v>
      </c>
      <c r="E1263" t="s">
        <v>37</v>
      </c>
      <c r="F1263" s="1">
        <v>42159</v>
      </c>
      <c r="G1263">
        <v>2005</v>
      </c>
      <c r="H1263" t="s">
        <v>63</v>
      </c>
      <c r="I1263" t="s">
        <v>450</v>
      </c>
      <c r="J1263" t="s">
        <v>23</v>
      </c>
      <c r="K1263">
        <v>7.9</v>
      </c>
      <c r="L1263">
        <v>13155121</v>
      </c>
      <c r="M1263">
        <v>3882245</v>
      </c>
      <c r="N1263">
        <v>60</v>
      </c>
      <c r="O1263" t="s">
        <v>65</v>
      </c>
      <c r="P1263" t="s">
        <v>50</v>
      </c>
    </row>
    <row r="1264" spans="1:16" x14ac:dyDescent="0.35">
      <c r="A1264" t="s">
        <v>2679</v>
      </c>
      <c r="B1264" t="s">
        <v>2680</v>
      </c>
      <c r="C1264" t="s">
        <v>79</v>
      </c>
      <c r="D1264" t="s">
        <v>75</v>
      </c>
      <c r="F1264" s="1">
        <v>45088</v>
      </c>
      <c r="G1264">
        <v>2000</v>
      </c>
      <c r="H1264" t="s">
        <v>121</v>
      </c>
      <c r="I1264" t="s">
        <v>1398</v>
      </c>
      <c r="J1264" t="s">
        <v>133</v>
      </c>
      <c r="K1264">
        <v>5.6</v>
      </c>
      <c r="L1264">
        <v>18736873</v>
      </c>
      <c r="M1264">
        <v>2229619</v>
      </c>
      <c r="N1264">
        <v>74</v>
      </c>
      <c r="O1264" t="s">
        <v>49</v>
      </c>
      <c r="P1264" t="s">
        <v>32</v>
      </c>
    </row>
    <row r="1265" spans="1:16" x14ac:dyDescent="0.35">
      <c r="A1265" t="s">
        <v>2681</v>
      </c>
      <c r="B1265" t="s">
        <v>2682</v>
      </c>
      <c r="D1265" t="s">
        <v>54</v>
      </c>
      <c r="E1265" t="s">
        <v>62</v>
      </c>
      <c r="F1265" s="1">
        <v>44137</v>
      </c>
      <c r="G1265">
        <v>2009</v>
      </c>
      <c r="H1265" t="s">
        <v>63</v>
      </c>
      <c r="I1265" t="s">
        <v>136</v>
      </c>
      <c r="J1265" t="s">
        <v>23</v>
      </c>
      <c r="K1265">
        <v>4.7</v>
      </c>
      <c r="L1265">
        <v>15007555</v>
      </c>
      <c r="M1265">
        <v>3242894</v>
      </c>
      <c r="N1265">
        <v>40</v>
      </c>
      <c r="P1265" t="s">
        <v>42</v>
      </c>
    </row>
    <row r="1266" spans="1:16" x14ac:dyDescent="0.35">
      <c r="A1266" t="s">
        <v>2683</v>
      </c>
      <c r="B1266" t="s">
        <v>2684</v>
      </c>
      <c r="D1266" t="s">
        <v>54</v>
      </c>
      <c r="E1266" t="s">
        <v>45</v>
      </c>
      <c r="F1266" s="1">
        <v>44985</v>
      </c>
      <c r="G1266">
        <v>2025</v>
      </c>
      <c r="I1266" t="s">
        <v>136</v>
      </c>
      <c r="J1266" t="s">
        <v>23</v>
      </c>
      <c r="K1266">
        <v>5.4</v>
      </c>
      <c r="L1266">
        <v>22763314</v>
      </c>
      <c r="M1266">
        <v>1440461</v>
      </c>
      <c r="N1266">
        <v>45</v>
      </c>
      <c r="O1266" t="s">
        <v>24</v>
      </c>
      <c r="P1266" t="s">
        <v>87</v>
      </c>
    </row>
    <row r="1267" spans="1:16" x14ac:dyDescent="0.35">
      <c r="A1267" t="s">
        <v>2685</v>
      </c>
      <c r="B1267" t="s">
        <v>2686</v>
      </c>
      <c r="D1267" t="s">
        <v>68</v>
      </c>
      <c r="E1267" t="s">
        <v>131</v>
      </c>
      <c r="F1267" s="1">
        <v>44398</v>
      </c>
      <c r="G1267">
        <v>2021</v>
      </c>
      <c r="H1267" t="s">
        <v>38</v>
      </c>
      <c r="I1267" t="s">
        <v>162</v>
      </c>
      <c r="J1267" t="s">
        <v>100</v>
      </c>
      <c r="K1267">
        <v>6.1</v>
      </c>
      <c r="L1267">
        <v>19224690</v>
      </c>
      <c r="M1267">
        <v>1825835</v>
      </c>
      <c r="N1267">
        <v>48</v>
      </c>
      <c r="O1267" t="s">
        <v>58</v>
      </c>
      <c r="P1267" t="s">
        <v>32</v>
      </c>
    </row>
    <row r="1268" spans="1:16" x14ac:dyDescent="0.35">
      <c r="A1268" t="s">
        <v>2687</v>
      </c>
      <c r="B1268" t="s">
        <v>2688</v>
      </c>
      <c r="C1268" t="s">
        <v>84</v>
      </c>
      <c r="D1268" t="s">
        <v>75</v>
      </c>
      <c r="E1268" t="s">
        <v>37</v>
      </c>
      <c r="F1268" s="1">
        <v>42765</v>
      </c>
      <c r="G1268">
        <v>2017</v>
      </c>
      <c r="H1268" t="s">
        <v>121</v>
      </c>
      <c r="I1268" t="s">
        <v>223</v>
      </c>
      <c r="J1268" t="s">
        <v>48</v>
      </c>
      <c r="K1268">
        <v>9.4</v>
      </c>
      <c r="L1268">
        <v>16356949</v>
      </c>
      <c r="M1268">
        <v>3124954</v>
      </c>
      <c r="N1268">
        <v>59</v>
      </c>
      <c r="O1268" t="s">
        <v>104</v>
      </c>
    </row>
    <row r="1269" spans="1:16" x14ac:dyDescent="0.35">
      <c r="A1269" t="s">
        <v>2689</v>
      </c>
      <c r="B1269" t="s">
        <v>2690</v>
      </c>
      <c r="C1269" t="s">
        <v>53</v>
      </c>
      <c r="D1269" t="s">
        <v>19</v>
      </c>
      <c r="E1269" t="s">
        <v>131</v>
      </c>
      <c r="F1269" s="1">
        <v>43897</v>
      </c>
      <c r="G1269">
        <v>2022</v>
      </c>
      <c r="H1269" t="s">
        <v>114</v>
      </c>
      <c r="I1269" t="s">
        <v>136</v>
      </c>
      <c r="J1269" t="s">
        <v>76</v>
      </c>
      <c r="K1269">
        <v>11.2</v>
      </c>
      <c r="L1269">
        <v>19916335</v>
      </c>
      <c r="M1269">
        <v>3255753</v>
      </c>
      <c r="N1269">
        <v>71</v>
      </c>
      <c r="O1269" t="s">
        <v>65</v>
      </c>
      <c r="P1269" t="s">
        <v>32</v>
      </c>
    </row>
    <row r="1270" spans="1:16" x14ac:dyDescent="0.35">
      <c r="A1270" t="s">
        <v>2691</v>
      </c>
      <c r="B1270" t="s">
        <v>2692</v>
      </c>
      <c r="C1270" t="s">
        <v>79</v>
      </c>
      <c r="D1270" t="s">
        <v>61</v>
      </c>
      <c r="E1270" t="s">
        <v>131</v>
      </c>
      <c r="F1270" s="1">
        <v>43357</v>
      </c>
      <c r="G1270">
        <v>2014</v>
      </c>
      <c r="H1270" t="s">
        <v>46</v>
      </c>
      <c r="I1270" t="s">
        <v>254</v>
      </c>
      <c r="K1270">
        <v>7.6</v>
      </c>
      <c r="L1270">
        <v>8768807</v>
      </c>
      <c r="M1270">
        <v>4588506</v>
      </c>
      <c r="N1270">
        <v>75</v>
      </c>
      <c r="O1270" t="s">
        <v>123</v>
      </c>
      <c r="P1270" t="s">
        <v>42</v>
      </c>
    </row>
    <row r="1271" spans="1:16" x14ac:dyDescent="0.35">
      <c r="A1271" t="s">
        <v>2693</v>
      </c>
      <c r="B1271" t="s">
        <v>2694</v>
      </c>
      <c r="C1271" t="s">
        <v>79</v>
      </c>
      <c r="D1271" t="s">
        <v>36</v>
      </c>
      <c r="E1271" t="s">
        <v>99</v>
      </c>
      <c r="F1271" s="1">
        <v>42697</v>
      </c>
      <c r="G1271">
        <v>2005</v>
      </c>
      <c r="H1271" t="s">
        <v>63</v>
      </c>
      <c r="I1271" t="s">
        <v>184</v>
      </c>
      <c r="J1271" t="s">
        <v>72</v>
      </c>
      <c r="K1271">
        <v>6.5</v>
      </c>
      <c r="L1271">
        <v>32329</v>
      </c>
      <c r="M1271">
        <v>1671237</v>
      </c>
      <c r="N1271">
        <v>68</v>
      </c>
      <c r="P1271" t="s">
        <v>87</v>
      </c>
    </row>
    <row r="1272" spans="1:16" x14ac:dyDescent="0.35">
      <c r="A1272" t="s">
        <v>2695</v>
      </c>
      <c r="B1272" t="s">
        <v>2696</v>
      </c>
      <c r="C1272" t="s">
        <v>35</v>
      </c>
      <c r="D1272" t="s">
        <v>75</v>
      </c>
      <c r="E1272" t="s">
        <v>55</v>
      </c>
      <c r="F1272" s="1">
        <v>42483</v>
      </c>
      <c r="G1272">
        <v>2015</v>
      </c>
      <c r="H1272" t="s">
        <v>85</v>
      </c>
      <c r="I1272" t="s">
        <v>95</v>
      </c>
      <c r="J1272" t="s">
        <v>76</v>
      </c>
      <c r="K1272">
        <v>9.1</v>
      </c>
      <c r="L1272">
        <v>18594305</v>
      </c>
      <c r="M1272">
        <v>1754155</v>
      </c>
      <c r="N1272">
        <v>43</v>
      </c>
      <c r="O1272" t="s">
        <v>58</v>
      </c>
      <c r="P1272" t="s">
        <v>32</v>
      </c>
    </row>
    <row r="1273" spans="1:16" x14ac:dyDescent="0.35">
      <c r="A1273" t="s">
        <v>2697</v>
      </c>
      <c r="B1273" t="s">
        <v>2698</v>
      </c>
      <c r="C1273" t="s">
        <v>35</v>
      </c>
      <c r="D1273" t="s">
        <v>68</v>
      </c>
      <c r="E1273" t="s">
        <v>99</v>
      </c>
      <c r="F1273" s="1">
        <v>44074</v>
      </c>
      <c r="G1273">
        <v>2004</v>
      </c>
      <c r="H1273" t="s">
        <v>114</v>
      </c>
      <c r="I1273" t="s">
        <v>162</v>
      </c>
      <c r="J1273" t="s">
        <v>96</v>
      </c>
      <c r="K1273">
        <v>8.4</v>
      </c>
      <c r="L1273">
        <v>9161268</v>
      </c>
      <c r="M1273">
        <v>3598602</v>
      </c>
      <c r="N1273">
        <v>64</v>
      </c>
      <c r="O1273" t="s">
        <v>104</v>
      </c>
      <c r="P1273" t="s">
        <v>87</v>
      </c>
    </row>
    <row r="1274" spans="1:16" x14ac:dyDescent="0.35">
      <c r="A1274" t="s">
        <v>2699</v>
      </c>
      <c r="B1274" t="s">
        <v>2700</v>
      </c>
      <c r="C1274" t="s">
        <v>35</v>
      </c>
      <c r="D1274" t="s">
        <v>68</v>
      </c>
      <c r="E1274" t="s">
        <v>99</v>
      </c>
      <c r="F1274" s="1">
        <v>43241</v>
      </c>
      <c r="G1274">
        <v>2021</v>
      </c>
      <c r="H1274" t="s">
        <v>46</v>
      </c>
      <c r="I1274" t="s">
        <v>136</v>
      </c>
      <c r="J1274" t="s">
        <v>100</v>
      </c>
      <c r="K1274">
        <v>7.2</v>
      </c>
      <c r="L1274">
        <v>7537139</v>
      </c>
      <c r="M1274">
        <v>873947</v>
      </c>
      <c r="N1274">
        <v>98</v>
      </c>
      <c r="O1274" t="s">
        <v>41</v>
      </c>
      <c r="P1274" t="s">
        <v>32</v>
      </c>
    </row>
    <row r="1275" spans="1:16" x14ac:dyDescent="0.35">
      <c r="A1275" t="s">
        <v>2701</v>
      </c>
      <c r="B1275" t="s">
        <v>2702</v>
      </c>
      <c r="C1275" t="s">
        <v>79</v>
      </c>
      <c r="D1275" t="s">
        <v>68</v>
      </c>
      <c r="E1275" t="s">
        <v>37</v>
      </c>
      <c r="F1275" s="1">
        <v>42703</v>
      </c>
      <c r="G1275">
        <v>2019</v>
      </c>
      <c r="H1275" t="s">
        <v>81</v>
      </c>
      <c r="I1275" t="s">
        <v>727</v>
      </c>
      <c r="J1275" t="s">
        <v>103</v>
      </c>
      <c r="K1275">
        <v>9.1</v>
      </c>
      <c r="L1275">
        <v>5998047</v>
      </c>
      <c r="M1275">
        <v>3431396</v>
      </c>
      <c r="N1275">
        <v>96</v>
      </c>
      <c r="O1275" t="s">
        <v>104</v>
      </c>
      <c r="P1275" t="s">
        <v>87</v>
      </c>
    </row>
    <row r="1276" spans="1:16" x14ac:dyDescent="0.35">
      <c r="A1276" t="s">
        <v>2703</v>
      </c>
      <c r="B1276" t="s">
        <v>2704</v>
      </c>
      <c r="C1276" t="s">
        <v>53</v>
      </c>
      <c r="D1276" t="s">
        <v>36</v>
      </c>
      <c r="E1276" t="s">
        <v>113</v>
      </c>
      <c r="F1276" s="1">
        <v>44483</v>
      </c>
      <c r="G1276">
        <v>2025</v>
      </c>
      <c r="H1276" t="s">
        <v>85</v>
      </c>
      <c r="I1276" t="s">
        <v>39</v>
      </c>
      <c r="J1276" t="s">
        <v>48</v>
      </c>
      <c r="K1276">
        <v>7.1</v>
      </c>
      <c r="L1276">
        <v>23699104</v>
      </c>
      <c r="M1276">
        <v>4169035</v>
      </c>
      <c r="N1276">
        <v>62</v>
      </c>
      <c r="P1276" t="s">
        <v>50</v>
      </c>
    </row>
    <row r="1277" spans="1:16" x14ac:dyDescent="0.35">
      <c r="A1277" t="s">
        <v>2705</v>
      </c>
      <c r="B1277" t="s">
        <v>2706</v>
      </c>
      <c r="C1277" t="s">
        <v>18</v>
      </c>
      <c r="D1277" t="s">
        <v>19</v>
      </c>
      <c r="E1277" t="s">
        <v>99</v>
      </c>
      <c r="F1277" s="1">
        <v>43648</v>
      </c>
      <c r="G1277">
        <v>2021</v>
      </c>
      <c r="H1277" t="s">
        <v>63</v>
      </c>
      <c r="I1277" t="s">
        <v>275</v>
      </c>
      <c r="K1277">
        <v>9.6</v>
      </c>
      <c r="L1277">
        <v>21096532</v>
      </c>
      <c r="M1277">
        <v>3550692</v>
      </c>
      <c r="N1277">
        <v>59</v>
      </c>
      <c r="O1277" t="s">
        <v>58</v>
      </c>
    </row>
    <row r="1278" spans="1:16" x14ac:dyDescent="0.35">
      <c r="A1278" t="s">
        <v>2707</v>
      </c>
      <c r="B1278" t="s">
        <v>2708</v>
      </c>
      <c r="C1278" t="s">
        <v>53</v>
      </c>
      <c r="D1278" t="s">
        <v>94</v>
      </c>
      <c r="E1278" t="s">
        <v>28</v>
      </c>
      <c r="F1278" s="1">
        <v>44187</v>
      </c>
      <c r="G1278">
        <v>2003</v>
      </c>
      <c r="H1278" t="s">
        <v>63</v>
      </c>
      <c r="I1278" t="s">
        <v>136</v>
      </c>
      <c r="J1278" t="s">
        <v>153</v>
      </c>
      <c r="K1278">
        <v>9</v>
      </c>
      <c r="L1278">
        <v>3570527</v>
      </c>
      <c r="M1278">
        <v>3121302</v>
      </c>
      <c r="N1278">
        <v>81</v>
      </c>
      <c r="O1278" t="s">
        <v>123</v>
      </c>
    </row>
    <row r="1279" spans="1:16" x14ac:dyDescent="0.35">
      <c r="A1279" t="s">
        <v>2709</v>
      </c>
      <c r="B1279" t="s">
        <v>2710</v>
      </c>
      <c r="C1279" t="s">
        <v>35</v>
      </c>
      <c r="D1279" t="s">
        <v>61</v>
      </c>
      <c r="F1279" s="1">
        <v>43004</v>
      </c>
      <c r="G1279">
        <v>2020</v>
      </c>
      <c r="H1279" t="s">
        <v>81</v>
      </c>
      <c r="I1279" t="s">
        <v>95</v>
      </c>
      <c r="J1279" t="s">
        <v>72</v>
      </c>
      <c r="K1279">
        <v>8.3000000000000007</v>
      </c>
      <c r="L1279">
        <v>19196206</v>
      </c>
      <c r="M1279">
        <v>1260493</v>
      </c>
      <c r="N1279">
        <v>54</v>
      </c>
      <c r="O1279" t="s">
        <v>104</v>
      </c>
      <c r="P1279" t="s">
        <v>50</v>
      </c>
    </row>
    <row r="1280" spans="1:16" x14ac:dyDescent="0.35">
      <c r="A1280" t="s">
        <v>2711</v>
      </c>
      <c r="B1280" t="s">
        <v>2712</v>
      </c>
      <c r="C1280" t="s">
        <v>35</v>
      </c>
      <c r="E1280" t="s">
        <v>80</v>
      </c>
      <c r="F1280" s="1">
        <v>46041</v>
      </c>
      <c r="G1280">
        <v>2003</v>
      </c>
      <c r="H1280" t="s">
        <v>38</v>
      </c>
      <c r="I1280" t="s">
        <v>118</v>
      </c>
      <c r="J1280" t="s">
        <v>48</v>
      </c>
      <c r="K1280">
        <v>9.4</v>
      </c>
      <c r="L1280">
        <v>6862831</v>
      </c>
      <c r="M1280">
        <v>3799246</v>
      </c>
      <c r="N1280">
        <v>73</v>
      </c>
      <c r="O1280" t="s">
        <v>104</v>
      </c>
    </row>
    <row r="1281" spans="1:16" x14ac:dyDescent="0.35">
      <c r="A1281" t="s">
        <v>2713</v>
      </c>
      <c r="B1281" t="s">
        <v>2714</v>
      </c>
      <c r="C1281" t="s">
        <v>79</v>
      </c>
      <c r="D1281" t="s">
        <v>156</v>
      </c>
      <c r="E1281" t="s">
        <v>37</v>
      </c>
      <c r="F1281" s="1">
        <v>45640</v>
      </c>
      <c r="G1281">
        <v>2002</v>
      </c>
      <c r="H1281" t="s">
        <v>46</v>
      </c>
      <c r="I1281" t="s">
        <v>571</v>
      </c>
      <c r="J1281" t="s">
        <v>103</v>
      </c>
      <c r="K1281">
        <v>5.8</v>
      </c>
      <c r="L1281">
        <v>6991087</v>
      </c>
      <c r="M1281">
        <v>72597</v>
      </c>
      <c r="N1281">
        <v>75</v>
      </c>
      <c r="O1281" t="s">
        <v>49</v>
      </c>
      <c r="P1281" t="s">
        <v>87</v>
      </c>
    </row>
    <row r="1282" spans="1:16" x14ac:dyDescent="0.35">
      <c r="A1282" t="s">
        <v>2715</v>
      </c>
      <c r="B1282" t="s">
        <v>2716</v>
      </c>
      <c r="C1282" t="s">
        <v>84</v>
      </c>
      <c r="D1282" t="s">
        <v>36</v>
      </c>
      <c r="E1282" t="s">
        <v>99</v>
      </c>
      <c r="F1282" s="1">
        <v>43498</v>
      </c>
      <c r="G1282">
        <v>2008</v>
      </c>
      <c r="H1282" t="s">
        <v>38</v>
      </c>
      <c r="I1282" t="s">
        <v>966</v>
      </c>
      <c r="J1282" t="s">
        <v>76</v>
      </c>
      <c r="K1282">
        <v>7.7</v>
      </c>
      <c r="L1282">
        <v>9417879</v>
      </c>
      <c r="M1282">
        <v>1559420</v>
      </c>
      <c r="N1282">
        <v>81</v>
      </c>
      <c r="O1282" t="s">
        <v>104</v>
      </c>
      <c r="P1282" t="s">
        <v>42</v>
      </c>
    </row>
    <row r="1283" spans="1:16" x14ac:dyDescent="0.35">
      <c r="A1283" t="s">
        <v>2717</v>
      </c>
      <c r="B1283" t="s">
        <v>2718</v>
      </c>
      <c r="C1283" t="s">
        <v>84</v>
      </c>
      <c r="D1283" t="s">
        <v>75</v>
      </c>
      <c r="E1283" t="s">
        <v>131</v>
      </c>
      <c r="F1283" s="1">
        <v>44051</v>
      </c>
      <c r="G1283">
        <v>2018</v>
      </c>
      <c r="H1283" t="s">
        <v>121</v>
      </c>
      <c r="I1283" t="s">
        <v>339</v>
      </c>
      <c r="J1283" t="s">
        <v>40</v>
      </c>
      <c r="K1283">
        <v>7.5</v>
      </c>
      <c r="L1283">
        <v>23288891</v>
      </c>
      <c r="M1283">
        <v>4271387</v>
      </c>
      <c r="N1283">
        <v>74</v>
      </c>
      <c r="O1283" t="s">
        <v>91</v>
      </c>
      <c r="P1283" t="s">
        <v>50</v>
      </c>
    </row>
    <row r="1284" spans="1:16" x14ac:dyDescent="0.35">
      <c r="A1284" t="s">
        <v>2719</v>
      </c>
      <c r="B1284" t="s">
        <v>2720</v>
      </c>
      <c r="C1284" t="s">
        <v>18</v>
      </c>
      <c r="D1284" t="s">
        <v>94</v>
      </c>
      <c r="E1284" t="s">
        <v>131</v>
      </c>
      <c r="F1284" s="1">
        <v>44370</v>
      </c>
      <c r="G1284">
        <v>2012</v>
      </c>
      <c r="H1284" t="s">
        <v>121</v>
      </c>
      <c r="I1284" t="s">
        <v>608</v>
      </c>
      <c r="J1284" t="s">
        <v>40</v>
      </c>
      <c r="K1284">
        <v>7.3</v>
      </c>
      <c r="L1284">
        <v>18357762</v>
      </c>
      <c r="M1284">
        <v>3964400</v>
      </c>
      <c r="N1284">
        <v>62</v>
      </c>
      <c r="O1284" t="s">
        <v>104</v>
      </c>
      <c r="P1284" t="s">
        <v>42</v>
      </c>
    </row>
    <row r="1285" spans="1:16" x14ac:dyDescent="0.35">
      <c r="A1285" t="s">
        <v>2721</v>
      </c>
      <c r="B1285" t="s">
        <v>2722</v>
      </c>
      <c r="E1285" t="s">
        <v>165</v>
      </c>
      <c r="F1285" s="1">
        <v>42945</v>
      </c>
      <c r="G1285">
        <v>2004</v>
      </c>
      <c r="H1285" t="s">
        <v>70</v>
      </c>
      <c r="I1285" t="s">
        <v>162</v>
      </c>
      <c r="J1285" t="s">
        <v>133</v>
      </c>
      <c r="K1285">
        <v>5.7</v>
      </c>
      <c r="L1285">
        <v>7494632</v>
      </c>
      <c r="M1285">
        <v>2411763</v>
      </c>
      <c r="N1285">
        <v>41</v>
      </c>
      <c r="O1285" t="s">
        <v>58</v>
      </c>
      <c r="P1285" t="s">
        <v>87</v>
      </c>
    </row>
    <row r="1286" spans="1:16" x14ac:dyDescent="0.35">
      <c r="A1286" t="s">
        <v>2723</v>
      </c>
      <c r="B1286" t="s">
        <v>2724</v>
      </c>
      <c r="D1286" t="s">
        <v>156</v>
      </c>
      <c r="E1286" t="s">
        <v>69</v>
      </c>
      <c r="F1286" s="1">
        <v>42686</v>
      </c>
      <c r="G1286">
        <v>2001</v>
      </c>
      <c r="H1286" t="s">
        <v>46</v>
      </c>
      <c r="I1286" t="s">
        <v>64</v>
      </c>
      <c r="J1286" t="s">
        <v>76</v>
      </c>
      <c r="K1286">
        <v>8.6</v>
      </c>
      <c r="L1286">
        <v>4444655</v>
      </c>
      <c r="M1286">
        <v>2515572</v>
      </c>
      <c r="N1286">
        <v>81</v>
      </c>
      <c r="O1286" t="s">
        <v>31</v>
      </c>
      <c r="P1286" t="s">
        <v>42</v>
      </c>
    </row>
    <row r="1287" spans="1:16" x14ac:dyDescent="0.35">
      <c r="A1287" t="s">
        <v>2725</v>
      </c>
      <c r="B1287" t="s">
        <v>2726</v>
      </c>
      <c r="C1287" t="s">
        <v>53</v>
      </c>
      <c r="D1287" t="s">
        <v>54</v>
      </c>
      <c r="E1287" t="s">
        <v>69</v>
      </c>
      <c r="F1287" s="1">
        <v>45864</v>
      </c>
      <c r="G1287">
        <v>2007</v>
      </c>
      <c r="H1287" t="s">
        <v>85</v>
      </c>
      <c r="I1287" t="s">
        <v>118</v>
      </c>
      <c r="J1287" t="s">
        <v>153</v>
      </c>
      <c r="K1287">
        <v>6.3</v>
      </c>
      <c r="L1287">
        <v>19759313</v>
      </c>
      <c r="M1287">
        <v>4403447</v>
      </c>
      <c r="N1287">
        <v>120</v>
      </c>
      <c r="O1287" t="s">
        <v>41</v>
      </c>
      <c r="P1287" t="s">
        <v>50</v>
      </c>
    </row>
    <row r="1288" spans="1:16" x14ac:dyDescent="0.35">
      <c r="A1288" t="s">
        <v>2727</v>
      </c>
      <c r="B1288" t="s">
        <v>2728</v>
      </c>
      <c r="C1288" t="s">
        <v>35</v>
      </c>
      <c r="E1288" t="s">
        <v>55</v>
      </c>
      <c r="F1288" s="1">
        <v>46084</v>
      </c>
      <c r="G1288">
        <v>2025</v>
      </c>
      <c r="H1288" t="s">
        <v>38</v>
      </c>
      <c r="I1288" t="s">
        <v>118</v>
      </c>
      <c r="J1288" t="s">
        <v>100</v>
      </c>
      <c r="K1288">
        <v>4.9000000000000004</v>
      </c>
      <c r="L1288">
        <v>6736664</v>
      </c>
      <c r="M1288">
        <v>3887311</v>
      </c>
      <c r="N1288">
        <v>55</v>
      </c>
      <c r="O1288" t="s">
        <v>31</v>
      </c>
      <c r="P1288" t="s">
        <v>32</v>
      </c>
    </row>
    <row r="1289" spans="1:16" x14ac:dyDescent="0.35">
      <c r="A1289" t="s">
        <v>2729</v>
      </c>
      <c r="B1289" t="s">
        <v>2728</v>
      </c>
      <c r="C1289" t="s">
        <v>84</v>
      </c>
      <c r="D1289" t="s">
        <v>156</v>
      </c>
      <c r="F1289" s="1">
        <v>43904</v>
      </c>
      <c r="G1289">
        <v>2002</v>
      </c>
      <c r="H1289" t="s">
        <v>107</v>
      </c>
      <c r="I1289" t="s">
        <v>147</v>
      </c>
      <c r="J1289" t="s">
        <v>133</v>
      </c>
      <c r="K1289">
        <v>6.3</v>
      </c>
      <c r="L1289">
        <v>1783852</v>
      </c>
      <c r="M1289">
        <v>2287651</v>
      </c>
      <c r="N1289">
        <v>100</v>
      </c>
      <c r="O1289" t="s">
        <v>91</v>
      </c>
      <c r="P1289" t="s">
        <v>32</v>
      </c>
    </row>
    <row r="1290" spans="1:16" x14ac:dyDescent="0.35">
      <c r="A1290" t="s">
        <v>2730</v>
      </c>
      <c r="B1290" t="s">
        <v>2731</v>
      </c>
      <c r="C1290" t="s">
        <v>79</v>
      </c>
      <c r="D1290" t="s">
        <v>61</v>
      </c>
      <c r="E1290" t="s">
        <v>131</v>
      </c>
      <c r="F1290" s="1">
        <v>43245</v>
      </c>
      <c r="G1290">
        <v>2002</v>
      </c>
      <c r="H1290" t="s">
        <v>63</v>
      </c>
      <c r="J1290" t="s">
        <v>103</v>
      </c>
      <c r="K1290">
        <v>6.8</v>
      </c>
      <c r="L1290">
        <v>2643278</v>
      </c>
      <c r="M1290">
        <v>895695</v>
      </c>
      <c r="N1290">
        <v>40</v>
      </c>
      <c r="P1290" t="s">
        <v>87</v>
      </c>
    </row>
    <row r="1291" spans="1:16" x14ac:dyDescent="0.35">
      <c r="A1291" t="s">
        <v>2732</v>
      </c>
      <c r="B1291" t="s">
        <v>2733</v>
      </c>
      <c r="D1291" t="s">
        <v>36</v>
      </c>
      <c r="E1291" t="s">
        <v>113</v>
      </c>
      <c r="F1291" s="1">
        <v>42695</v>
      </c>
      <c r="G1291">
        <v>2005</v>
      </c>
      <c r="H1291" t="s">
        <v>46</v>
      </c>
      <c r="I1291" t="s">
        <v>95</v>
      </c>
      <c r="J1291" t="s">
        <v>30</v>
      </c>
      <c r="K1291">
        <v>5.9</v>
      </c>
      <c r="L1291">
        <v>19893553</v>
      </c>
      <c r="M1291">
        <v>4404822</v>
      </c>
      <c r="N1291">
        <v>63</v>
      </c>
      <c r="O1291" t="s">
        <v>65</v>
      </c>
      <c r="P1291" t="s">
        <v>50</v>
      </c>
    </row>
    <row r="1292" spans="1:16" x14ac:dyDescent="0.35">
      <c r="A1292" t="s">
        <v>2734</v>
      </c>
      <c r="B1292" t="s">
        <v>2735</v>
      </c>
      <c r="C1292" t="s">
        <v>79</v>
      </c>
      <c r="E1292" t="s">
        <v>80</v>
      </c>
      <c r="F1292" s="1">
        <v>42043</v>
      </c>
      <c r="G1292">
        <v>2004</v>
      </c>
      <c r="H1292" t="s">
        <v>114</v>
      </c>
      <c r="I1292" t="s">
        <v>361</v>
      </c>
      <c r="J1292" t="s">
        <v>57</v>
      </c>
      <c r="K1292">
        <v>7.4</v>
      </c>
      <c r="L1292">
        <v>18594524</v>
      </c>
      <c r="M1292">
        <v>1317245</v>
      </c>
      <c r="N1292">
        <v>55</v>
      </c>
      <c r="O1292" t="s">
        <v>41</v>
      </c>
    </row>
    <row r="1293" spans="1:16" x14ac:dyDescent="0.35">
      <c r="A1293" t="s">
        <v>2736</v>
      </c>
      <c r="B1293" t="s">
        <v>2737</v>
      </c>
      <c r="C1293" t="s">
        <v>18</v>
      </c>
      <c r="E1293" t="s">
        <v>55</v>
      </c>
      <c r="F1293" s="1">
        <v>44075</v>
      </c>
      <c r="G1293">
        <v>2024</v>
      </c>
      <c r="H1293" t="s">
        <v>63</v>
      </c>
      <c r="I1293" t="s">
        <v>287</v>
      </c>
      <c r="J1293" t="s">
        <v>153</v>
      </c>
      <c r="K1293">
        <v>4.9000000000000004</v>
      </c>
      <c r="L1293">
        <v>13927384</v>
      </c>
      <c r="M1293">
        <v>3096166</v>
      </c>
      <c r="N1293">
        <v>43</v>
      </c>
      <c r="O1293" t="s">
        <v>49</v>
      </c>
      <c r="P1293" t="s">
        <v>32</v>
      </c>
    </row>
    <row r="1294" spans="1:16" x14ac:dyDescent="0.35">
      <c r="A1294" t="s">
        <v>2738</v>
      </c>
      <c r="B1294" t="s">
        <v>2739</v>
      </c>
      <c r="C1294" t="s">
        <v>84</v>
      </c>
      <c r="D1294" t="s">
        <v>94</v>
      </c>
      <c r="E1294" t="s">
        <v>28</v>
      </c>
      <c r="F1294" s="1">
        <v>43638</v>
      </c>
      <c r="G1294">
        <v>2015</v>
      </c>
      <c r="I1294" t="s">
        <v>865</v>
      </c>
      <c r="J1294" t="s">
        <v>96</v>
      </c>
      <c r="K1294">
        <v>7.3</v>
      </c>
      <c r="L1294">
        <v>22338592</v>
      </c>
      <c r="M1294">
        <v>1672034</v>
      </c>
      <c r="N1294">
        <v>93</v>
      </c>
      <c r="O1294" t="s">
        <v>31</v>
      </c>
    </row>
    <row r="1295" spans="1:16" x14ac:dyDescent="0.35">
      <c r="A1295" t="s">
        <v>2740</v>
      </c>
      <c r="B1295" t="s">
        <v>2741</v>
      </c>
      <c r="C1295" t="s">
        <v>35</v>
      </c>
      <c r="E1295" t="s">
        <v>55</v>
      </c>
      <c r="F1295" s="1">
        <v>46168</v>
      </c>
      <c r="G1295">
        <v>2000</v>
      </c>
      <c r="H1295" t="s">
        <v>81</v>
      </c>
      <c r="I1295" t="s">
        <v>56</v>
      </c>
      <c r="J1295" t="s">
        <v>76</v>
      </c>
      <c r="K1295">
        <v>9.1999999999999993</v>
      </c>
      <c r="L1295">
        <v>24390440</v>
      </c>
      <c r="M1295">
        <v>2466549</v>
      </c>
      <c r="N1295">
        <v>68</v>
      </c>
      <c r="O1295" t="s">
        <v>49</v>
      </c>
      <c r="P1295" t="s">
        <v>87</v>
      </c>
    </row>
    <row r="1296" spans="1:16" x14ac:dyDescent="0.35">
      <c r="A1296" t="s">
        <v>2742</v>
      </c>
      <c r="B1296" t="s">
        <v>2743</v>
      </c>
      <c r="E1296" t="s">
        <v>20</v>
      </c>
      <c r="F1296" s="1">
        <v>43040</v>
      </c>
      <c r="G1296">
        <v>2016</v>
      </c>
      <c r="I1296" t="s">
        <v>71</v>
      </c>
      <c r="J1296" t="s">
        <v>103</v>
      </c>
      <c r="K1296">
        <v>6.4</v>
      </c>
      <c r="L1296">
        <v>14577910</v>
      </c>
      <c r="M1296">
        <v>4824670</v>
      </c>
      <c r="N1296">
        <v>43</v>
      </c>
      <c r="O1296" t="s">
        <v>24</v>
      </c>
      <c r="P1296" t="s">
        <v>42</v>
      </c>
    </row>
    <row r="1297" spans="1:16" x14ac:dyDescent="0.35">
      <c r="A1297" t="s">
        <v>2744</v>
      </c>
      <c r="B1297" t="s">
        <v>2745</v>
      </c>
      <c r="C1297" t="s">
        <v>79</v>
      </c>
      <c r="D1297" t="s">
        <v>68</v>
      </c>
      <c r="E1297" t="s">
        <v>62</v>
      </c>
      <c r="F1297" s="1">
        <v>42860</v>
      </c>
      <c r="G1297">
        <v>2025</v>
      </c>
      <c r="H1297" t="s">
        <v>85</v>
      </c>
      <c r="I1297" t="s">
        <v>150</v>
      </c>
      <c r="J1297" t="s">
        <v>30</v>
      </c>
      <c r="K1297">
        <v>9.1999999999999993</v>
      </c>
      <c r="L1297">
        <v>10443462</v>
      </c>
      <c r="M1297">
        <v>4436312</v>
      </c>
      <c r="N1297">
        <v>50</v>
      </c>
      <c r="O1297" t="s">
        <v>65</v>
      </c>
      <c r="P1297" t="s">
        <v>42</v>
      </c>
    </row>
    <row r="1298" spans="1:16" x14ac:dyDescent="0.35">
      <c r="A1298" t="s">
        <v>2746</v>
      </c>
      <c r="B1298" t="s">
        <v>2747</v>
      </c>
      <c r="C1298" t="s">
        <v>84</v>
      </c>
      <c r="D1298" t="s">
        <v>36</v>
      </c>
      <c r="E1298" t="s">
        <v>45</v>
      </c>
      <c r="F1298" s="1">
        <v>45359</v>
      </c>
      <c r="G1298">
        <v>2003</v>
      </c>
      <c r="H1298" t="s">
        <v>38</v>
      </c>
      <c r="I1298" t="s">
        <v>1777</v>
      </c>
      <c r="J1298" t="s">
        <v>100</v>
      </c>
      <c r="K1298">
        <v>11.2</v>
      </c>
      <c r="L1298">
        <v>-641</v>
      </c>
      <c r="M1298">
        <v>3260832</v>
      </c>
      <c r="N1298">
        <v>73</v>
      </c>
      <c r="P1298" t="s">
        <v>50</v>
      </c>
    </row>
    <row r="1299" spans="1:16" x14ac:dyDescent="0.35">
      <c r="A1299" t="s">
        <v>2748</v>
      </c>
      <c r="B1299" t="s">
        <v>2749</v>
      </c>
      <c r="C1299" t="s">
        <v>53</v>
      </c>
      <c r="D1299" t="s">
        <v>19</v>
      </c>
      <c r="E1299" t="s">
        <v>80</v>
      </c>
      <c r="F1299" s="1">
        <v>45828</v>
      </c>
      <c r="G1299">
        <v>2018</v>
      </c>
      <c r="H1299" t="s">
        <v>46</v>
      </c>
      <c r="I1299" t="s">
        <v>118</v>
      </c>
      <c r="J1299" t="s">
        <v>103</v>
      </c>
      <c r="K1299">
        <v>6.2</v>
      </c>
      <c r="L1299">
        <v>9723751</v>
      </c>
      <c r="M1299">
        <v>1399550</v>
      </c>
      <c r="N1299">
        <v>72</v>
      </c>
      <c r="O1299" t="s">
        <v>24</v>
      </c>
      <c r="P1299" t="s">
        <v>42</v>
      </c>
    </row>
    <row r="1300" spans="1:16" x14ac:dyDescent="0.35">
      <c r="A1300" t="s">
        <v>2750</v>
      </c>
      <c r="B1300" t="s">
        <v>2751</v>
      </c>
      <c r="C1300" t="s">
        <v>84</v>
      </c>
      <c r="D1300" t="s">
        <v>36</v>
      </c>
      <c r="E1300" t="s">
        <v>113</v>
      </c>
      <c r="F1300" s="1">
        <v>46146</v>
      </c>
      <c r="G1300">
        <v>2025</v>
      </c>
      <c r="H1300" t="s">
        <v>21</v>
      </c>
      <c r="I1300" t="s">
        <v>132</v>
      </c>
      <c r="J1300" t="s">
        <v>57</v>
      </c>
      <c r="K1300">
        <v>6.6</v>
      </c>
      <c r="L1300">
        <v>1771250</v>
      </c>
      <c r="M1300">
        <v>252608</v>
      </c>
      <c r="N1300">
        <v>57</v>
      </c>
      <c r="O1300" t="s">
        <v>31</v>
      </c>
      <c r="P1300" t="s">
        <v>87</v>
      </c>
    </row>
    <row r="1301" spans="1:16" x14ac:dyDescent="0.35">
      <c r="A1301" t="s">
        <v>2752</v>
      </c>
      <c r="B1301" t="s">
        <v>2753</v>
      </c>
      <c r="C1301" t="s">
        <v>53</v>
      </c>
      <c r="D1301" t="s">
        <v>94</v>
      </c>
      <c r="E1301" t="s">
        <v>45</v>
      </c>
      <c r="F1301" s="1">
        <v>42315</v>
      </c>
      <c r="G1301">
        <v>2013</v>
      </c>
      <c r="H1301" t="s">
        <v>63</v>
      </c>
      <c r="I1301" t="s">
        <v>162</v>
      </c>
      <c r="J1301" t="s">
        <v>103</v>
      </c>
      <c r="K1301">
        <v>5.9</v>
      </c>
      <c r="L1301">
        <v>13860624</v>
      </c>
      <c r="M1301">
        <v>3949988</v>
      </c>
      <c r="N1301">
        <v>99</v>
      </c>
      <c r="O1301" t="s">
        <v>91</v>
      </c>
      <c r="P1301" t="s">
        <v>87</v>
      </c>
    </row>
    <row r="1302" spans="1:16" x14ac:dyDescent="0.35">
      <c r="A1302" t="s">
        <v>2754</v>
      </c>
      <c r="B1302" t="s">
        <v>2755</v>
      </c>
      <c r="F1302" s="1">
        <v>45396</v>
      </c>
      <c r="G1302">
        <v>2009</v>
      </c>
      <c r="H1302" t="s">
        <v>21</v>
      </c>
      <c r="I1302" t="s">
        <v>95</v>
      </c>
      <c r="K1302">
        <v>8.1999999999999993</v>
      </c>
      <c r="L1302">
        <v>4738406</v>
      </c>
      <c r="M1302">
        <v>4677847</v>
      </c>
      <c r="N1302">
        <v>69</v>
      </c>
      <c r="O1302" t="s">
        <v>41</v>
      </c>
      <c r="P1302" t="s">
        <v>42</v>
      </c>
    </row>
    <row r="1303" spans="1:16" x14ac:dyDescent="0.35">
      <c r="A1303" t="s">
        <v>2756</v>
      </c>
      <c r="B1303" t="s">
        <v>2757</v>
      </c>
      <c r="C1303" t="s">
        <v>84</v>
      </c>
      <c r="E1303" t="s">
        <v>165</v>
      </c>
      <c r="F1303" s="1">
        <v>46176</v>
      </c>
      <c r="G1303">
        <v>2008</v>
      </c>
      <c r="I1303" t="s">
        <v>275</v>
      </c>
      <c r="J1303" t="s">
        <v>153</v>
      </c>
      <c r="K1303">
        <v>8.6</v>
      </c>
      <c r="L1303">
        <v>15687259</v>
      </c>
      <c r="M1303">
        <v>4335957</v>
      </c>
      <c r="N1303">
        <v>84</v>
      </c>
      <c r="O1303" t="s">
        <v>41</v>
      </c>
      <c r="P1303" t="s">
        <v>42</v>
      </c>
    </row>
    <row r="1304" spans="1:16" x14ac:dyDescent="0.35">
      <c r="A1304" t="s">
        <v>2758</v>
      </c>
      <c r="B1304" t="s">
        <v>2759</v>
      </c>
      <c r="C1304" t="s">
        <v>79</v>
      </c>
      <c r="D1304" t="s">
        <v>36</v>
      </c>
      <c r="E1304" t="s">
        <v>69</v>
      </c>
      <c r="F1304" s="1">
        <v>42439</v>
      </c>
      <c r="G1304">
        <v>2013</v>
      </c>
      <c r="H1304" t="s">
        <v>81</v>
      </c>
      <c r="I1304" t="s">
        <v>788</v>
      </c>
      <c r="J1304" t="s">
        <v>57</v>
      </c>
      <c r="K1304">
        <v>8.6</v>
      </c>
      <c r="L1304">
        <v>23347391</v>
      </c>
      <c r="M1304">
        <v>212890</v>
      </c>
      <c r="N1304">
        <v>94</v>
      </c>
      <c r="O1304" t="s">
        <v>65</v>
      </c>
      <c r="P1304" t="s">
        <v>50</v>
      </c>
    </row>
    <row r="1305" spans="1:16" x14ac:dyDescent="0.35">
      <c r="A1305" t="s">
        <v>2760</v>
      </c>
      <c r="B1305" t="s">
        <v>2761</v>
      </c>
      <c r="D1305" t="s">
        <v>156</v>
      </c>
      <c r="E1305" t="s">
        <v>80</v>
      </c>
      <c r="F1305" s="1">
        <v>42765</v>
      </c>
      <c r="G1305">
        <v>2011</v>
      </c>
      <c r="H1305" t="s">
        <v>85</v>
      </c>
      <c r="I1305" t="s">
        <v>162</v>
      </c>
      <c r="J1305" t="s">
        <v>30</v>
      </c>
      <c r="K1305">
        <v>6.8</v>
      </c>
      <c r="L1305">
        <v>9307550</v>
      </c>
      <c r="M1305">
        <v>4954016</v>
      </c>
      <c r="N1305">
        <v>58</v>
      </c>
      <c r="O1305" t="s">
        <v>104</v>
      </c>
      <c r="P1305" t="s">
        <v>50</v>
      </c>
    </row>
    <row r="1306" spans="1:16" x14ac:dyDescent="0.35">
      <c r="A1306" t="s">
        <v>2762</v>
      </c>
      <c r="B1306" t="s">
        <v>2763</v>
      </c>
      <c r="F1306" s="1">
        <v>43526</v>
      </c>
      <c r="G1306">
        <v>2012</v>
      </c>
      <c r="H1306" t="s">
        <v>21</v>
      </c>
      <c r="I1306" t="s">
        <v>162</v>
      </c>
      <c r="J1306" t="s">
        <v>96</v>
      </c>
      <c r="K1306">
        <v>7.7</v>
      </c>
      <c r="L1306">
        <v>12047203</v>
      </c>
      <c r="M1306">
        <v>3314061</v>
      </c>
      <c r="N1306">
        <v>120</v>
      </c>
      <c r="O1306" t="s">
        <v>31</v>
      </c>
      <c r="P1306" t="s">
        <v>42</v>
      </c>
    </row>
    <row r="1307" spans="1:16" x14ac:dyDescent="0.35">
      <c r="A1307" t="s">
        <v>2764</v>
      </c>
      <c r="B1307" t="s">
        <v>2765</v>
      </c>
      <c r="C1307" t="s">
        <v>79</v>
      </c>
      <c r="D1307" t="s">
        <v>75</v>
      </c>
      <c r="E1307" t="s">
        <v>131</v>
      </c>
      <c r="F1307" s="1">
        <v>45822</v>
      </c>
      <c r="G1307">
        <v>2017</v>
      </c>
      <c r="H1307" t="s">
        <v>85</v>
      </c>
      <c r="I1307" t="s">
        <v>492</v>
      </c>
      <c r="J1307" t="s">
        <v>76</v>
      </c>
      <c r="K1307">
        <v>9.1999999999999993</v>
      </c>
      <c r="L1307">
        <v>23337089</v>
      </c>
      <c r="M1307">
        <v>358307</v>
      </c>
      <c r="N1307">
        <v>53</v>
      </c>
      <c r="O1307" t="s">
        <v>65</v>
      </c>
      <c r="P1307" t="s">
        <v>87</v>
      </c>
    </row>
    <row r="1308" spans="1:16" x14ac:dyDescent="0.35">
      <c r="A1308" t="s">
        <v>2766</v>
      </c>
      <c r="B1308" t="s">
        <v>2767</v>
      </c>
      <c r="D1308" t="s">
        <v>156</v>
      </c>
      <c r="E1308" t="s">
        <v>165</v>
      </c>
      <c r="F1308" s="1">
        <v>45317</v>
      </c>
      <c r="G1308">
        <v>2008</v>
      </c>
      <c r="H1308" t="s">
        <v>81</v>
      </c>
      <c r="I1308" t="s">
        <v>118</v>
      </c>
      <c r="J1308" t="s">
        <v>103</v>
      </c>
      <c r="K1308">
        <v>7</v>
      </c>
      <c r="L1308">
        <v>2015716</v>
      </c>
      <c r="M1308">
        <v>1260303</v>
      </c>
      <c r="N1308">
        <v>60</v>
      </c>
      <c r="O1308" t="s">
        <v>123</v>
      </c>
      <c r="P1308" t="s">
        <v>32</v>
      </c>
    </row>
    <row r="1309" spans="1:16" x14ac:dyDescent="0.35">
      <c r="A1309" t="s">
        <v>2768</v>
      </c>
      <c r="B1309" t="s">
        <v>2769</v>
      </c>
      <c r="C1309" t="s">
        <v>53</v>
      </c>
      <c r="E1309" t="s">
        <v>20</v>
      </c>
      <c r="F1309" s="1">
        <v>45686</v>
      </c>
      <c r="G1309">
        <v>2025</v>
      </c>
      <c r="H1309" t="s">
        <v>114</v>
      </c>
      <c r="I1309" t="s">
        <v>71</v>
      </c>
      <c r="J1309" t="s">
        <v>103</v>
      </c>
      <c r="K1309">
        <v>5.0999999999999996</v>
      </c>
      <c r="L1309">
        <v>7495746</v>
      </c>
      <c r="M1309">
        <v>2704054</v>
      </c>
      <c r="N1309">
        <v>57</v>
      </c>
      <c r="O1309" t="s">
        <v>41</v>
      </c>
      <c r="P1309" t="s">
        <v>87</v>
      </c>
    </row>
    <row r="1310" spans="1:16" x14ac:dyDescent="0.35">
      <c r="A1310" t="s">
        <v>2770</v>
      </c>
      <c r="B1310" t="s">
        <v>2771</v>
      </c>
      <c r="D1310" t="s">
        <v>75</v>
      </c>
      <c r="F1310" s="1">
        <v>43922</v>
      </c>
      <c r="G1310">
        <v>2010</v>
      </c>
      <c r="H1310" t="s">
        <v>85</v>
      </c>
      <c r="I1310" t="s">
        <v>64</v>
      </c>
      <c r="J1310" t="s">
        <v>57</v>
      </c>
      <c r="K1310">
        <v>8.1</v>
      </c>
      <c r="L1310">
        <v>2938448</v>
      </c>
      <c r="M1310">
        <v>2751289</v>
      </c>
      <c r="N1310">
        <v>54</v>
      </c>
      <c r="O1310" t="s">
        <v>65</v>
      </c>
      <c r="P1310" t="s">
        <v>87</v>
      </c>
    </row>
    <row r="1311" spans="1:16" x14ac:dyDescent="0.35">
      <c r="A1311" t="s">
        <v>2772</v>
      </c>
      <c r="B1311" t="s">
        <v>2773</v>
      </c>
      <c r="C1311" t="s">
        <v>84</v>
      </c>
      <c r="E1311" t="s">
        <v>45</v>
      </c>
      <c r="F1311" s="1">
        <v>44448</v>
      </c>
      <c r="G1311">
        <v>2015</v>
      </c>
      <c r="H1311" t="s">
        <v>63</v>
      </c>
      <c r="I1311" t="s">
        <v>1242</v>
      </c>
      <c r="J1311" t="s">
        <v>72</v>
      </c>
      <c r="K1311">
        <v>8.9</v>
      </c>
      <c r="L1311">
        <v>5715998</v>
      </c>
      <c r="M1311">
        <v>2822783</v>
      </c>
      <c r="N1311">
        <v>44</v>
      </c>
      <c r="O1311" t="s">
        <v>41</v>
      </c>
    </row>
    <row r="1312" spans="1:16" x14ac:dyDescent="0.35">
      <c r="A1312" t="s">
        <v>2774</v>
      </c>
      <c r="B1312" t="s">
        <v>2775</v>
      </c>
      <c r="C1312" t="s">
        <v>35</v>
      </c>
      <c r="D1312" t="s">
        <v>19</v>
      </c>
      <c r="E1312" t="s">
        <v>113</v>
      </c>
      <c r="F1312" s="1">
        <v>43272</v>
      </c>
      <c r="G1312">
        <v>2014</v>
      </c>
      <c r="H1312" t="s">
        <v>121</v>
      </c>
      <c r="I1312" t="s">
        <v>39</v>
      </c>
      <c r="J1312" t="s">
        <v>153</v>
      </c>
      <c r="K1312">
        <v>4.7</v>
      </c>
      <c r="L1312">
        <v>4986147</v>
      </c>
      <c r="M1312">
        <v>2087633</v>
      </c>
      <c r="N1312">
        <v>62</v>
      </c>
      <c r="O1312" t="s">
        <v>41</v>
      </c>
      <c r="P1312" t="s">
        <v>32</v>
      </c>
    </row>
    <row r="1313" spans="1:16" x14ac:dyDescent="0.35">
      <c r="A1313" t="s">
        <v>2776</v>
      </c>
      <c r="B1313" t="s">
        <v>2777</v>
      </c>
      <c r="C1313" t="s">
        <v>18</v>
      </c>
      <c r="E1313" t="s">
        <v>28</v>
      </c>
      <c r="F1313" s="1">
        <v>45711</v>
      </c>
      <c r="G1313">
        <v>2023</v>
      </c>
      <c r="H1313" t="s">
        <v>107</v>
      </c>
      <c r="I1313" t="s">
        <v>505</v>
      </c>
      <c r="J1313" t="s">
        <v>23</v>
      </c>
      <c r="K1313">
        <v>9</v>
      </c>
      <c r="L1313">
        <v>24124170</v>
      </c>
      <c r="M1313">
        <v>1916770</v>
      </c>
      <c r="N1313">
        <v>120</v>
      </c>
      <c r="O1313" t="s">
        <v>58</v>
      </c>
      <c r="P1313" t="s">
        <v>50</v>
      </c>
    </row>
    <row r="1314" spans="1:16" x14ac:dyDescent="0.35">
      <c r="A1314" t="s">
        <v>2778</v>
      </c>
      <c r="B1314" t="s">
        <v>2779</v>
      </c>
      <c r="C1314" t="s">
        <v>35</v>
      </c>
      <c r="D1314" t="s">
        <v>61</v>
      </c>
      <c r="E1314" t="s">
        <v>37</v>
      </c>
      <c r="F1314" s="1">
        <v>45760</v>
      </c>
      <c r="G1314">
        <v>2015</v>
      </c>
      <c r="H1314" t="s">
        <v>85</v>
      </c>
      <c r="I1314" t="s">
        <v>118</v>
      </c>
      <c r="J1314" t="s">
        <v>40</v>
      </c>
      <c r="K1314">
        <v>6.4</v>
      </c>
      <c r="L1314">
        <v>21699329</v>
      </c>
      <c r="M1314">
        <v>4556559</v>
      </c>
      <c r="N1314">
        <v>87</v>
      </c>
      <c r="O1314" t="s">
        <v>24</v>
      </c>
      <c r="P1314" t="s">
        <v>32</v>
      </c>
    </row>
    <row r="1315" spans="1:16" x14ac:dyDescent="0.35">
      <c r="A1315" t="s">
        <v>2780</v>
      </c>
      <c r="B1315" t="s">
        <v>2781</v>
      </c>
      <c r="C1315" t="s">
        <v>79</v>
      </c>
      <c r="D1315" t="s">
        <v>19</v>
      </c>
      <c r="E1315" t="s">
        <v>131</v>
      </c>
      <c r="G1315">
        <v>2010</v>
      </c>
      <c r="I1315" t="s">
        <v>223</v>
      </c>
      <c r="K1315">
        <v>7.4</v>
      </c>
      <c r="L1315">
        <v>12901010</v>
      </c>
      <c r="M1315">
        <v>485170</v>
      </c>
      <c r="N1315">
        <v>85</v>
      </c>
      <c r="O1315" t="s">
        <v>31</v>
      </c>
      <c r="P1315" t="s">
        <v>50</v>
      </c>
    </row>
    <row r="1316" spans="1:16" x14ac:dyDescent="0.35">
      <c r="A1316" t="s">
        <v>2782</v>
      </c>
      <c r="B1316" t="s">
        <v>2783</v>
      </c>
      <c r="D1316" t="s">
        <v>27</v>
      </c>
      <c r="E1316" t="s">
        <v>28</v>
      </c>
      <c r="F1316" s="1">
        <v>45852</v>
      </c>
      <c r="G1316">
        <v>2004</v>
      </c>
      <c r="H1316" t="s">
        <v>85</v>
      </c>
      <c r="I1316" t="s">
        <v>71</v>
      </c>
      <c r="J1316" t="s">
        <v>48</v>
      </c>
      <c r="K1316">
        <v>6.6</v>
      </c>
      <c r="L1316">
        <v>2021979</v>
      </c>
      <c r="M1316">
        <v>2710985</v>
      </c>
      <c r="N1316">
        <v>40</v>
      </c>
      <c r="O1316" t="s">
        <v>91</v>
      </c>
    </row>
    <row r="1317" spans="1:16" x14ac:dyDescent="0.35">
      <c r="A1317" t="s">
        <v>2784</v>
      </c>
      <c r="B1317" t="s">
        <v>2785</v>
      </c>
      <c r="C1317" t="s">
        <v>18</v>
      </c>
      <c r="D1317" t="s">
        <v>94</v>
      </c>
      <c r="E1317" t="s">
        <v>131</v>
      </c>
      <c r="F1317" s="1">
        <v>45535</v>
      </c>
      <c r="G1317">
        <v>2025</v>
      </c>
      <c r="H1317" t="s">
        <v>85</v>
      </c>
      <c r="I1317" t="s">
        <v>157</v>
      </c>
      <c r="J1317" t="s">
        <v>57</v>
      </c>
      <c r="K1317">
        <v>6.1</v>
      </c>
      <c r="L1317">
        <v>24735832</v>
      </c>
      <c r="M1317">
        <v>2230857</v>
      </c>
      <c r="N1317">
        <v>70</v>
      </c>
      <c r="O1317" t="s">
        <v>49</v>
      </c>
      <c r="P1317" t="s">
        <v>87</v>
      </c>
    </row>
    <row r="1318" spans="1:16" x14ac:dyDescent="0.35">
      <c r="A1318" t="s">
        <v>2786</v>
      </c>
      <c r="B1318" t="s">
        <v>2787</v>
      </c>
      <c r="C1318" t="s">
        <v>35</v>
      </c>
      <c r="D1318" t="s">
        <v>61</v>
      </c>
      <c r="E1318" t="s">
        <v>28</v>
      </c>
      <c r="F1318" s="1">
        <v>46003</v>
      </c>
      <c r="G1318">
        <v>2023</v>
      </c>
      <c r="H1318" t="s">
        <v>21</v>
      </c>
      <c r="I1318" t="s">
        <v>64</v>
      </c>
      <c r="J1318" t="s">
        <v>133</v>
      </c>
      <c r="K1318">
        <v>9.1999999999999993</v>
      </c>
      <c r="L1318">
        <v>23559074</v>
      </c>
      <c r="M1318">
        <v>4138787</v>
      </c>
      <c r="N1318">
        <v>120</v>
      </c>
      <c r="O1318" t="s">
        <v>31</v>
      </c>
    </row>
    <row r="1319" spans="1:16" x14ac:dyDescent="0.35">
      <c r="A1319" t="s">
        <v>2788</v>
      </c>
      <c r="B1319" t="s">
        <v>2789</v>
      </c>
      <c r="C1319" t="s">
        <v>35</v>
      </c>
      <c r="D1319" t="s">
        <v>90</v>
      </c>
      <c r="F1319" s="1">
        <v>42033</v>
      </c>
      <c r="G1319">
        <v>2004</v>
      </c>
      <c r="H1319" t="s">
        <v>46</v>
      </c>
      <c r="I1319" t="s">
        <v>136</v>
      </c>
      <c r="J1319" t="s">
        <v>57</v>
      </c>
      <c r="K1319">
        <v>8.6999999999999993</v>
      </c>
      <c r="L1319">
        <v>15143335</v>
      </c>
      <c r="M1319">
        <v>888285</v>
      </c>
      <c r="N1319">
        <v>94</v>
      </c>
      <c r="O1319" t="s">
        <v>91</v>
      </c>
      <c r="P1319" t="s">
        <v>50</v>
      </c>
    </row>
    <row r="1320" spans="1:16" x14ac:dyDescent="0.35">
      <c r="A1320" t="s">
        <v>2790</v>
      </c>
      <c r="B1320" t="s">
        <v>2791</v>
      </c>
      <c r="D1320" t="s">
        <v>27</v>
      </c>
      <c r="E1320" t="s">
        <v>165</v>
      </c>
      <c r="F1320" s="1">
        <v>43197</v>
      </c>
      <c r="G1320">
        <v>2018</v>
      </c>
      <c r="I1320" t="s">
        <v>162</v>
      </c>
      <c r="J1320" t="s">
        <v>96</v>
      </c>
      <c r="K1320">
        <v>9</v>
      </c>
      <c r="L1320">
        <v>24913932</v>
      </c>
      <c r="M1320">
        <v>2391698</v>
      </c>
      <c r="N1320">
        <v>67</v>
      </c>
      <c r="O1320" t="s">
        <v>41</v>
      </c>
      <c r="P1320" t="s">
        <v>32</v>
      </c>
    </row>
    <row r="1321" spans="1:16" x14ac:dyDescent="0.35">
      <c r="A1321" t="s">
        <v>2792</v>
      </c>
      <c r="B1321" t="s">
        <v>2793</v>
      </c>
      <c r="C1321" t="s">
        <v>53</v>
      </c>
      <c r="D1321" t="s">
        <v>156</v>
      </c>
      <c r="E1321" t="s">
        <v>99</v>
      </c>
      <c r="F1321" s="1">
        <v>43452</v>
      </c>
      <c r="G1321">
        <v>2024</v>
      </c>
      <c r="H1321" t="s">
        <v>121</v>
      </c>
      <c r="I1321" t="s">
        <v>64</v>
      </c>
      <c r="J1321" t="s">
        <v>23</v>
      </c>
      <c r="K1321">
        <v>6.3</v>
      </c>
      <c r="L1321">
        <v>8083273</v>
      </c>
      <c r="M1321">
        <v>1762556</v>
      </c>
      <c r="N1321">
        <v>95</v>
      </c>
      <c r="P1321" t="s">
        <v>87</v>
      </c>
    </row>
    <row r="1322" spans="1:16" x14ac:dyDescent="0.35">
      <c r="A1322" t="s">
        <v>2794</v>
      </c>
      <c r="B1322" t="s">
        <v>2795</v>
      </c>
      <c r="C1322" t="s">
        <v>84</v>
      </c>
      <c r="D1322" t="s">
        <v>68</v>
      </c>
      <c r="E1322" t="s">
        <v>69</v>
      </c>
      <c r="F1322" s="1">
        <v>45690</v>
      </c>
      <c r="G1322">
        <v>2022</v>
      </c>
      <c r="H1322" t="s">
        <v>114</v>
      </c>
      <c r="I1322" t="s">
        <v>696</v>
      </c>
      <c r="J1322" t="s">
        <v>57</v>
      </c>
      <c r="K1322">
        <v>6.7</v>
      </c>
      <c r="L1322">
        <v>5285366</v>
      </c>
      <c r="M1322">
        <v>4903397</v>
      </c>
      <c r="N1322">
        <v>57</v>
      </c>
      <c r="O1322" t="s">
        <v>104</v>
      </c>
      <c r="P1322" t="s">
        <v>32</v>
      </c>
    </row>
    <row r="1323" spans="1:16" x14ac:dyDescent="0.35">
      <c r="A1323" t="s">
        <v>2796</v>
      </c>
      <c r="B1323" t="s">
        <v>2797</v>
      </c>
      <c r="C1323" t="s">
        <v>53</v>
      </c>
      <c r="D1323" t="s">
        <v>156</v>
      </c>
      <c r="E1323" t="s">
        <v>113</v>
      </c>
      <c r="F1323" s="1">
        <v>43341</v>
      </c>
      <c r="G1323">
        <v>2024</v>
      </c>
      <c r="H1323" t="s">
        <v>63</v>
      </c>
      <c r="I1323" t="s">
        <v>118</v>
      </c>
      <c r="J1323" t="s">
        <v>30</v>
      </c>
      <c r="K1323">
        <v>4.7</v>
      </c>
      <c r="L1323">
        <v>19330209</v>
      </c>
      <c r="M1323">
        <v>525674</v>
      </c>
      <c r="N1323">
        <v>100</v>
      </c>
      <c r="O1323" t="s">
        <v>58</v>
      </c>
      <c r="P1323" t="s">
        <v>42</v>
      </c>
    </row>
    <row r="1324" spans="1:16" x14ac:dyDescent="0.35">
      <c r="A1324" t="s">
        <v>2798</v>
      </c>
      <c r="B1324" t="s">
        <v>2799</v>
      </c>
      <c r="C1324" t="s">
        <v>35</v>
      </c>
      <c r="D1324" t="s">
        <v>75</v>
      </c>
      <c r="E1324" t="s">
        <v>99</v>
      </c>
      <c r="F1324" s="1">
        <v>45331</v>
      </c>
      <c r="G1324">
        <v>2006</v>
      </c>
      <c r="H1324" t="s">
        <v>114</v>
      </c>
      <c r="J1324" t="s">
        <v>100</v>
      </c>
      <c r="K1324">
        <v>7.2</v>
      </c>
      <c r="L1324">
        <v>11725036</v>
      </c>
      <c r="M1324">
        <v>1181298</v>
      </c>
      <c r="N1324">
        <v>62</v>
      </c>
      <c r="O1324" t="s">
        <v>65</v>
      </c>
      <c r="P1324" t="s">
        <v>42</v>
      </c>
    </row>
    <row r="1325" spans="1:16" x14ac:dyDescent="0.35">
      <c r="A1325" t="s">
        <v>2800</v>
      </c>
      <c r="B1325" t="s">
        <v>2801</v>
      </c>
      <c r="C1325" t="s">
        <v>18</v>
      </c>
      <c r="E1325" t="s">
        <v>55</v>
      </c>
      <c r="F1325" s="1">
        <v>46188</v>
      </c>
      <c r="G1325">
        <v>2012</v>
      </c>
      <c r="H1325" t="s">
        <v>85</v>
      </c>
      <c r="I1325" t="s">
        <v>450</v>
      </c>
      <c r="J1325" t="s">
        <v>23</v>
      </c>
      <c r="K1325">
        <v>9.8000000000000007</v>
      </c>
      <c r="L1325">
        <v>9110211</v>
      </c>
      <c r="M1325">
        <v>694379</v>
      </c>
      <c r="N1325">
        <v>120</v>
      </c>
      <c r="O1325" t="s">
        <v>49</v>
      </c>
      <c r="P1325" t="s">
        <v>87</v>
      </c>
    </row>
    <row r="1326" spans="1:16" x14ac:dyDescent="0.35">
      <c r="A1326" t="s">
        <v>2802</v>
      </c>
      <c r="B1326" t="s">
        <v>2803</v>
      </c>
      <c r="C1326" t="s">
        <v>53</v>
      </c>
      <c r="D1326" t="s">
        <v>94</v>
      </c>
      <c r="E1326" t="s">
        <v>99</v>
      </c>
      <c r="F1326" s="1">
        <v>45177</v>
      </c>
      <c r="G1326">
        <v>2014</v>
      </c>
      <c r="H1326" t="s">
        <v>107</v>
      </c>
      <c r="I1326" t="s">
        <v>95</v>
      </c>
      <c r="J1326" t="s">
        <v>23</v>
      </c>
      <c r="K1326">
        <v>7.8</v>
      </c>
      <c r="L1326">
        <v>8266030</v>
      </c>
      <c r="M1326">
        <v>1632200</v>
      </c>
      <c r="N1326">
        <v>45</v>
      </c>
      <c r="O1326" t="s">
        <v>91</v>
      </c>
      <c r="P1326" t="s">
        <v>87</v>
      </c>
    </row>
    <row r="1327" spans="1:16" x14ac:dyDescent="0.35">
      <c r="A1327" t="s">
        <v>2804</v>
      </c>
      <c r="B1327" t="s">
        <v>2805</v>
      </c>
      <c r="C1327" t="s">
        <v>35</v>
      </c>
      <c r="D1327" t="s">
        <v>156</v>
      </c>
      <c r="E1327" t="s">
        <v>80</v>
      </c>
      <c r="F1327" s="1">
        <v>42426</v>
      </c>
      <c r="G1327">
        <v>2018</v>
      </c>
      <c r="H1327" t="s">
        <v>107</v>
      </c>
      <c r="I1327" t="s">
        <v>118</v>
      </c>
      <c r="J1327" t="s">
        <v>40</v>
      </c>
      <c r="K1327">
        <v>5.3</v>
      </c>
      <c r="L1327">
        <v>19849889</v>
      </c>
      <c r="M1327">
        <v>3149546</v>
      </c>
      <c r="N1327">
        <v>58</v>
      </c>
      <c r="O1327" t="s">
        <v>41</v>
      </c>
    </row>
    <row r="1328" spans="1:16" x14ac:dyDescent="0.35">
      <c r="A1328" t="s">
        <v>2806</v>
      </c>
      <c r="B1328" t="s">
        <v>2807</v>
      </c>
      <c r="C1328" t="s">
        <v>35</v>
      </c>
      <c r="E1328" t="s">
        <v>45</v>
      </c>
      <c r="F1328" s="1">
        <v>45369</v>
      </c>
      <c r="G1328">
        <v>2000</v>
      </c>
      <c r="H1328" t="s">
        <v>81</v>
      </c>
      <c r="I1328" t="s">
        <v>56</v>
      </c>
      <c r="J1328" t="s">
        <v>40</v>
      </c>
      <c r="K1328">
        <v>6.2</v>
      </c>
      <c r="L1328">
        <v>10849592</v>
      </c>
      <c r="M1328">
        <v>3246144</v>
      </c>
      <c r="N1328">
        <v>100</v>
      </c>
      <c r="O1328" t="s">
        <v>31</v>
      </c>
      <c r="P1328" t="s">
        <v>50</v>
      </c>
    </row>
    <row r="1329" spans="1:16" x14ac:dyDescent="0.35">
      <c r="A1329" t="s">
        <v>2808</v>
      </c>
      <c r="B1329" t="s">
        <v>2809</v>
      </c>
      <c r="C1329" t="s">
        <v>84</v>
      </c>
      <c r="D1329" t="s">
        <v>36</v>
      </c>
      <c r="E1329" t="s">
        <v>80</v>
      </c>
      <c r="F1329" s="1">
        <v>45390</v>
      </c>
      <c r="G1329">
        <v>2002</v>
      </c>
      <c r="H1329" t="s">
        <v>70</v>
      </c>
      <c r="I1329" t="s">
        <v>199</v>
      </c>
      <c r="K1329">
        <v>7.5</v>
      </c>
      <c r="L1329">
        <v>7626176</v>
      </c>
      <c r="M1329">
        <v>3953273</v>
      </c>
      <c r="N1329">
        <v>93</v>
      </c>
      <c r="O1329" t="s">
        <v>104</v>
      </c>
      <c r="P1329" t="s">
        <v>50</v>
      </c>
    </row>
    <row r="1330" spans="1:16" x14ac:dyDescent="0.35">
      <c r="A1330" t="s">
        <v>2810</v>
      </c>
      <c r="B1330" t="s">
        <v>2811</v>
      </c>
      <c r="C1330" t="s">
        <v>35</v>
      </c>
      <c r="D1330" t="s">
        <v>68</v>
      </c>
      <c r="E1330" t="s">
        <v>99</v>
      </c>
      <c r="F1330" s="1">
        <v>45678</v>
      </c>
      <c r="G1330">
        <v>2014</v>
      </c>
      <c r="H1330" t="s">
        <v>85</v>
      </c>
      <c r="I1330" t="s">
        <v>118</v>
      </c>
      <c r="J1330" t="s">
        <v>103</v>
      </c>
      <c r="K1330">
        <v>6.2</v>
      </c>
      <c r="L1330">
        <v>7949201</v>
      </c>
      <c r="M1330">
        <v>2833673</v>
      </c>
      <c r="N1330">
        <v>72</v>
      </c>
      <c r="O1330" t="s">
        <v>58</v>
      </c>
      <c r="P1330" t="s">
        <v>42</v>
      </c>
    </row>
    <row r="1331" spans="1:16" x14ac:dyDescent="0.35">
      <c r="A1331" t="s">
        <v>2812</v>
      </c>
      <c r="B1331" t="s">
        <v>2813</v>
      </c>
      <c r="C1331" t="s">
        <v>35</v>
      </c>
      <c r="D1331" t="s">
        <v>94</v>
      </c>
      <c r="F1331" s="1">
        <v>42822</v>
      </c>
      <c r="G1331">
        <v>2011</v>
      </c>
      <c r="I1331" t="s">
        <v>118</v>
      </c>
      <c r="J1331" t="s">
        <v>57</v>
      </c>
      <c r="K1331">
        <v>5.6</v>
      </c>
      <c r="L1331">
        <v>12459876</v>
      </c>
      <c r="M1331">
        <v>904893</v>
      </c>
      <c r="N1331">
        <v>120</v>
      </c>
      <c r="O1331" t="s">
        <v>24</v>
      </c>
      <c r="P1331" t="s">
        <v>50</v>
      </c>
    </row>
    <row r="1332" spans="1:16" x14ac:dyDescent="0.35">
      <c r="A1332" t="s">
        <v>2814</v>
      </c>
      <c r="B1332" t="s">
        <v>2815</v>
      </c>
      <c r="C1332" t="s">
        <v>79</v>
      </c>
      <c r="E1332" t="s">
        <v>69</v>
      </c>
      <c r="F1332" s="1">
        <v>43442</v>
      </c>
      <c r="G1332">
        <v>2025</v>
      </c>
      <c r="H1332" t="s">
        <v>81</v>
      </c>
      <c r="I1332" t="s">
        <v>299</v>
      </c>
      <c r="J1332" t="s">
        <v>133</v>
      </c>
      <c r="K1332">
        <v>9</v>
      </c>
      <c r="L1332">
        <v>11002076</v>
      </c>
      <c r="M1332">
        <v>1507747</v>
      </c>
      <c r="N1332">
        <v>61</v>
      </c>
      <c r="O1332" t="s">
        <v>58</v>
      </c>
    </row>
    <row r="1333" spans="1:16" x14ac:dyDescent="0.35">
      <c r="A1333" t="s">
        <v>2816</v>
      </c>
      <c r="B1333" t="s">
        <v>2817</v>
      </c>
      <c r="C1333" t="s">
        <v>79</v>
      </c>
      <c r="D1333" t="s">
        <v>36</v>
      </c>
      <c r="F1333" s="1">
        <v>42460</v>
      </c>
      <c r="G1333">
        <v>2014</v>
      </c>
      <c r="H1333" t="s">
        <v>107</v>
      </c>
      <c r="I1333" t="s">
        <v>420</v>
      </c>
      <c r="J1333" t="s">
        <v>48</v>
      </c>
      <c r="K1333">
        <v>6.5</v>
      </c>
      <c r="L1333">
        <v>5308213</v>
      </c>
      <c r="M1333">
        <v>2195855</v>
      </c>
      <c r="N1333">
        <v>93</v>
      </c>
      <c r="O1333" t="s">
        <v>41</v>
      </c>
    </row>
    <row r="1334" spans="1:16" x14ac:dyDescent="0.35">
      <c r="A1334" t="s">
        <v>2818</v>
      </c>
      <c r="B1334" t="s">
        <v>2819</v>
      </c>
      <c r="C1334" t="s">
        <v>84</v>
      </c>
      <c r="D1334" t="s">
        <v>75</v>
      </c>
      <c r="F1334" s="1">
        <v>45765</v>
      </c>
      <c r="G1334">
        <v>2025</v>
      </c>
      <c r="H1334" t="s">
        <v>85</v>
      </c>
      <c r="I1334" t="s">
        <v>150</v>
      </c>
      <c r="J1334" t="s">
        <v>153</v>
      </c>
      <c r="K1334">
        <v>5.8</v>
      </c>
      <c r="L1334">
        <v>19433327</v>
      </c>
      <c r="M1334">
        <v>4804160</v>
      </c>
      <c r="N1334">
        <v>56</v>
      </c>
      <c r="O1334" t="s">
        <v>91</v>
      </c>
      <c r="P1334" t="s">
        <v>32</v>
      </c>
    </row>
    <row r="1335" spans="1:16" x14ac:dyDescent="0.35">
      <c r="A1335" t="s">
        <v>2820</v>
      </c>
      <c r="B1335" t="s">
        <v>2819</v>
      </c>
      <c r="C1335" t="s">
        <v>35</v>
      </c>
      <c r="D1335" t="s">
        <v>90</v>
      </c>
      <c r="E1335" t="s">
        <v>62</v>
      </c>
      <c r="F1335" s="1">
        <v>42449</v>
      </c>
      <c r="G1335">
        <v>2018</v>
      </c>
      <c r="H1335" t="s">
        <v>85</v>
      </c>
      <c r="I1335" t="s">
        <v>64</v>
      </c>
      <c r="J1335" t="s">
        <v>57</v>
      </c>
      <c r="K1335">
        <v>8.1</v>
      </c>
      <c r="L1335">
        <v>2053081</v>
      </c>
      <c r="M1335">
        <v>4835178</v>
      </c>
      <c r="N1335">
        <v>69</v>
      </c>
      <c r="O1335" t="s">
        <v>123</v>
      </c>
      <c r="P1335" t="s">
        <v>50</v>
      </c>
    </row>
    <row r="1336" spans="1:16" x14ac:dyDescent="0.35">
      <c r="A1336" t="s">
        <v>2821</v>
      </c>
      <c r="B1336" t="s">
        <v>2822</v>
      </c>
      <c r="C1336" t="s">
        <v>53</v>
      </c>
      <c r="D1336" t="s">
        <v>68</v>
      </c>
      <c r="E1336" t="s">
        <v>55</v>
      </c>
      <c r="F1336" s="1">
        <v>43419</v>
      </c>
      <c r="G1336">
        <v>2003</v>
      </c>
      <c r="H1336" t="s">
        <v>85</v>
      </c>
      <c r="I1336" t="s">
        <v>118</v>
      </c>
      <c r="J1336" t="s">
        <v>30</v>
      </c>
      <c r="K1336">
        <v>9.3000000000000007</v>
      </c>
      <c r="L1336">
        <v>13795562</v>
      </c>
      <c r="M1336">
        <v>3260115</v>
      </c>
      <c r="N1336">
        <v>55</v>
      </c>
      <c r="O1336" t="s">
        <v>24</v>
      </c>
    </row>
    <row r="1337" spans="1:16" x14ac:dyDescent="0.35">
      <c r="A1337" t="s">
        <v>2823</v>
      </c>
      <c r="B1337" t="s">
        <v>2824</v>
      </c>
      <c r="C1337" t="s">
        <v>35</v>
      </c>
      <c r="D1337" t="s">
        <v>36</v>
      </c>
      <c r="E1337" t="s">
        <v>45</v>
      </c>
      <c r="F1337" s="1">
        <v>42692</v>
      </c>
      <c r="G1337">
        <v>2006</v>
      </c>
      <c r="H1337" t="s">
        <v>70</v>
      </c>
      <c r="I1337" t="s">
        <v>136</v>
      </c>
      <c r="J1337" t="s">
        <v>133</v>
      </c>
      <c r="K1337">
        <v>7.8</v>
      </c>
      <c r="L1337">
        <v>18242773</v>
      </c>
      <c r="M1337">
        <v>1334330</v>
      </c>
      <c r="N1337">
        <v>68</v>
      </c>
      <c r="O1337" t="s">
        <v>31</v>
      </c>
      <c r="P1337" t="s">
        <v>42</v>
      </c>
    </row>
    <row r="1338" spans="1:16" x14ac:dyDescent="0.35">
      <c r="A1338" t="s">
        <v>2825</v>
      </c>
      <c r="B1338" t="s">
        <v>2826</v>
      </c>
      <c r="C1338" t="s">
        <v>35</v>
      </c>
      <c r="E1338" t="s">
        <v>62</v>
      </c>
      <c r="F1338" s="1">
        <v>45872</v>
      </c>
      <c r="G1338">
        <v>2010</v>
      </c>
      <c r="H1338" t="s">
        <v>81</v>
      </c>
      <c r="I1338" t="s">
        <v>71</v>
      </c>
      <c r="K1338">
        <v>4.8</v>
      </c>
      <c r="L1338">
        <v>15804852</v>
      </c>
      <c r="M1338">
        <v>3566015</v>
      </c>
      <c r="N1338">
        <v>40</v>
      </c>
      <c r="O1338" t="s">
        <v>123</v>
      </c>
    </row>
    <row r="1339" spans="1:16" x14ac:dyDescent="0.35">
      <c r="A1339" t="s">
        <v>2827</v>
      </c>
      <c r="B1339" t="s">
        <v>2828</v>
      </c>
      <c r="C1339" t="s">
        <v>84</v>
      </c>
      <c r="D1339" t="s">
        <v>19</v>
      </c>
      <c r="E1339" t="s">
        <v>113</v>
      </c>
      <c r="F1339" s="1">
        <v>43774</v>
      </c>
      <c r="G1339">
        <v>2003</v>
      </c>
      <c r="H1339" t="s">
        <v>114</v>
      </c>
      <c r="J1339" t="s">
        <v>23</v>
      </c>
      <c r="K1339">
        <v>5.5</v>
      </c>
      <c r="L1339">
        <v>18638453</v>
      </c>
      <c r="M1339">
        <v>2626005</v>
      </c>
      <c r="N1339">
        <v>99</v>
      </c>
      <c r="O1339" t="s">
        <v>58</v>
      </c>
      <c r="P1339" t="s">
        <v>50</v>
      </c>
    </row>
    <row r="1340" spans="1:16" x14ac:dyDescent="0.35">
      <c r="A1340" t="s">
        <v>2829</v>
      </c>
      <c r="B1340" t="s">
        <v>2830</v>
      </c>
      <c r="C1340" t="s">
        <v>53</v>
      </c>
      <c r="D1340" t="s">
        <v>54</v>
      </c>
      <c r="F1340" s="1">
        <v>44361</v>
      </c>
      <c r="G1340">
        <v>2006</v>
      </c>
      <c r="H1340" t="s">
        <v>107</v>
      </c>
      <c r="I1340" t="s">
        <v>39</v>
      </c>
      <c r="J1340" t="s">
        <v>40</v>
      </c>
      <c r="K1340">
        <v>6.4</v>
      </c>
      <c r="L1340">
        <v>18992277</v>
      </c>
      <c r="M1340">
        <v>2109131</v>
      </c>
      <c r="N1340">
        <v>89</v>
      </c>
      <c r="O1340" t="s">
        <v>31</v>
      </c>
      <c r="P1340" t="s">
        <v>87</v>
      </c>
    </row>
    <row r="1341" spans="1:16" x14ac:dyDescent="0.35">
      <c r="A1341" t="s">
        <v>2831</v>
      </c>
      <c r="B1341" t="s">
        <v>2830</v>
      </c>
      <c r="D1341" t="s">
        <v>156</v>
      </c>
      <c r="E1341" t="s">
        <v>80</v>
      </c>
      <c r="F1341" s="1">
        <v>43288</v>
      </c>
      <c r="G1341">
        <v>2000</v>
      </c>
      <c r="H1341" t="s">
        <v>21</v>
      </c>
      <c r="I1341" t="s">
        <v>56</v>
      </c>
      <c r="J1341" t="s">
        <v>48</v>
      </c>
      <c r="K1341">
        <v>8</v>
      </c>
      <c r="L1341">
        <v>10147571</v>
      </c>
      <c r="M1341">
        <v>3711531</v>
      </c>
      <c r="N1341">
        <v>57</v>
      </c>
      <c r="O1341" t="s">
        <v>91</v>
      </c>
      <c r="P1341" t="s">
        <v>87</v>
      </c>
    </row>
    <row r="1342" spans="1:16" x14ac:dyDescent="0.35">
      <c r="A1342" t="s">
        <v>2832</v>
      </c>
      <c r="B1342" t="s">
        <v>2833</v>
      </c>
      <c r="D1342" t="s">
        <v>36</v>
      </c>
      <c r="F1342" s="1">
        <v>46087</v>
      </c>
      <c r="G1342">
        <v>2020</v>
      </c>
      <c r="H1342" t="s">
        <v>70</v>
      </c>
      <c r="I1342" t="s">
        <v>136</v>
      </c>
      <c r="J1342" t="s">
        <v>100</v>
      </c>
      <c r="K1342">
        <v>8.6</v>
      </c>
      <c r="L1342">
        <v>771385</v>
      </c>
      <c r="M1342">
        <v>4223118</v>
      </c>
      <c r="N1342">
        <v>58</v>
      </c>
      <c r="O1342" t="s">
        <v>104</v>
      </c>
    </row>
    <row r="1343" spans="1:16" x14ac:dyDescent="0.35">
      <c r="A1343" t="s">
        <v>2834</v>
      </c>
      <c r="B1343" t="s">
        <v>2835</v>
      </c>
      <c r="C1343" t="s">
        <v>53</v>
      </c>
      <c r="D1343" t="s">
        <v>61</v>
      </c>
      <c r="E1343" t="s">
        <v>131</v>
      </c>
      <c r="F1343" s="1">
        <v>46115</v>
      </c>
      <c r="G1343">
        <v>2017</v>
      </c>
      <c r="H1343" t="s">
        <v>121</v>
      </c>
      <c r="J1343" t="s">
        <v>76</v>
      </c>
      <c r="K1343">
        <v>9.1</v>
      </c>
      <c r="L1343">
        <v>6977181</v>
      </c>
      <c r="M1343">
        <v>2729971</v>
      </c>
      <c r="N1343">
        <v>88</v>
      </c>
      <c r="O1343" t="s">
        <v>65</v>
      </c>
      <c r="P1343" t="s">
        <v>50</v>
      </c>
    </row>
    <row r="1344" spans="1:16" x14ac:dyDescent="0.35">
      <c r="A1344" t="s">
        <v>2836</v>
      </c>
      <c r="B1344" t="s">
        <v>2837</v>
      </c>
      <c r="C1344" t="s">
        <v>35</v>
      </c>
      <c r="D1344" t="s">
        <v>61</v>
      </c>
      <c r="E1344" t="s">
        <v>165</v>
      </c>
      <c r="F1344" s="1">
        <v>45813</v>
      </c>
      <c r="G1344">
        <v>2016</v>
      </c>
      <c r="H1344" t="s">
        <v>63</v>
      </c>
      <c r="I1344" t="s">
        <v>118</v>
      </c>
      <c r="J1344" t="s">
        <v>72</v>
      </c>
      <c r="K1344">
        <v>7</v>
      </c>
      <c r="L1344">
        <v>11727511</v>
      </c>
      <c r="M1344">
        <v>3932703</v>
      </c>
      <c r="N1344">
        <v>44</v>
      </c>
      <c r="O1344" t="s">
        <v>31</v>
      </c>
      <c r="P1344" t="s">
        <v>42</v>
      </c>
    </row>
    <row r="1345" spans="1:16" x14ac:dyDescent="0.35">
      <c r="A1345" t="s">
        <v>2838</v>
      </c>
      <c r="B1345" t="s">
        <v>2839</v>
      </c>
      <c r="D1345" t="s">
        <v>36</v>
      </c>
      <c r="F1345" s="1">
        <v>44630</v>
      </c>
      <c r="G1345">
        <v>2017</v>
      </c>
      <c r="H1345" t="s">
        <v>85</v>
      </c>
      <c r="I1345" t="s">
        <v>64</v>
      </c>
      <c r="J1345" t="s">
        <v>153</v>
      </c>
      <c r="K1345">
        <v>9.3000000000000007</v>
      </c>
      <c r="L1345">
        <v>5967787</v>
      </c>
      <c r="M1345">
        <v>3022425</v>
      </c>
      <c r="N1345">
        <v>61</v>
      </c>
      <c r="O1345" t="s">
        <v>123</v>
      </c>
    </row>
    <row r="1346" spans="1:16" x14ac:dyDescent="0.35">
      <c r="A1346" t="s">
        <v>2840</v>
      </c>
      <c r="B1346" t="s">
        <v>2841</v>
      </c>
      <c r="C1346" t="s">
        <v>79</v>
      </c>
      <c r="D1346" t="s">
        <v>156</v>
      </c>
      <c r="E1346" t="s">
        <v>28</v>
      </c>
      <c r="F1346" s="1">
        <v>43826</v>
      </c>
      <c r="G1346">
        <v>2008</v>
      </c>
      <c r="H1346" t="s">
        <v>121</v>
      </c>
      <c r="I1346" t="s">
        <v>323</v>
      </c>
      <c r="J1346" t="s">
        <v>30</v>
      </c>
      <c r="K1346">
        <v>8.8000000000000007</v>
      </c>
      <c r="L1346">
        <v>16268609</v>
      </c>
      <c r="M1346">
        <v>952720</v>
      </c>
      <c r="N1346">
        <v>44</v>
      </c>
      <c r="O1346" t="s">
        <v>41</v>
      </c>
      <c r="P1346" t="s">
        <v>87</v>
      </c>
    </row>
    <row r="1347" spans="1:16" x14ac:dyDescent="0.35">
      <c r="A1347" t="s">
        <v>2842</v>
      </c>
      <c r="B1347" t="s">
        <v>2843</v>
      </c>
      <c r="C1347" t="s">
        <v>18</v>
      </c>
      <c r="D1347" t="s">
        <v>90</v>
      </c>
      <c r="E1347" t="s">
        <v>99</v>
      </c>
      <c r="F1347" s="1">
        <v>45473</v>
      </c>
      <c r="G1347">
        <v>2000</v>
      </c>
      <c r="H1347" t="s">
        <v>107</v>
      </c>
      <c r="I1347" t="s">
        <v>661</v>
      </c>
      <c r="J1347" t="s">
        <v>30</v>
      </c>
      <c r="K1347">
        <v>8.6999999999999993</v>
      </c>
      <c r="L1347">
        <v>12565231</v>
      </c>
      <c r="M1347">
        <v>513129</v>
      </c>
      <c r="N1347">
        <v>41</v>
      </c>
      <c r="O1347" t="s">
        <v>41</v>
      </c>
    </row>
    <row r="1348" spans="1:16" x14ac:dyDescent="0.35">
      <c r="A1348" t="s">
        <v>2844</v>
      </c>
      <c r="B1348" t="s">
        <v>2845</v>
      </c>
      <c r="C1348" t="s">
        <v>35</v>
      </c>
      <c r="D1348" t="s">
        <v>156</v>
      </c>
      <c r="E1348" t="s">
        <v>113</v>
      </c>
      <c r="F1348" s="1">
        <v>45299</v>
      </c>
      <c r="G1348">
        <v>2020</v>
      </c>
      <c r="H1348" t="s">
        <v>63</v>
      </c>
      <c r="I1348" t="s">
        <v>56</v>
      </c>
      <c r="J1348" t="s">
        <v>153</v>
      </c>
      <c r="K1348">
        <v>9.5</v>
      </c>
      <c r="L1348">
        <v>10256665</v>
      </c>
      <c r="M1348">
        <v>2854127</v>
      </c>
      <c r="N1348">
        <v>54</v>
      </c>
      <c r="O1348" t="s">
        <v>24</v>
      </c>
      <c r="P1348" t="s">
        <v>50</v>
      </c>
    </row>
    <row r="1349" spans="1:16" x14ac:dyDescent="0.35">
      <c r="A1349" t="s">
        <v>2846</v>
      </c>
      <c r="B1349" t="s">
        <v>2847</v>
      </c>
      <c r="D1349" t="s">
        <v>156</v>
      </c>
      <c r="E1349" t="s">
        <v>37</v>
      </c>
      <c r="F1349" s="1">
        <v>43890</v>
      </c>
      <c r="G1349">
        <v>2002</v>
      </c>
      <c r="H1349" t="s">
        <v>63</v>
      </c>
      <c r="I1349" t="s">
        <v>39</v>
      </c>
      <c r="J1349" t="s">
        <v>57</v>
      </c>
      <c r="K1349">
        <v>9.6</v>
      </c>
      <c r="L1349">
        <v>4169663</v>
      </c>
      <c r="M1349">
        <v>1868022</v>
      </c>
      <c r="N1349">
        <v>51</v>
      </c>
      <c r="O1349" t="s">
        <v>91</v>
      </c>
      <c r="P1349" t="s">
        <v>50</v>
      </c>
    </row>
    <row r="1350" spans="1:16" x14ac:dyDescent="0.35">
      <c r="A1350" t="s">
        <v>2848</v>
      </c>
      <c r="B1350" t="s">
        <v>2849</v>
      </c>
      <c r="D1350" t="s">
        <v>54</v>
      </c>
      <c r="E1350" t="s">
        <v>131</v>
      </c>
      <c r="F1350" s="1">
        <v>43709</v>
      </c>
      <c r="G1350">
        <v>2024</v>
      </c>
      <c r="H1350" t="s">
        <v>38</v>
      </c>
      <c r="I1350" t="s">
        <v>39</v>
      </c>
      <c r="J1350" t="s">
        <v>72</v>
      </c>
      <c r="K1350">
        <v>5.8</v>
      </c>
      <c r="L1350">
        <v>6789862</v>
      </c>
      <c r="M1350">
        <v>4910709</v>
      </c>
      <c r="N1350">
        <v>120</v>
      </c>
      <c r="O1350" t="s">
        <v>123</v>
      </c>
    </row>
    <row r="1351" spans="1:16" x14ac:dyDescent="0.35">
      <c r="A1351" t="s">
        <v>2850</v>
      </c>
      <c r="B1351" t="s">
        <v>2851</v>
      </c>
      <c r="C1351" t="s">
        <v>79</v>
      </c>
      <c r="D1351" t="s">
        <v>36</v>
      </c>
      <c r="F1351" s="1">
        <v>42189</v>
      </c>
      <c r="G1351">
        <v>2025</v>
      </c>
      <c r="H1351" t="s">
        <v>114</v>
      </c>
      <c r="I1351" t="s">
        <v>865</v>
      </c>
      <c r="J1351" t="s">
        <v>96</v>
      </c>
      <c r="K1351">
        <v>6.4</v>
      </c>
      <c r="L1351">
        <v>16669266</v>
      </c>
      <c r="M1351">
        <v>3638274</v>
      </c>
      <c r="N1351">
        <v>94</v>
      </c>
      <c r="O1351" t="s">
        <v>24</v>
      </c>
      <c r="P1351" t="s">
        <v>87</v>
      </c>
    </row>
    <row r="1352" spans="1:16" x14ac:dyDescent="0.35">
      <c r="A1352" t="s">
        <v>2852</v>
      </c>
      <c r="B1352" t="s">
        <v>2853</v>
      </c>
      <c r="D1352" t="s">
        <v>19</v>
      </c>
      <c r="E1352" t="s">
        <v>99</v>
      </c>
      <c r="F1352" s="1">
        <v>44631</v>
      </c>
      <c r="G1352">
        <v>2010</v>
      </c>
      <c r="H1352" t="s">
        <v>114</v>
      </c>
      <c r="I1352" t="s">
        <v>39</v>
      </c>
      <c r="J1352" t="s">
        <v>57</v>
      </c>
      <c r="K1352">
        <v>6.2</v>
      </c>
      <c r="L1352">
        <v>8401445</v>
      </c>
      <c r="M1352">
        <v>16670</v>
      </c>
      <c r="N1352">
        <v>96</v>
      </c>
      <c r="O1352" t="s">
        <v>104</v>
      </c>
    </row>
    <row r="1353" spans="1:16" x14ac:dyDescent="0.35">
      <c r="A1353" t="s">
        <v>2854</v>
      </c>
      <c r="B1353" t="s">
        <v>2855</v>
      </c>
      <c r="C1353" t="s">
        <v>53</v>
      </c>
      <c r="D1353" t="s">
        <v>19</v>
      </c>
      <c r="E1353" t="s">
        <v>28</v>
      </c>
      <c r="F1353" s="1">
        <v>43533</v>
      </c>
      <c r="G1353">
        <v>2018</v>
      </c>
      <c r="H1353" t="s">
        <v>46</v>
      </c>
      <c r="I1353" t="s">
        <v>136</v>
      </c>
      <c r="J1353" t="s">
        <v>96</v>
      </c>
      <c r="K1353">
        <v>8.4</v>
      </c>
      <c r="L1353">
        <v>385879</v>
      </c>
      <c r="M1353">
        <v>4531361</v>
      </c>
      <c r="N1353">
        <v>65</v>
      </c>
      <c r="O1353" t="s">
        <v>41</v>
      </c>
      <c r="P1353" t="s">
        <v>87</v>
      </c>
    </row>
    <row r="1354" spans="1:16" x14ac:dyDescent="0.35">
      <c r="A1354" t="s">
        <v>2856</v>
      </c>
      <c r="B1354" t="s">
        <v>2857</v>
      </c>
      <c r="C1354" t="s">
        <v>35</v>
      </c>
      <c r="D1354" t="s">
        <v>156</v>
      </c>
      <c r="E1354" t="s">
        <v>113</v>
      </c>
      <c r="F1354" s="1">
        <v>45861</v>
      </c>
      <c r="G1354">
        <v>2010</v>
      </c>
      <c r="H1354" t="s">
        <v>21</v>
      </c>
      <c r="I1354" t="s">
        <v>162</v>
      </c>
      <c r="J1354" t="s">
        <v>72</v>
      </c>
      <c r="K1354">
        <v>8.6</v>
      </c>
      <c r="L1354">
        <v>-915</v>
      </c>
      <c r="M1354">
        <v>4590458</v>
      </c>
      <c r="N1354">
        <v>86</v>
      </c>
      <c r="O1354" t="s">
        <v>104</v>
      </c>
      <c r="P1354" t="s">
        <v>50</v>
      </c>
    </row>
    <row r="1355" spans="1:16" x14ac:dyDescent="0.35">
      <c r="A1355" t="s">
        <v>2858</v>
      </c>
      <c r="B1355" t="s">
        <v>2859</v>
      </c>
      <c r="C1355" t="s">
        <v>84</v>
      </c>
      <c r="D1355" t="s">
        <v>27</v>
      </c>
      <c r="F1355" s="1">
        <v>43032</v>
      </c>
      <c r="G1355">
        <v>2026</v>
      </c>
      <c r="I1355" t="s">
        <v>1279</v>
      </c>
      <c r="J1355" t="s">
        <v>103</v>
      </c>
      <c r="K1355">
        <v>6.5</v>
      </c>
      <c r="L1355">
        <v>20242762</v>
      </c>
      <c r="M1355">
        <v>2847465</v>
      </c>
      <c r="N1355">
        <v>44</v>
      </c>
      <c r="O1355" t="s">
        <v>41</v>
      </c>
    </row>
    <row r="1356" spans="1:16" x14ac:dyDescent="0.35">
      <c r="A1356" t="s">
        <v>2860</v>
      </c>
      <c r="B1356" t="s">
        <v>2861</v>
      </c>
      <c r="C1356" t="s">
        <v>18</v>
      </c>
      <c r="D1356" t="s">
        <v>54</v>
      </c>
      <c r="E1356" t="s">
        <v>20</v>
      </c>
      <c r="F1356" s="1">
        <v>44616</v>
      </c>
      <c r="G1356">
        <v>2026</v>
      </c>
      <c r="I1356" t="s">
        <v>505</v>
      </c>
      <c r="J1356" t="s">
        <v>57</v>
      </c>
      <c r="K1356">
        <v>7.4</v>
      </c>
      <c r="L1356">
        <v>15162991</v>
      </c>
      <c r="M1356">
        <v>1420082</v>
      </c>
      <c r="N1356">
        <v>92</v>
      </c>
      <c r="O1356" t="s">
        <v>104</v>
      </c>
    </row>
    <row r="1357" spans="1:16" x14ac:dyDescent="0.35">
      <c r="A1357" t="s">
        <v>2862</v>
      </c>
      <c r="B1357" t="s">
        <v>2861</v>
      </c>
      <c r="C1357" t="s">
        <v>53</v>
      </c>
      <c r="E1357" t="s">
        <v>69</v>
      </c>
      <c r="F1357" s="1">
        <v>43502</v>
      </c>
      <c r="G1357">
        <v>2026</v>
      </c>
      <c r="H1357" t="s">
        <v>46</v>
      </c>
      <c r="I1357" t="s">
        <v>71</v>
      </c>
      <c r="J1357" t="s">
        <v>100</v>
      </c>
      <c r="K1357">
        <v>8.6999999999999993</v>
      </c>
      <c r="L1357">
        <v>11124934</v>
      </c>
      <c r="M1357">
        <v>3356933</v>
      </c>
      <c r="N1357">
        <v>43</v>
      </c>
      <c r="O1357" t="s">
        <v>91</v>
      </c>
    </row>
    <row r="1358" spans="1:16" x14ac:dyDescent="0.35">
      <c r="A1358" t="s">
        <v>2863</v>
      </c>
      <c r="B1358" t="s">
        <v>2864</v>
      </c>
      <c r="C1358" t="s">
        <v>84</v>
      </c>
      <c r="D1358" t="s">
        <v>61</v>
      </c>
      <c r="E1358" t="s">
        <v>37</v>
      </c>
      <c r="F1358" s="1">
        <v>43537</v>
      </c>
      <c r="G1358">
        <v>2024</v>
      </c>
      <c r="K1358">
        <v>8.6</v>
      </c>
      <c r="L1358">
        <v>22983441</v>
      </c>
      <c r="M1358">
        <v>946800</v>
      </c>
      <c r="N1358">
        <v>72</v>
      </c>
      <c r="O1358" t="s">
        <v>41</v>
      </c>
      <c r="P1358" t="s">
        <v>87</v>
      </c>
    </row>
    <row r="1359" spans="1:16" x14ac:dyDescent="0.35">
      <c r="A1359" t="s">
        <v>2865</v>
      </c>
      <c r="B1359" t="s">
        <v>2866</v>
      </c>
      <c r="C1359" t="s">
        <v>53</v>
      </c>
      <c r="D1359" t="s">
        <v>94</v>
      </c>
      <c r="E1359" t="s">
        <v>55</v>
      </c>
      <c r="F1359" s="1">
        <v>45359</v>
      </c>
      <c r="G1359">
        <v>2025</v>
      </c>
      <c r="H1359" t="s">
        <v>21</v>
      </c>
      <c r="I1359" t="s">
        <v>71</v>
      </c>
      <c r="K1359">
        <v>8.9</v>
      </c>
      <c r="L1359">
        <v>19465747</v>
      </c>
      <c r="M1359">
        <v>701159</v>
      </c>
      <c r="N1359">
        <v>68</v>
      </c>
      <c r="P1359" t="s">
        <v>32</v>
      </c>
    </row>
    <row r="1360" spans="1:16" x14ac:dyDescent="0.35">
      <c r="A1360" t="s">
        <v>2867</v>
      </c>
      <c r="B1360" t="s">
        <v>2866</v>
      </c>
      <c r="C1360" t="s">
        <v>53</v>
      </c>
      <c r="D1360" t="s">
        <v>61</v>
      </c>
      <c r="E1360" t="s">
        <v>131</v>
      </c>
      <c r="F1360" s="1">
        <v>45561</v>
      </c>
      <c r="G1360">
        <v>2013</v>
      </c>
      <c r="H1360" t="s">
        <v>70</v>
      </c>
      <c r="I1360" t="s">
        <v>95</v>
      </c>
      <c r="J1360" t="s">
        <v>72</v>
      </c>
      <c r="K1360">
        <v>4.8</v>
      </c>
      <c r="L1360">
        <v>2210508</v>
      </c>
      <c r="M1360">
        <v>1647584</v>
      </c>
      <c r="N1360">
        <v>81</v>
      </c>
      <c r="O1360" t="s">
        <v>31</v>
      </c>
      <c r="P1360" t="s">
        <v>87</v>
      </c>
    </row>
    <row r="1361" spans="1:16" x14ac:dyDescent="0.35">
      <c r="A1361" t="s">
        <v>2868</v>
      </c>
      <c r="B1361" t="s">
        <v>2869</v>
      </c>
      <c r="C1361" t="s">
        <v>79</v>
      </c>
      <c r="D1361" t="s">
        <v>94</v>
      </c>
      <c r="E1361" t="s">
        <v>28</v>
      </c>
      <c r="F1361" s="1">
        <v>45105</v>
      </c>
      <c r="G1361">
        <v>2023</v>
      </c>
      <c r="H1361" t="s">
        <v>114</v>
      </c>
      <c r="I1361" t="s">
        <v>299</v>
      </c>
      <c r="J1361" t="s">
        <v>153</v>
      </c>
      <c r="K1361">
        <v>9.1999999999999993</v>
      </c>
      <c r="L1361">
        <v>19064812</v>
      </c>
      <c r="M1361">
        <v>4703430</v>
      </c>
      <c r="N1361">
        <v>54</v>
      </c>
      <c r="O1361" t="s">
        <v>31</v>
      </c>
    </row>
    <row r="1362" spans="1:16" x14ac:dyDescent="0.35">
      <c r="A1362" t="s">
        <v>2870</v>
      </c>
      <c r="B1362" t="s">
        <v>2871</v>
      </c>
      <c r="D1362" t="s">
        <v>75</v>
      </c>
      <c r="F1362" s="1">
        <v>45495</v>
      </c>
      <c r="G1362">
        <v>2003</v>
      </c>
      <c r="H1362" t="s">
        <v>85</v>
      </c>
      <c r="I1362" t="s">
        <v>136</v>
      </c>
      <c r="K1362">
        <v>6.9</v>
      </c>
      <c r="L1362">
        <v>9786742</v>
      </c>
      <c r="M1362">
        <v>1679958</v>
      </c>
      <c r="N1362">
        <v>43</v>
      </c>
      <c r="O1362" t="s">
        <v>58</v>
      </c>
    </row>
    <row r="1363" spans="1:16" x14ac:dyDescent="0.35">
      <c r="A1363" t="s">
        <v>2872</v>
      </c>
      <c r="B1363" t="s">
        <v>2873</v>
      </c>
      <c r="C1363" t="s">
        <v>53</v>
      </c>
      <c r="D1363" t="s">
        <v>61</v>
      </c>
      <c r="E1363" t="s">
        <v>69</v>
      </c>
      <c r="F1363" s="1">
        <v>43959</v>
      </c>
      <c r="G1363">
        <v>2022</v>
      </c>
      <c r="H1363" t="s">
        <v>21</v>
      </c>
      <c r="I1363" t="s">
        <v>56</v>
      </c>
      <c r="J1363" t="s">
        <v>30</v>
      </c>
      <c r="K1363">
        <v>7.9</v>
      </c>
      <c r="L1363">
        <v>5774985</v>
      </c>
      <c r="M1363">
        <v>4792482</v>
      </c>
      <c r="N1363">
        <v>70</v>
      </c>
      <c r="O1363" t="s">
        <v>31</v>
      </c>
      <c r="P1363" t="s">
        <v>50</v>
      </c>
    </row>
    <row r="1364" spans="1:16" x14ac:dyDescent="0.35">
      <c r="A1364" t="s">
        <v>2874</v>
      </c>
      <c r="B1364" t="s">
        <v>2875</v>
      </c>
      <c r="D1364" t="s">
        <v>156</v>
      </c>
      <c r="E1364" t="s">
        <v>131</v>
      </c>
      <c r="F1364" s="1">
        <v>44683</v>
      </c>
      <c r="G1364">
        <v>2017</v>
      </c>
      <c r="H1364" t="s">
        <v>46</v>
      </c>
      <c r="I1364" t="s">
        <v>64</v>
      </c>
      <c r="J1364" t="s">
        <v>96</v>
      </c>
      <c r="K1364">
        <v>7.1</v>
      </c>
      <c r="L1364">
        <v>9563655</v>
      </c>
      <c r="M1364">
        <v>1409098</v>
      </c>
      <c r="N1364">
        <v>89</v>
      </c>
      <c r="O1364" t="s">
        <v>91</v>
      </c>
      <c r="P1364" t="s">
        <v>32</v>
      </c>
    </row>
    <row r="1365" spans="1:16" x14ac:dyDescent="0.35">
      <c r="A1365" t="s">
        <v>2876</v>
      </c>
      <c r="B1365" t="s">
        <v>2877</v>
      </c>
      <c r="D1365" t="s">
        <v>36</v>
      </c>
      <c r="E1365" t="s">
        <v>62</v>
      </c>
      <c r="F1365" s="1">
        <v>45139</v>
      </c>
      <c r="G1365">
        <v>2017</v>
      </c>
      <c r="H1365" t="s">
        <v>38</v>
      </c>
      <c r="I1365" t="s">
        <v>39</v>
      </c>
      <c r="J1365" t="s">
        <v>96</v>
      </c>
      <c r="K1365">
        <v>4.5999999999999996</v>
      </c>
      <c r="L1365">
        <v>8703836</v>
      </c>
      <c r="M1365">
        <v>3265205</v>
      </c>
      <c r="N1365">
        <v>120</v>
      </c>
      <c r="O1365" t="s">
        <v>31</v>
      </c>
    </row>
    <row r="1366" spans="1:16" x14ac:dyDescent="0.35">
      <c r="A1366" t="s">
        <v>2878</v>
      </c>
      <c r="B1366" t="s">
        <v>2879</v>
      </c>
      <c r="C1366" t="s">
        <v>35</v>
      </c>
      <c r="E1366" t="s">
        <v>165</v>
      </c>
      <c r="F1366" s="1">
        <v>45082</v>
      </c>
      <c r="G1366">
        <v>2012</v>
      </c>
      <c r="H1366" t="s">
        <v>107</v>
      </c>
      <c r="I1366" t="s">
        <v>136</v>
      </c>
      <c r="J1366" t="s">
        <v>133</v>
      </c>
      <c r="K1366">
        <v>7.8</v>
      </c>
      <c r="L1366">
        <v>2908804</v>
      </c>
      <c r="M1366">
        <v>3466514</v>
      </c>
      <c r="N1366">
        <v>56</v>
      </c>
      <c r="O1366" t="s">
        <v>58</v>
      </c>
    </row>
    <row r="1367" spans="1:16" x14ac:dyDescent="0.35">
      <c r="A1367" t="s">
        <v>2880</v>
      </c>
      <c r="B1367" t="s">
        <v>2881</v>
      </c>
      <c r="C1367" t="s">
        <v>84</v>
      </c>
      <c r="D1367" t="s">
        <v>90</v>
      </c>
      <c r="F1367" s="1">
        <v>44709</v>
      </c>
      <c r="G1367">
        <v>2008</v>
      </c>
      <c r="H1367" t="s">
        <v>81</v>
      </c>
      <c r="I1367" t="s">
        <v>1452</v>
      </c>
      <c r="J1367" t="s">
        <v>30</v>
      </c>
      <c r="K1367">
        <v>6.2</v>
      </c>
      <c r="L1367">
        <v>3057791</v>
      </c>
      <c r="M1367">
        <v>526414</v>
      </c>
      <c r="N1367">
        <v>71</v>
      </c>
      <c r="O1367" t="s">
        <v>65</v>
      </c>
      <c r="P1367" t="s">
        <v>87</v>
      </c>
    </row>
    <row r="1368" spans="1:16" x14ac:dyDescent="0.35">
      <c r="A1368" t="s">
        <v>2882</v>
      </c>
      <c r="B1368" t="s">
        <v>2883</v>
      </c>
      <c r="D1368" t="s">
        <v>54</v>
      </c>
      <c r="E1368" t="s">
        <v>80</v>
      </c>
      <c r="F1368" s="1">
        <v>43399</v>
      </c>
      <c r="G1368">
        <v>2017</v>
      </c>
      <c r="H1368" t="s">
        <v>46</v>
      </c>
      <c r="I1368" t="s">
        <v>162</v>
      </c>
      <c r="J1368" t="s">
        <v>40</v>
      </c>
      <c r="K1368">
        <v>9.6</v>
      </c>
      <c r="L1368">
        <v>14993221</v>
      </c>
      <c r="M1368">
        <v>4013016</v>
      </c>
      <c r="N1368">
        <v>43</v>
      </c>
      <c r="O1368" t="s">
        <v>41</v>
      </c>
      <c r="P1368" t="s">
        <v>32</v>
      </c>
    </row>
    <row r="1369" spans="1:16" x14ac:dyDescent="0.35">
      <c r="A1369" t="s">
        <v>2884</v>
      </c>
      <c r="B1369" t="s">
        <v>2885</v>
      </c>
      <c r="D1369" t="s">
        <v>156</v>
      </c>
      <c r="E1369" t="s">
        <v>80</v>
      </c>
      <c r="F1369" s="1">
        <v>45807</v>
      </c>
      <c r="G1369">
        <v>2006</v>
      </c>
      <c r="H1369" t="s">
        <v>70</v>
      </c>
      <c r="I1369" t="s">
        <v>118</v>
      </c>
      <c r="J1369" t="s">
        <v>153</v>
      </c>
      <c r="K1369">
        <v>5.7</v>
      </c>
      <c r="L1369">
        <v>22152832</v>
      </c>
      <c r="M1369">
        <v>74221</v>
      </c>
      <c r="N1369">
        <v>69</v>
      </c>
      <c r="O1369" t="s">
        <v>41</v>
      </c>
      <c r="P1369" t="s">
        <v>32</v>
      </c>
    </row>
    <row r="1370" spans="1:16" x14ac:dyDescent="0.35">
      <c r="A1370" t="s">
        <v>2886</v>
      </c>
      <c r="B1370" t="s">
        <v>2887</v>
      </c>
      <c r="C1370" t="s">
        <v>84</v>
      </c>
      <c r="D1370" t="s">
        <v>75</v>
      </c>
      <c r="E1370" t="s">
        <v>113</v>
      </c>
      <c r="F1370" s="1">
        <v>42229</v>
      </c>
      <c r="G1370">
        <v>2007</v>
      </c>
      <c r="I1370" t="s">
        <v>696</v>
      </c>
      <c r="J1370" t="s">
        <v>30</v>
      </c>
      <c r="K1370">
        <v>5.8</v>
      </c>
      <c r="L1370">
        <v>16250657</v>
      </c>
      <c r="M1370">
        <v>3505801</v>
      </c>
      <c r="N1370">
        <v>58</v>
      </c>
      <c r="O1370" t="s">
        <v>41</v>
      </c>
      <c r="P1370" t="s">
        <v>50</v>
      </c>
    </row>
    <row r="1371" spans="1:16" x14ac:dyDescent="0.35">
      <c r="A1371" t="s">
        <v>2888</v>
      </c>
      <c r="B1371" t="s">
        <v>2889</v>
      </c>
      <c r="C1371" t="s">
        <v>84</v>
      </c>
      <c r="D1371" t="s">
        <v>61</v>
      </c>
      <c r="E1371" t="s">
        <v>69</v>
      </c>
      <c r="F1371" s="1">
        <v>45669</v>
      </c>
      <c r="G1371">
        <v>2004</v>
      </c>
      <c r="I1371" t="s">
        <v>696</v>
      </c>
      <c r="J1371" t="s">
        <v>100</v>
      </c>
      <c r="K1371">
        <v>5.0999999999999996</v>
      </c>
      <c r="L1371">
        <v>11733790</v>
      </c>
      <c r="M1371">
        <v>2651005</v>
      </c>
      <c r="N1371">
        <v>91</v>
      </c>
      <c r="P1371" t="s">
        <v>87</v>
      </c>
    </row>
    <row r="1372" spans="1:16" x14ac:dyDescent="0.35">
      <c r="A1372" t="s">
        <v>2890</v>
      </c>
      <c r="B1372" t="s">
        <v>2891</v>
      </c>
      <c r="C1372" t="s">
        <v>84</v>
      </c>
      <c r="D1372" t="s">
        <v>90</v>
      </c>
      <c r="E1372" t="s">
        <v>45</v>
      </c>
      <c r="F1372" s="1">
        <v>45417</v>
      </c>
      <c r="G1372">
        <v>2007</v>
      </c>
      <c r="H1372" t="s">
        <v>38</v>
      </c>
      <c r="I1372" t="s">
        <v>1032</v>
      </c>
      <c r="J1372" t="s">
        <v>23</v>
      </c>
      <c r="K1372">
        <v>7.5</v>
      </c>
      <c r="L1372">
        <v>24409460</v>
      </c>
      <c r="M1372">
        <v>2620029</v>
      </c>
      <c r="N1372">
        <v>73</v>
      </c>
      <c r="P1372" t="s">
        <v>50</v>
      </c>
    </row>
    <row r="1373" spans="1:16" x14ac:dyDescent="0.35">
      <c r="A1373" t="s">
        <v>2892</v>
      </c>
      <c r="B1373" t="s">
        <v>2893</v>
      </c>
      <c r="D1373" t="s">
        <v>75</v>
      </c>
      <c r="E1373" t="s">
        <v>62</v>
      </c>
      <c r="F1373" s="1">
        <v>43372</v>
      </c>
      <c r="G1373">
        <v>2003</v>
      </c>
      <c r="H1373" t="s">
        <v>63</v>
      </c>
      <c r="I1373" t="s">
        <v>56</v>
      </c>
      <c r="J1373" t="s">
        <v>23</v>
      </c>
      <c r="K1373">
        <v>11.2</v>
      </c>
      <c r="L1373">
        <v>15525440</v>
      </c>
      <c r="M1373">
        <v>233450</v>
      </c>
      <c r="N1373">
        <v>44</v>
      </c>
      <c r="O1373" t="s">
        <v>123</v>
      </c>
      <c r="P1373" t="s">
        <v>50</v>
      </c>
    </row>
    <row r="1374" spans="1:16" x14ac:dyDescent="0.35">
      <c r="A1374" t="s">
        <v>2894</v>
      </c>
      <c r="B1374" t="s">
        <v>2895</v>
      </c>
      <c r="C1374" t="s">
        <v>79</v>
      </c>
      <c r="D1374" t="s">
        <v>27</v>
      </c>
      <c r="E1374" t="s">
        <v>165</v>
      </c>
      <c r="F1374" s="1">
        <v>42112</v>
      </c>
      <c r="G1374">
        <v>2003</v>
      </c>
      <c r="H1374" t="s">
        <v>63</v>
      </c>
      <c r="I1374" t="s">
        <v>294</v>
      </c>
      <c r="J1374" t="s">
        <v>103</v>
      </c>
      <c r="K1374">
        <v>5.0999999999999996</v>
      </c>
      <c r="L1374">
        <v>8626400</v>
      </c>
      <c r="M1374">
        <v>2391233</v>
      </c>
      <c r="N1374">
        <v>57</v>
      </c>
      <c r="O1374" t="s">
        <v>58</v>
      </c>
      <c r="P1374" t="s">
        <v>42</v>
      </c>
    </row>
    <row r="1375" spans="1:16" x14ac:dyDescent="0.35">
      <c r="A1375" t="s">
        <v>2896</v>
      </c>
      <c r="B1375" t="s">
        <v>2897</v>
      </c>
      <c r="C1375" t="s">
        <v>35</v>
      </c>
      <c r="D1375" t="s">
        <v>61</v>
      </c>
      <c r="E1375" t="s">
        <v>55</v>
      </c>
      <c r="F1375" s="1">
        <v>43914</v>
      </c>
      <c r="G1375">
        <v>2023</v>
      </c>
      <c r="H1375" t="s">
        <v>63</v>
      </c>
      <c r="I1375" t="s">
        <v>118</v>
      </c>
      <c r="J1375" t="s">
        <v>48</v>
      </c>
      <c r="K1375">
        <v>7.2</v>
      </c>
      <c r="L1375">
        <v>5131306</v>
      </c>
      <c r="M1375">
        <v>2015267</v>
      </c>
      <c r="N1375">
        <v>45</v>
      </c>
      <c r="O1375" t="s">
        <v>24</v>
      </c>
      <c r="P1375" t="s">
        <v>32</v>
      </c>
    </row>
    <row r="1376" spans="1:16" x14ac:dyDescent="0.35">
      <c r="A1376" t="s">
        <v>2898</v>
      </c>
      <c r="B1376" t="s">
        <v>2899</v>
      </c>
      <c r="C1376" t="s">
        <v>53</v>
      </c>
      <c r="D1376" t="s">
        <v>68</v>
      </c>
      <c r="E1376" t="s">
        <v>69</v>
      </c>
      <c r="F1376" s="1">
        <v>44479</v>
      </c>
      <c r="G1376">
        <v>2009</v>
      </c>
      <c r="H1376" t="s">
        <v>114</v>
      </c>
      <c r="I1376" t="s">
        <v>162</v>
      </c>
      <c r="J1376" t="s">
        <v>133</v>
      </c>
      <c r="K1376">
        <v>7.7</v>
      </c>
      <c r="L1376">
        <v>20654562</v>
      </c>
      <c r="M1376">
        <v>2996966</v>
      </c>
      <c r="N1376">
        <v>79</v>
      </c>
      <c r="O1376" t="s">
        <v>31</v>
      </c>
      <c r="P1376" t="s">
        <v>87</v>
      </c>
    </row>
    <row r="1377" spans="1:16" x14ac:dyDescent="0.35">
      <c r="A1377" t="s">
        <v>2900</v>
      </c>
      <c r="B1377" t="s">
        <v>2901</v>
      </c>
      <c r="C1377" t="s">
        <v>84</v>
      </c>
      <c r="D1377" t="s">
        <v>27</v>
      </c>
      <c r="E1377" t="s">
        <v>28</v>
      </c>
      <c r="F1377" s="1">
        <v>43622</v>
      </c>
      <c r="G1377">
        <v>2022</v>
      </c>
      <c r="H1377" t="s">
        <v>38</v>
      </c>
      <c r="I1377" t="s">
        <v>450</v>
      </c>
      <c r="K1377">
        <v>8.1999999999999993</v>
      </c>
      <c r="L1377">
        <v>14690359</v>
      </c>
      <c r="M1377">
        <v>2466370</v>
      </c>
      <c r="N1377">
        <v>57</v>
      </c>
      <c r="O1377" t="s">
        <v>49</v>
      </c>
      <c r="P1377" t="s">
        <v>87</v>
      </c>
    </row>
    <row r="1378" spans="1:16" x14ac:dyDescent="0.35">
      <c r="A1378" t="s">
        <v>2902</v>
      </c>
      <c r="B1378" t="s">
        <v>2903</v>
      </c>
      <c r="C1378" t="s">
        <v>35</v>
      </c>
      <c r="D1378" t="s">
        <v>75</v>
      </c>
      <c r="E1378" t="s">
        <v>69</v>
      </c>
      <c r="F1378" s="1">
        <v>42130</v>
      </c>
      <c r="G1378">
        <v>2003</v>
      </c>
      <c r="H1378" t="s">
        <v>21</v>
      </c>
      <c r="I1378" t="s">
        <v>118</v>
      </c>
      <c r="J1378" t="s">
        <v>23</v>
      </c>
      <c r="K1378">
        <v>9.6999999999999993</v>
      </c>
      <c r="L1378">
        <v>20366092</v>
      </c>
      <c r="M1378">
        <v>82308</v>
      </c>
      <c r="N1378">
        <v>120</v>
      </c>
      <c r="O1378" t="s">
        <v>41</v>
      </c>
      <c r="P1378" t="s">
        <v>42</v>
      </c>
    </row>
    <row r="1379" spans="1:16" x14ac:dyDescent="0.35">
      <c r="A1379" t="s">
        <v>2904</v>
      </c>
      <c r="B1379" t="s">
        <v>2905</v>
      </c>
      <c r="C1379" t="s">
        <v>53</v>
      </c>
      <c r="D1379" t="s">
        <v>19</v>
      </c>
      <c r="E1379" t="s">
        <v>69</v>
      </c>
      <c r="F1379" s="1">
        <v>42511</v>
      </c>
      <c r="G1379">
        <v>2018</v>
      </c>
      <c r="H1379" t="s">
        <v>107</v>
      </c>
      <c r="I1379" t="s">
        <v>118</v>
      </c>
      <c r="J1379" t="s">
        <v>72</v>
      </c>
      <c r="K1379">
        <v>7.9</v>
      </c>
      <c r="L1379">
        <v>22141389</v>
      </c>
      <c r="M1379">
        <v>3882631</v>
      </c>
      <c r="N1379">
        <v>85</v>
      </c>
      <c r="O1379" t="s">
        <v>123</v>
      </c>
      <c r="P1379" t="s">
        <v>32</v>
      </c>
    </row>
    <row r="1380" spans="1:16" x14ac:dyDescent="0.35">
      <c r="A1380" t="s">
        <v>2906</v>
      </c>
      <c r="B1380" t="s">
        <v>2907</v>
      </c>
      <c r="C1380" t="s">
        <v>53</v>
      </c>
      <c r="D1380" t="s">
        <v>61</v>
      </c>
      <c r="E1380" t="s">
        <v>69</v>
      </c>
      <c r="F1380" s="1">
        <v>43529</v>
      </c>
      <c r="G1380">
        <v>2024</v>
      </c>
      <c r="H1380" t="s">
        <v>107</v>
      </c>
      <c r="I1380" t="s">
        <v>136</v>
      </c>
      <c r="J1380" t="s">
        <v>96</v>
      </c>
      <c r="K1380">
        <v>9.6999999999999993</v>
      </c>
      <c r="L1380">
        <v>19167844</v>
      </c>
      <c r="M1380">
        <v>2874927</v>
      </c>
      <c r="N1380">
        <v>76</v>
      </c>
      <c r="O1380" t="s">
        <v>91</v>
      </c>
      <c r="P1380" t="s">
        <v>50</v>
      </c>
    </row>
    <row r="1381" spans="1:16" x14ac:dyDescent="0.35">
      <c r="A1381" t="s">
        <v>2908</v>
      </c>
      <c r="B1381" t="s">
        <v>2909</v>
      </c>
      <c r="C1381" t="s">
        <v>53</v>
      </c>
      <c r="D1381" t="s">
        <v>75</v>
      </c>
      <c r="E1381" t="s">
        <v>69</v>
      </c>
      <c r="F1381" s="1">
        <v>45926</v>
      </c>
      <c r="G1381">
        <v>2005</v>
      </c>
      <c r="H1381" t="s">
        <v>114</v>
      </c>
      <c r="I1381" t="s">
        <v>136</v>
      </c>
      <c r="J1381" t="s">
        <v>57</v>
      </c>
      <c r="K1381">
        <v>9.8000000000000007</v>
      </c>
      <c r="L1381">
        <v>14918719</v>
      </c>
      <c r="M1381">
        <v>292860</v>
      </c>
      <c r="N1381">
        <v>88</v>
      </c>
      <c r="O1381" t="s">
        <v>49</v>
      </c>
      <c r="P1381" t="s">
        <v>50</v>
      </c>
    </row>
    <row r="1382" spans="1:16" x14ac:dyDescent="0.35">
      <c r="A1382" t="s">
        <v>2910</v>
      </c>
      <c r="B1382" t="s">
        <v>2911</v>
      </c>
      <c r="D1382" t="s">
        <v>54</v>
      </c>
      <c r="F1382" s="1">
        <v>42341</v>
      </c>
      <c r="G1382">
        <v>2022</v>
      </c>
      <c r="H1382" t="s">
        <v>121</v>
      </c>
      <c r="I1382" t="s">
        <v>56</v>
      </c>
      <c r="J1382" t="s">
        <v>40</v>
      </c>
      <c r="K1382">
        <v>8.6</v>
      </c>
      <c r="L1382">
        <v>6756414</v>
      </c>
      <c r="M1382">
        <v>1148967</v>
      </c>
      <c r="N1382">
        <v>67</v>
      </c>
      <c r="O1382" t="s">
        <v>41</v>
      </c>
      <c r="P1382" t="s">
        <v>32</v>
      </c>
    </row>
    <row r="1383" spans="1:16" x14ac:dyDescent="0.35">
      <c r="A1383" t="s">
        <v>2912</v>
      </c>
      <c r="B1383" t="s">
        <v>2913</v>
      </c>
      <c r="C1383" t="s">
        <v>79</v>
      </c>
      <c r="D1383" t="s">
        <v>94</v>
      </c>
      <c r="E1383" t="s">
        <v>45</v>
      </c>
      <c r="F1383" s="1">
        <v>45395</v>
      </c>
      <c r="G1383">
        <v>2019</v>
      </c>
      <c r="H1383" t="s">
        <v>46</v>
      </c>
      <c r="I1383" t="s">
        <v>236</v>
      </c>
      <c r="J1383" t="s">
        <v>57</v>
      </c>
      <c r="K1383">
        <v>9.5</v>
      </c>
      <c r="L1383">
        <v>-566</v>
      </c>
      <c r="M1383">
        <v>3817436</v>
      </c>
      <c r="N1383">
        <v>71</v>
      </c>
      <c r="O1383" t="s">
        <v>24</v>
      </c>
    </row>
    <row r="1384" spans="1:16" x14ac:dyDescent="0.35">
      <c r="A1384" t="s">
        <v>2914</v>
      </c>
      <c r="B1384" t="s">
        <v>2915</v>
      </c>
      <c r="C1384" t="s">
        <v>53</v>
      </c>
      <c r="D1384" t="s">
        <v>36</v>
      </c>
      <c r="E1384" t="s">
        <v>62</v>
      </c>
      <c r="F1384" s="1">
        <v>45568</v>
      </c>
      <c r="G1384">
        <v>2025</v>
      </c>
      <c r="H1384" t="s">
        <v>70</v>
      </c>
      <c r="I1384" t="s">
        <v>118</v>
      </c>
      <c r="J1384" t="s">
        <v>57</v>
      </c>
      <c r="K1384">
        <v>7.6</v>
      </c>
      <c r="L1384">
        <v>20719524</v>
      </c>
      <c r="M1384">
        <v>1794420</v>
      </c>
      <c r="N1384">
        <v>93</v>
      </c>
      <c r="O1384" t="s">
        <v>123</v>
      </c>
      <c r="P1384" t="s">
        <v>32</v>
      </c>
    </row>
    <row r="1385" spans="1:16" x14ac:dyDescent="0.35">
      <c r="A1385" t="s">
        <v>2916</v>
      </c>
      <c r="B1385" t="s">
        <v>2917</v>
      </c>
      <c r="C1385" t="s">
        <v>79</v>
      </c>
      <c r="D1385" t="s">
        <v>90</v>
      </c>
      <c r="F1385" s="1">
        <v>45638</v>
      </c>
      <c r="G1385">
        <v>2026</v>
      </c>
      <c r="H1385" t="s">
        <v>21</v>
      </c>
      <c r="I1385" t="s">
        <v>223</v>
      </c>
      <c r="J1385" t="s">
        <v>133</v>
      </c>
      <c r="K1385">
        <v>5.8</v>
      </c>
      <c r="L1385">
        <v>11151115</v>
      </c>
      <c r="M1385">
        <v>4380251</v>
      </c>
      <c r="N1385">
        <v>70</v>
      </c>
      <c r="O1385" t="s">
        <v>65</v>
      </c>
      <c r="P1385" t="s">
        <v>87</v>
      </c>
    </row>
    <row r="1386" spans="1:16" x14ac:dyDescent="0.35">
      <c r="A1386" t="s">
        <v>2918</v>
      </c>
      <c r="B1386" t="s">
        <v>2919</v>
      </c>
      <c r="D1386" t="s">
        <v>54</v>
      </c>
      <c r="F1386" s="1">
        <v>45015</v>
      </c>
      <c r="G1386">
        <v>2004</v>
      </c>
      <c r="H1386" t="s">
        <v>38</v>
      </c>
      <c r="I1386" t="s">
        <v>71</v>
      </c>
      <c r="J1386" t="s">
        <v>103</v>
      </c>
      <c r="K1386">
        <v>7.3</v>
      </c>
      <c r="L1386">
        <v>12882960</v>
      </c>
      <c r="M1386">
        <v>2136491</v>
      </c>
      <c r="N1386">
        <v>72</v>
      </c>
      <c r="O1386" t="s">
        <v>65</v>
      </c>
      <c r="P1386" t="s">
        <v>87</v>
      </c>
    </row>
    <row r="1387" spans="1:16" x14ac:dyDescent="0.35">
      <c r="A1387" t="s">
        <v>2920</v>
      </c>
      <c r="B1387" t="s">
        <v>2921</v>
      </c>
      <c r="C1387" t="s">
        <v>84</v>
      </c>
      <c r="D1387" t="s">
        <v>27</v>
      </c>
      <c r="E1387" t="s">
        <v>45</v>
      </c>
      <c r="F1387" s="1">
        <v>43880</v>
      </c>
      <c r="G1387">
        <v>2008</v>
      </c>
      <c r="H1387" t="s">
        <v>114</v>
      </c>
      <c r="I1387" t="s">
        <v>696</v>
      </c>
      <c r="J1387" t="s">
        <v>72</v>
      </c>
      <c r="K1387">
        <v>6</v>
      </c>
      <c r="L1387">
        <v>9809353</v>
      </c>
      <c r="M1387">
        <v>4328040</v>
      </c>
      <c r="N1387">
        <v>61</v>
      </c>
      <c r="O1387" t="s">
        <v>91</v>
      </c>
      <c r="P1387" t="s">
        <v>50</v>
      </c>
    </row>
    <row r="1388" spans="1:16" x14ac:dyDescent="0.35">
      <c r="A1388" t="s">
        <v>2922</v>
      </c>
      <c r="B1388" t="s">
        <v>2923</v>
      </c>
      <c r="C1388" t="s">
        <v>79</v>
      </c>
      <c r="E1388" t="s">
        <v>20</v>
      </c>
      <c r="F1388" s="1">
        <v>46030</v>
      </c>
      <c r="G1388">
        <v>2022</v>
      </c>
      <c r="I1388" t="s">
        <v>720</v>
      </c>
      <c r="J1388" t="s">
        <v>40</v>
      </c>
      <c r="K1388">
        <v>5.3</v>
      </c>
      <c r="L1388">
        <v>5588828</v>
      </c>
      <c r="M1388">
        <v>1149889</v>
      </c>
      <c r="N1388">
        <v>55</v>
      </c>
      <c r="O1388" t="s">
        <v>104</v>
      </c>
    </row>
    <row r="1389" spans="1:16" x14ac:dyDescent="0.35">
      <c r="A1389" t="s">
        <v>2924</v>
      </c>
      <c r="B1389" t="s">
        <v>2925</v>
      </c>
      <c r="C1389" t="s">
        <v>35</v>
      </c>
      <c r="E1389" t="s">
        <v>37</v>
      </c>
      <c r="F1389" s="1">
        <v>43533</v>
      </c>
      <c r="G1389">
        <v>2011</v>
      </c>
      <c r="H1389" t="s">
        <v>107</v>
      </c>
      <c r="I1389" t="s">
        <v>118</v>
      </c>
      <c r="J1389" t="s">
        <v>40</v>
      </c>
      <c r="K1389">
        <v>11.2</v>
      </c>
      <c r="L1389">
        <v>3118072</v>
      </c>
      <c r="M1389">
        <v>1043396</v>
      </c>
      <c r="N1389">
        <v>45</v>
      </c>
      <c r="O1389" t="s">
        <v>58</v>
      </c>
      <c r="P1389" t="s">
        <v>32</v>
      </c>
    </row>
    <row r="1390" spans="1:16" x14ac:dyDescent="0.35">
      <c r="A1390" t="s">
        <v>2926</v>
      </c>
      <c r="B1390" t="s">
        <v>2927</v>
      </c>
      <c r="C1390" t="s">
        <v>53</v>
      </c>
      <c r="D1390" t="s">
        <v>68</v>
      </c>
      <c r="E1390" t="s">
        <v>37</v>
      </c>
      <c r="F1390" s="1">
        <v>44250</v>
      </c>
      <c r="G1390">
        <v>2003</v>
      </c>
      <c r="H1390" t="s">
        <v>70</v>
      </c>
      <c r="I1390" t="s">
        <v>64</v>
      </c>
      <c r="J1390" t="s">
        <v>133</v>
      </c>
      <c r="K1390">
        <v>4.7</v>
      </c>
      <c r="L1390">
        <v>16419762</v>
      </c>
      <c r="M1390">
        <v>1657960</v>
      </c>
      <c r="N1390">
        <v>68</v>
      </c>
      <c r="P1390" t="s">
        <v>42</v>
      </c>
    </row>
    <row r="1391" spans="1:16" x14ac:dyDescent="0.35">
      <c r="A1391" t="s">
        <v>2928</v>
      </c>
      <c r="B1391" t="s">
        <v>2929</v>
      </c>
      <c r="C1391" t="s">
        <v>84</v>
      </c>
      <c r="D1391" t="s">
        <v>19</v>
      </c>
      <c r="F1391" s="1">
        <v>45270</v>
      </c>
      <c r="G1391">
        <v>2015</v>
      </c>
      <c r="H1391" t="s">
        <v>21</v>
      </c>
      <c r="I1391" t="s">
        <v>204</v>
      </c>
      <c r="K1391">
        <v>5.7</v>
      </c>
      <c r="L1391">
        <v>16761086</v>
      </c>
      <c r="M1391">
        <v>4942984</v>
      </c>
      <c r="N1391">
        <v>74</v>
      </c>
      <c r="O1391" t="s">
        <v>41</v>
      </c>
      <c r="P1391" t="s">
        <v>32</v>
      </c>
    </row>
    <row r="1392" spans="1:16" x14ac:dyDescent="0.35">
      <c r="A1392" t="s">
        <v>2930</v>
      </c>
      <c r="B1392" t="s">
        <v>2931</v>
      </c>
      <c r="C1392" t="s">
        <v>79</v>
      </c>
      <c r="D1392" t="s">
        <v>61</v>
      </c>
      <c r="F1392" s="1">
        <v>44691</v>
      </c>
      <c r="G1392">
        <v>2017</v>
      </c>
      <c r="H1392" t="s">
        <v>107</v>
      </c>
      <c r="I1392" t="s">
        <v>508</v>
      </c>
      <c r="J1392" t="s">
        <v>103</v>
      </c>
      <c r="K1392">
        <v>5.6</v>
      </c>
      <c r="L1392">
        <v>8483353</v>
      </c>
      <c r="M1392">
        <v>4057253</v>
      </c>
      <c r="N1392">
        <v>96</v>
      </c>
      <c r="O1392" t="s">
        <v>123</v>
      </c>
      <c r="P1392" t="s">
        <v>50</v>
      </c>
    </row>
    <row r="1393" spans="1:16" x14ac:dyDescent="0.35">
      <c r="A1393" t="s">
        <v>2932</v>
      </c>
      <c r="B1393" t="s">
        <v>2933</v>
      </c>
      <c r="D1393" t="s">
        <v>156</v>
      </c>
      <c r="F1393" s="1">
        <v>44965</v>
      </c>
      <c r="G1393">
        <v>2002</v>
      </c>
      <c r="H1393" t="s">
        <v>85</v>
      </c>
      <c r="I1393" t="s">
        <v>39</v>
      </c>
      <c r="J1393" t="s">
        <v>96</v>
      </c>
      <c r="K1393">
        <v>5.5</v>
      </c>
      <c r="L1393">
        <v>3921315</v>
      </c>
      <c r="M1393">
        <v>4822812</v>
      </c>
      <c r="N1393">
        <v>120</v>
      </c>
    </row>
    <row r="1394" spans="1:16" x14ac:dyDescent="0.35">
      <c r="A1394" t="s">
        <v>2934</v>
      </c>
      <c r="B1394" t="s">
        <v>2935</v>
      </c>
      <c r="C1394" t="s">
        <v>53</v>
      </c>
      <c r="D1394" t="s">
        <v>36</v>
      </c>
      <c r="E1394" t="s">
        <v>80</v>
      </c>
      <c r="F1394" s="1">
        <v>42592</v>
      </c>
      <c r="G1394">
        <v>2021</v>
      </c>
      <c r="H1394" t="s">
        <v>85</v>
      </c>
      <c r="I1394" t="s">
        <v>64</v>
      </c>
      <c r="J1394" t="s">
        <v>40</v>
      </c>
      <c r="K1394">
        <v>7.7</v>
      </c>
      <c r="L1394">
        <v>9282877</v>
      </c>
      <c r="M1394">
        <v>2161814</v>
      </c>
      <c r="N1394">
        <v>73</v>
      </c>
    </row>
    <row r="1395" spans="1:16" x14ac:dyDescent="0.35">
      <c r="A1395" t="s">
        <v>2936</v>
      </c>
      <c r="B1395" t="s">
        <v>2937</v>
      </c>
      <c r="C1395" t="s">
        <v>84</v>
      </c>
      <c r="F1395" s="1">
        <v>43011</v>
      </c>
      <c r="G1395">
        <v>2011</v>
      </c>
      <c r="H1395" t="s">
        <v>38</v>
      </c>
      <c r="I1395" t="s">
        <v>420</v>
      </c>
      <c r="J1395" t="s">
        <v>76</v>
      </c>
      <c r="K1395">
        <v>8.6</v>
      </c>
      <c r="L1395">
        <v>6661089</v>
      </c>
      <c r="M1395">
        <v>1219564</v>
      </c>
      <c r="N1395">
        <v>100</v>
      </c>
    </row>
    <row r="1396" spans="1:16" x14ac:dyDescent="0.35">
      <c r="A1396" t="s">
        <v>2938</v>
      </c>
      <c r="B1396" t="s">
        <v>2939</v>
      </c>
      <c r="C1396" t="s">
        <v>79</v>
      </c>
      <c r="D1396" t="s">
        <v>61</v>
      </c>
      <c r="E1396" t="s">
        <v>80</v>
      </c>
      <c r="F1396" s="1">
        <v>44535</v>
      </c>
      <c r="G1396">
        <v>2011</v>
      </c>
      <c r="H1396" t="s">
        <v>38</v>
      </c>
      <c r="I1396" t="s">
        <v>1398</v>
      </c>
      <c r="K1396">
        <v>7.8</v>
      </c>
      <c r="L1396">
        <v>17414042</v>
      </c>
      <c r="M1396">
        <v>4066216</v>
      </c>
      <c r="N1396">
        <v>55</v>
      </c>
      <c r="O1396" t="s">
        <v>24</v>
      </c>
      <c r="P1396" t="s">
        <v>50</v>
      </c>
    </row>
    <row r="1397" spans="1:16" x14ac:dyDescent="0.35">
      <c r="A1397" t="s">
        <v>2940</v>
      </c>
      <c r="B1397" t="s">
        <v>2941</v>
      </c>
      <c r="D1397" t="s">
        <v>27</v>
      </c>
      <c r="F1397" s="1">
        <v>44841</v>
      </c>
      <c r="G1397">
        <v>2005</v>
      </c>
      <c r="H1397" t="s">
        <v>46</v>
      </c>
      <c r="I1397" t="s">
        <v>56</v>
      </c>
      <c r="J1397" t="s">
        <v>48</v>
      </c>
      <c r="K1397">
        <v>7.7</v>
      </c>
      <c r="L1397">
        <v>17997817</v>
      </c>
      <c r="M1397">
        <v>4011214</v>
      </c>
      <c r="N1397">
        <v>87</v>
      </c>
      <c r="O1397" t="s">
        <v>65</v>
      </c>
    </row>
    <row r="1398" spans="1:16" x14ac:dyDescent="0.35">
      <c r="A1398" t="s">
        <v>2942</v>
      </c>
      <c r="B1398" t="s">
        <v>2943</v>
      </c>
      <c r="C1398" t="s">
        <v>79</v>
      </c>
      <c r="D1398" t="s">
        <v>19</v>
      </c>
      <c r="E1398" t="s">
        <v>165</v>
      </c>
      <c r="G1398">
        <v>2019</v>
      </c>
      <c r="H1398" t="s">
        <v>46</v>
      </c>
      <c r="I1398" t="s">
        <v>608</v>
      </c>
      <c r="J1398" t="s">
        <v>48</v>
      </c>
      <c r="K1398">
        <v>5.4</v>
      </c>
      <c r="L1398">
        <v>18745970</v>
      </c>
      <c r="M1398">
        <v>478490</v>
      </c>
      <c r="N1398">
        <v>81</v>
      </c>
      <c r="O1398" t="s">
        <v>24</v>
      </c>
      <c r="P1398" t="s">
        <v>32</v>
      </c>
    </row>
    <row r="1399" spans="1:16" x14ac:dyDescent="0.35">
      <c r="A1399" t="s">
        <v>2944</v>
      </c>
      <c r="B1399" t="s">
        <v>2945</v>
      </c>
      <c r="D1399" t="s">
        <v>94</v>
      </c>
      <c r="F1399" s="1">
        <v>42410</v>
      </c>
      <c r="G1399">
        <v>2006</v>
      </c>
      <c r="H1399" t="s">
        <v>21</v>
      </c>
      <c r="I1399" t="s">
        <v>71</v>
      </c>
      <c r="J1399" t="s">
        <v>96</v>
      </c>
      <c r="K1399">
        <v>8.5</v>
      </c>
      <c r="L1399">
        <v>21693189</v>
      </c>
      <c r="M1399">
        <v>1277750</v>
      </c>
      <c r="N1399">
        <v>86</v>
      </c>
      <c r="O1399" t="s">
        <v>41</v>
      </c>
      <c r="P1399" t="s">
        <v>32</v>
      </c>
    </row>
    <row r="1400" spans="1:16" x14ac:dyDescent="0.35">
      <c r="A1400" t="s">
        <v>2946</v>
      </c>
      <c r="B1400" t="s">
        <v>2947</v>
      </c>
      <c r="C1400" t="s">
        <v>79</v>
      </c>
      <c r="D1400" t="s">
        <v>94</v>
      </c>
      <c r="E1400" t="s">
        <v>131</v>
      </c>
      <c r="F1400" s="1">
        <v>42838</v>
      </c>
      <c r="G1400">
        <v>2009</v>
      </c>
      <c r="H1400" t="s">
        <v>114</v>
      </c>
      <c r="I1400" t="s">
        <v>517</v>
      </c>
      <c r="J1400" t="s">
        <v>57</v>
      </c>
      <c r="K1400">
        <v>7</v>
      </c>
      <c r="L1400">
        <v>891129</v>
      </c>
      <c r="M1400">
        <v>1080941</v>
      </c>
      <c r="N1400">
        <v>80</v>
      </c>
      <c r="O1400" t="s">
        <v>41</v>
      </c>
    </row>
    <row r="1401" spans="1:16" x14ac:dyDescent="0.35">
      <c r="A1401" t="s">
        <v>2948</v>
      </c>
      <c r="B1401" t="s">
        <v>2949</v>
      </c>
      <c r="C1401" t="s">
        <v>18</v>
      </c>
      <c r="D1401" t="s">
        <v>36</v>
      </c>
      <c r="E1401" t="s">
        <v>55</v>
      </c>
      <c r="F1401" s="1">
        <v>42946</v>
      </c>
      <c r="G1401">
        <v>2032</v>
      </c>
      <c r="H1401" t="s">
        <v>38</v>
      </c>
      <c r="I1401" t="s">
        <v>132</v>
      </c>
      <c r="J1401" t="s">
        <v>57</v>
      </c>
      <c r="K1401">
        <v>9.4</v>
      </c>
      <c r="L1401">
        <v>20693063</v>
      </c>
      <c r="M1401">
        <v>4159306</v>
      </c>
      <c r="N1401">
        <v>57</v>
      </c>
      <c r="O1401" t="s">
        <v>41</v>
      </c>
      <c r="P1401" t="s">
        <v>42</v>
      </c>
    </row>
    <row r="1402" spans="1:16" x14ac:dyDescent="0.35">
      <c r="A1402" t="s">
        <v>2950</v>
      </c>
      <c r="B1402" t="s">
        <v>2951</v>
      </c>
      <c r="C1402" t="s">
        <v>35</v>
      </c>
      <c r="D1402" t="s">
        <v>68</v>
      </c>
      <c r="E1402" t="s">
        <v>99</v>
      </c>
      <c r="F1402" s="1">
        <v>42113</v>
      </c>
      <c r="G1402">
        <v>2016</v>
      </c>
      <c r="H1402" t="s">
        <v>121</v>
      </c>
      <c r="I1402" t="s">
        <v>95</v>
      </c>
      <c r="J1402" t="s">
        <v>100</v>
      </c>
      <c r="K1402">
        <v>5.2</v>
      </c>
      <c r="L1402">
        <v>16957117</v>
      </c>
      <c r="M1402">
        <v>4240208</v>
      </c>
      <c r="N1402">
        <v>78</v>
      </c>
      <c r="O1402" t="s">
        <v>65</v>
      </c>
      <c r="P1402" t="s">
        <v>32</v>
      </c>
    </row>
    <row r="1403" spans="1:16" x14ac:dyDescent="0.35">
      <c r="A1403" t="s">
        <v>2952</v>
      </c>
      <c r="B1403" t="s">
        <v>2953</v>
      </c>
      <c r="C1403" t="s">
        <v>84</v>
      </c>
      <c r="D1403" t="s">
        <v>61</v>
      </c>
      <c r="E1403" t="s">
        <v>55</v>
      </c>
      <c r="F1403" s="1">
        <v>44920</v>
      </c>
      <c r="G1403">
        <v>2026</v>
      </c>
      <c r="H1403" t="s">
        <v>114</v>
      </c>
      <c r="I1403" t="s">
        <v>373</v>
      </c>
      <c r="J1403" t="s">
        <v>30</v>
      </c>
      <c r="K1403">
        <v>4.8</v>
      </c>
      <c r="L1403">
        <v>8607467</v>
      </c>
      <c r="M1403">
        <v>2430701</v>
      </c>
      <c r="N1403">
        <v>100</v>
      </c>
      <c r="O1403" t="s">
        <v>123</v>
      </c>
      <c r="P1403" t="s">
        <v>87</v>
      </c>
    </row>
    <row r="1404" spans="1:16" x14ac:dyDescent="0.35">
      <c r="A1404" t="s">
        <v>2954</v>
      </c>
      <c r="B1404" t="s">
        <v>2955</v>
      </c>
      <c r="D1404" t="s">
        <v>68</v>
      </c>
      <c r="E1404" t="s">
        <v>20</v>
      </c>
      <c r="F1404" s="1">
        <v>42672</v>
      </c>
      <c r="G1404">
        <v>2032</v>
      </c>
      <c r="H1404" t="s">
        <v>21</v>
      </c>
      <c r="I1404" t="s">
        <v>95</v>
      </c>
      <c r="J1404" t="s">
        <v>72</v>
      </c>
      <c r="K1404">
        <v>7.2</v>
      </c>
      <c r="L1404">
        <v>21389592</v>
      </c>
      <c r="M1404">
        <v>4320632</v>
      </c>
      <c r="N1404">
        <v>51</v>
      </c>
      <c r="O1404" t="s">
        <v>49</v>
      </c>
      <c r="P1404" t="s">
        <v>42</v>
      </c>
    </row>
    <row r="1405" spans="1:16" x14ac:dyDescent="0.35">
      <c r="A1405" t="s">
        <v>2956</v>
      </c>
      <c r="B1405" t="s">
        <v>2957</v>
      </c>
      <c r="C1405" t="s">
        <v>35</v>
      </c>
      <c r="D1405" t="s">
        <v>94</v>
      </c>
      <c r="E1405" t="s">
        <v>45</v>
      </c>
      <c r="F1405" s="1">
        <v>43526</v>
      </c>
      <c r="G1405">
        <v>2017</v>
      </c>
      <c r="H1405" t="s">
        <v>63</v>
      </c>
      <c r="I1405" t="s">
        <v>71</v>
      </c>
      <c r="J1405" t="s">
        <v>23</v>
      </c>
      <c r="K1405">
        <v>6.3</v>
      </c>
      <c r="L1405">
        <v>21482942</v>
      </c>
      <c r="M1405">
        <v>452940</v>
      </c>
      <c r="N1405">
        <v>87</v>
      </c>
      <c r="O1405" t="s">
        <v>123</v>
      </c>
      <c r="P1405" t="s">
        <v>42</v>
      </c>
    </row>
    <row r="1406" spans="1:16" x14ac:dyDescent="0.35">
      <c r="A1406" t="s">
        <v>2958</v>
      </c>
      <c r="B1406" t="s">
        <v>2959</v>
      </c>
      <c r="C1406" t="s">
        <v>84</v>
      </c>
      <c r="D1406" t="s">
        <v>36</v>
      </c>
      <c r="E1406" t="s">
        <v>113</v>
      </c>
      <c r="F1406" s="1">
        <v>45446</v>
      </c>
      <c r="G1406">
        <v>2021</v>
      </c>
      <c r="H1406" t="s">
        <v>46</v>
      </c>
      <c r="I1406" t="s">
        <v>147</v>
      </c>
      <c r="J1406" t="s">
        <v>153</v>
      </c>
      <c r="K1406">
        <v>6.2</v>
      </c>
      <c r="L1406">
        <v>18569547</v>
      </c>
      <c r="M1406">
        <v>2397054</v>
      </c>
      <c r="N1406">
        <v>76</v>
      </c>
      <c r="O1406" t="s">
        <v>65</v>
      </c>
      <c r="P1406" t="s">
        <v>87</v>
      </c>
    </row>
    <row r="1407" spans="1:16" x14ac:dyDescent="0.35">
      <c r="A1407" t="s">
        <v>2960</v>
      </c>
      <c r="B1407" t="s">
        <v>2961</v>
      </c>
      <c r="E1407" t="s">
        <v>113</v>
      </c>
      <c r="F1407" s="1">
        <v>43195</v>
      </c>
      <c r="G1407">
        <v>2032</v>
      </c>
      <c r="H1407" t="s">
        <v>70</v>
      </c>
      <c r="I1407" t="s">
        <v>118</v>
      </c>
      <c r="J1407" t="s">
        <v>48</v>
      </c>
      <c r="K1407">
        <v>6.2</v>
      </c>
      <c r="L1407">
        <v>20960744</v>
      </c>
      <c r="M1407">
        <v>3979522</v>
      </c>
      <c r="N1407">
        <v>63</v>
      </c>
      <c r="O1407" t="s">
        <v>91</v>
      </c>
    </row>
    <row r="1408" spans="1:16" x14ac:dyDescent="0.35">
      <c r="A1408" t="s">
        <v>2962</v>
      </c>
      <c r="B1408" t="s">
        <v>2961</v>
      </c>
      <c r="C1408" t="s">
        <v>79</v>
      </c>
      <c r="D1408" t="s">
        <v>75</v>
      </c>
      <c r="E1408" t="s">
        <v>37</v>
      </c>
      <c r="F1408" s="1">
        <v>44733</v>
      </c>
      <c r="G1408">
        <v>2020</v>
      </c>
      <c r="H1408" t="s">
        <v>63</v>
      </c>
      <c r="I1408" t="s">
        <v>299</v>
      </c>
      <c r="K1408">
        <v>9.1999999999999993</v>
      </c>
      <c r="L1408">
        <v>17408488</v>
      </c>
      <c r="M1408">
        <v>1181844</v>
      </c>
      <c r="N1408">
        <v>71</v>
      </c>
      <c r="O1408" t="s">
        <v>58</v>
      </c>
      <c r="P1408" t="s">
        <v>32</v>
      </c>
    </row>
    <row r="1409" spans="1:16" x14ac:dyDescent="0.35">
      <c r="A1409" t="s">
        <v>2963</v>
      </c>
      <c r="B1409" t="s">
        <v>2964</v>
      </c>
      <c r="C1409" t="s">
        <v>53</v>
      </c>
      <c r="D1409" t="s">
        <v>156</v>
      </c>
      <c r="E1409" t="s">
        <v>55</v>
      </c>
      <c r="F1409" s="1">
        <v>43074</v>
      </c>
      <c r="G1409">
        <v>2025</v>
      </c>
      <c r="H1409" t="s">
        <v>70</v>
      </c>
      <c r="I1409" t="s">
        <v>95</v>
      </c>
      <c r="J1409" t="s">
        <v>40</v>
      </c>
      <c r="K1409">
        <v>6.9</v>
      </c>
      <c r="L1409">
        <v>405339</v>
      </c>
      <c r="M1409">
        <v>4719617</v>
      </c>
      <c r="N1409">
        <v>69</v>
      </c>
      <c r="O1409" t="s">
        <v>41</v>
      </c>
      <c r="P1409" t="s">
        <v>87</v>
      </c>
    </row>
    <row r="1410" spans="1:16" x14ac:dyDescent="0.35">
      <c r="A1410" t="s">
        <v>2965</v>
      </c>
      <c r="B1410" t="s">
        <v>2966</v>
      </c>
      <c r="C1410" t="s">
        <v>35</v>
      </c>
      <c r="D1410" t="s">
        <v>61</v>
      </c>
      <c r="E1410" t="s">
        <v>99</v>
      </c>
      <c r="F1410" s="1">
        <v>42585</v>
      </c>
      <c r="G1410">
        <v>2025</v>
      </c>
      <c r="H1410" t="s">
        <v>70</v>
      </c>
      <c r="I1410" t="s">
        <v>95</v>
      </c>
      <c r="J1410" t="s">
        <v>23</v>
      </c>
      <c r="K1410">
        <v>5.8</v>
      </c>
      <c r="L1410">
        <v>6645315</v>
      </c>
      <c r="M1410">
        <v>3368122</v>
      </c>
      <c r="N1410">
        <v>94</v>
      </c>
      <c r="O1410" t="s">
        <v>58</v>
      </c>
      <c r="P1410" t="s">
        <v>87</v>
      </c>
    </row>
    <row r="1411" spans="1:16" x14ac:dyDescent="0.35">
      <c r="A1411" t="s">
        <v>2967</v>
      </c>
      <c r="B1411" t="s">
        <v>2968</v>
      </c>
      <c r="C1411" t="s">
        <v>79</v>
      </c>
      <c r="D1411" t="s">
        <v>75</v>
      </c>
      <c r="F1411" s="1">
        <v>42817</v>
      </c>
      <c r="G1411">
        <v>2003</v>
      </c>
      <c r="H1411" t="s">
        <v>81</v>
      </c>
      <c r="I1411" t="s">
        <v>1008</v>
      </c>
      <c r="J1411" t="s">
        <v>40</v>
      </c>
      <c r="K1411">
        <v>7.1</v>
      </c>
      <c r="L1411">
        <v>5693390</v>
      </c>
      <c r="M1411">
        <v>2355341</v>
      </c>
      <c r="N1411">
        <v>67</v>
      </c>
      <c r="O1411" t="s">
        <v>123</v>
      </c>
      <c r="P1411" t="s">
        <v>50</v>
      </c>
    </row>
    <row r="1412" spans="1:16" x14ac:dyDescent="0.35">
      <c r="A1412" t="s">
        <v>2969</v>
      </c>
      <c r="B1412" t="s">
        <v>2970</v>
      </c>
      <c r="C1412" t="s">
        <v>18</v>
      </c>
      <c r="D1412" t="s">
        <v>54</v>
      </c>
      <c r="E1412" t="s">
        <v>99</v>
      </c>
      <c r="F1412" s="1">
        <v>45458</v>
      </c>
      <c r="G1412">
        <v>2013</v>
      </c>
      <c r="H1412" t="s">
        <v>85</v>
      </c>
      <c r="I1412" t="s">
        <v>122</v>
      </c>
      <c r="J1412" t="s">
        <v>153</v>
      </c>
      <c r="K1412">
        <v>8.3000000000000007</v>
      </c>
      <c r="L1412">
        <v>14721408</v>
      </c>
      <c r="M1412">
        <v>1317914</v>
      </c>
      <c r="N1412">
        <v>97</v>
      </c>
      <c r="P1412" t="s">
        <v>50</v>
      </c>
    </row>
    <row r="1413" spans="1:16" x14ac:dyDescent="0.35">
      <c r="A1413" t="s">
        <v>2971</v>
      </c>
      <c r="B1413" t="s">
        <v>2972</v>
      </c>
      <c r="C1413" t="s">
        <v>18</v>
      </c>
      <c r="D1413" t="s">
        <v>68</v>
      </c>
      <c r="E1413" t="s">
        <v>131</v>
      </c>
      <c r="F1413" s="1">
        <v>42051</v>
      </c>
      <c r="G1413">
        <v>2010</v>
      </c>
      <c r="H1413" t="s">
        <v>46</v>
      </c>
      <c r="I1413" t="s">
        <v>386</v>
      </c>
      <c r="J1413" t="s">
        <v>40</v>
      </c>
      <c r="K1413">
        <v>8.5</v>
      </c>
      <c r="L1413">
        <v>7428817</v>
      </c>
      <c r="M1413">
        <v>3071364</v>
      </c>
      <c r="N1413">
        <v>77</v>
      </c>
      <c r="P1413" t="s">
        <v>42</v>
      </c>
    </row>
    <row r="1414" spans="1:16" x14ac:dyDescent="0.35">
      <c r="A1414" t="s">
        <v>2973</v>
      </c>
      <c r="B1414" t="s">
        <v>2974</v>
      </c>
      <c r="C1414" t="s">
        <v>35</v>
      </c>
      <c r="E1414" t="s">
        <v>165</v>
      </c>
      <c r="F1414" s="1">
        <v>43941</v>
      </c>
      <c r="G1414">
        <v>2007</v>
      </c>
      <c r="H1414" t="s">
        <v>107</v>
      </c>
      <c r="I1414" t="s">
        <v>56</v>
      </c>
      <c r="J1414" t="s">
        <v>30</v>
      </c>
      <c r="K1414">
        <v>9.6999999999999993</v>
      </c>
      <c r="L1414">
        <v>19158932</v>
      </c>
      <c r="M1414">
        <v>215101</v>
      </c>
      <c r="N1414">
        <v>86</v>
      </c>
      <c r="O1414" t="s">
        <v>65</v>
      </c>
      <c r="P1414" t="s">
        <v>42</v>
      </c>
    </row>
    <row r="1415" spans="1:16" x14ac:dyDescent="0.35">
      <c r="A1415" t="s">
        <v>2975</v>
      </c>
      <c r="B1415" t="s">
        <v>2976</v>
      </c>
      <c r="C1415" t="s">
        <v>53</v>
      </c>
      <c r="D1415" t="s">
        <v>54</v>
      </c>
      <c r="E1415" t="s">
        <v>99</v>
      </c>
      <c r="F1415" s="1">
        <v>45558</v>
      </c>
      <c r="G1415">
        <v>2022</v>
      </c>
      <c r="H1415" t="s">
        <v>107</v>
      </c>
      <c r="I1415" t="s">
        <v>95</v>
      </c>
      <c r="J1415" t="s">
        <v>72</v>
      </c>
      <c r="K1415">
        <v>8.5</v>
      </c>
      <c r="L1415">
        <v>14546215</v>
      </c>
      <c r="M1415">
        <v>4230667</v>
      </c>
      <c r="N1415">
        <v>40</v>
      </c>
      <c r="P1415" t="s">
        <v>87</v>
      </c>
    </row>
    <row r="1416" spans="1:16" x14ac:dyDescent="0.35">
      <c r="A1416" t="s">
        <v>2977</v>
      </c>
      <c r="B1416" t="s">
        <v>2978</v>
      </c>
      <c r="D1416" t="s">
        <v>27</v>
      </c>
      <c r="F1416" s="1">
        <v>43625</v>
      </c>
      <c r="G1416">
        <v>2007</v>
      </c>
      <c r="H1416" t="s">
        <v>21</v>
      </c>
      <c r="I1416" t="s">
        <v>162</v>
      </c>
      <c r="K1416">
        <v>5.6</v>
      </c>
      <c r="L1416">
        <v>13792474</v>
      </c>
      <c r="M1416">
        <v>2389078</v>
      </c>
      <c r="N1416">
        <v>53</v>
      </c>
      <c r="O1416" t="s">
        <v>91</v>
      </c>
      <c r="P1416" t="s">
        <v>50</v>
      </c>
    </row>
    <row r="1417" spans="1:16" x14ac:dyDescent="0.35">
      <c r="A1417" t="s">
        <v>2979</v>
      </c>
      <c r="B1417" t="s">
        <v>2980</v>
      </c>
      <c r="C1417" t="s">
        <v>53</v>
      </c>
      <c r="D1417" t="s">
        <v>27</v>
      </c>
      <c r="E1417" t="s">
        <v>80</v>
      </c>
      <c r="F1417" s="1">
        <v>42525</v>
      </c>
      <c r="G1417">
        <v>2023</v>
      </c>
      <c r="H1417" t="s">
        <v>46</v>
      </c>
      <c r="I1417" t="s">
        <v>136</v>
      </c>
      <c r="J1417" t="s">
        <v>30</v>
      </c>
      <c r="K1417">
        <v>7.6</v>
      </c>
      <c r="L1417">
        <v>3484726</v>
      </c>
      <c r="M1417">
        <v>1855464</v>
      </c>
      <c r="N1417">
        <v>65</v>
      </c>
      <c r="O1417" t="s">
        <v>65</v>
      </c>
      <c r="P1417" t="s">
        <v>42</v>
      </c>
    </row>
    <row r="1418" spans="1:16" x14ac:dyDescent="0.35">
      <c r="A1418" t="s">
        <v>2981</v>
      </c>
      <c r="B1418" t="s">
        <v>2982</v>
      </c>
      <c r="C1418" t="s">
        <v>35</v>
      </c>
      <c r="D1418" t="s">
        <v>27</v>
      </c>
      <c r="E1418" t="s">
        <v>131</v>
      </c>
      <c r="F1418" s="1">
        <v>44431</v>
      </c>
      <c r="G1418">
        <v>2026</v>
      </c>
      <c r="H1418" t="s">
        <v>81</v>
      </c>
      <c r="I1418" t="s">
        <v>136</v>
      </c>
      <c r="J1418" t="s">
        <v>133</v>
      </c>
      <c r="K1418">
        <v>6.7</v>
      </c>
      <c r="L1418">
        <v>12838447</v>
      </c>
      <c r="M1418">
        <v>2462744</v>
      </c>
      <c r="N1418">
        <v>94</v>
      </c>
      <c r="O1418" t="s">
        <v>65</v>
      </c>
    </row>
    <row r="1419" spans="1:16" x14ac:dyDescent="0.35">
      <c r="A1419" t="s">
        <v>2983</v>
      </c>
      <c r="B1419" t="s">
        <v>2984</v>
      </c>
      <c r="C1419" t="s">
        <v>53</v>
      </c>
      <c r="D1419" t="s">
        <v>54</v>
      </c>
      <c r="E1419" t="s">
        <v>131</v>
      </c>
      <c r="F1419" s="1">
        <v>43590</v>
      </c>
      <c r="G1419">
        <v>2014</v>
      </c>
      <c r="H1419" t="s">
        <v>81</v>
      </c>
      <c r="I1419" t="s">
        <v>162</v>
      </c>
      <c r="J1419" t="s">
        <v>57</v>
      </c>
      <c r="K1419">
        <v>6.5</v>
      </c>
      <c r="L1419">
        <v>11277638</v>
      </c>
      <c r="M1419">
        <v>2041835</v>
      </c>
      <c r="N1419">
        <v>120</v>
      </c>
      <c r="O1419" t="s">
        <v>91</v>
      </c>
      <c r="P1419" t="s">
        <v>32</v>
      </c>
    </row>
    <row r="1420" spans="1:16" x14ac:dyDescent="0.35">
      <c r="A1420" t="s">
        <v>2985</v>
      </c>
      <c r="B1420" t="s">
        <v>2986</v>
      </c>
      <c r="D1420" t="s">
        <v>36</v>
      </c>
      <c r="F1420" s="1">
        <v>42367</v>
      </c>
      <c r="G1420">
        <v>2000</v>
      </c>
      <c r="H1420" t="s">
        <v>46</v>
      </c>
      <c r="I1420" t="s">
        <v>39</v>
      </c>
      <c r="J1420" t="s">
        <v>72</v>
      </c>
      <c r="K1420">
        <v>6.9</v>
      </c>
      <c r="L1420">
        <v>3921944</v>
      </c>
      <c r="M1420">
        <v>2971003</v>
      </c>
      <c r="N1420">
        <v>41</v>
      </c>
      <c r="O1420" t="s">
        <v>24</v>
      </c>
      <c r="P1420" t="s">
        <v>42</v>
      </c>
    </row>
    <row r="1421" spans="1:16" x14ac:dyDescent="0.35">
      <c r="A1421" t="s">
        <v>2987</v>
      </c>
      <c r="B1421" t="s">
        <v>2988</v>
      </c>
      <c r="C1421" t="s">
        <v>84</v>
      </c>
      <c r="E1421" t="s">
        <v>69</v>
      </c>
      <c r="F1421" s="1">
        <v>44869</v>
      </c>
      <c r="G1421">
        <v>2011</v>
      </c>
      <c r="H1421" t="s">
        <v>81</v>
      </c>
      <c r="I1421" t="s">
        <v>994</v>
      </c>
      <c r="J1421" t="s">
        <v>103</v>
      </c>
      <c r="K1421">
        <v>7.2</v>
      </c>
      <c r="L1421">
        <v>16370735</v>
      </c>
      <c r="M1421">
        <v>230901</v>
      </c>
      <c r="N1421">
        <v>68</v>
      </c>
      <c r="O1421" t="s">
        <v>123</v>
      </c>
      <c r="P1421" t="s">
        <v>42</v>
      </c>
    </row>
    <row r="1422" spans="1:16" x14ac:dyDescent="0.35">
      <c r="A1422" t="s">
        <v>2989</v>
      </c>
      <c r="B1422" t="s">
        <v>2990</v>
      </c>
      <c r="C1422" t="s">
        <v>35</v>
      </c>
      <c r="D1422" t="s">
        <v>94</v>
      </c>
      <c r="E1422" t="s">
        <v>165</v>
      </c>
      <c r="F1422" s="1">
        <v>43815</v>
      </c>
      <c r="G1422">
        <v>2024</v>
      </c>
      <c r="H1422" t="s">
        <v>70</v>
      </c>
      <c r="I1422" t="s">
        <v>118</v>
      </c>
      <c r="J1422" t="s">
        <v>103</v>
      </c>
      <c r="K1422">
        <v>9.1999999999999993</v>
      </c>
      <c r="L1422">
        <v>1043502</v>
      </c>
      <c r="M1422">
        <v>3795056</v>
      </c>
      <c r="N1422">
        <v>80</v>
      </c>
      <c r="O1422" t="s">
        <v>49</v>
      </c>
      <c r="P1422" t="s">
        <v>50</v>
      </c>
    </row>
    <row r="1423" spans="1:16" x14ac:dyDescent="0.35">
      <c r="A1423" t="s">
        <v>2991</v>
      </c>
      <c r="B1423" t="s">
        <v>2992</v>
      </c>
      <c r="C1423" t="s">
        <v>18</v>
      </c>
      <c r="D1423" t="s">
        <v>27</v>
      </c>
      <c r="E1423" t="s">
        <v>62</v>
      </c>
      <c r="F1423" s="1">
        <v>42291</v>
      </c>
      <c r="G1423">
        <v>2023</v>
      </c>
      <c r="H1423" t="s">
        <v>81</v>
      </c>
      <c r="I1423" t="s">
        <v>320</v>
      </c>
      <c r="J1423" t="s">
        <v>30</v>
      </c>
      <c r="K1423">
        <v>5.2</v>
      </c>
      <c r="L1423">
        <v>21094487</v>
      </c>
      <c r="M1423">
        <v>4045391</v>
      </c>
      <c r="N1423">
        <v>81</v>
      </c>
      <c r="O1423" t="s">
        <v>123</v>
      </c>
      <c r="P1423" t="s">
        <v>50</v>
      </c>
    </row>
    <row r="1424" spans="1:16" x14ac:dyDescent="0.35">
      <c r="A1424" t="s">
        <v>2993</v>
      </c>
      <c r="B1424" t="s">
        <v>2994</v>
      </c>
      <c r="C1424" t="s">
        <v>84</v>
      </c>
      <c r="E1424" t="s">
        <v>165</v>
      </c>
      <c r="F1424" s="1">
        <v>45174</v>
      </c>
      <c r="G1424">
        <v>2011</v>
      </c>
      <c r="H1424" t="s">
        <v>63</v>
      </c>
      <c r="I1424" t="s">
        <v>204</v>
      </c>
      <c r="J1424" t="s">
        <v>23</v>
      </c>
      <c r="K1424">
        <v>4.5</v>
      </c>
      <c r="L1424">
        <v>15443892</v>
      </c>
      <c r="M1424">
        <v>1905756</v>
      </c>
      <c r="N1424">
        <v>100</v>
      </c>
      <c r="O1424" t="s">
        <v>104</v>
      </c>
      <c r="P1424" t="s">
        <v>32</v>
      </c>
    </row>
    <row r="1425" spans="1:16" x14ac:dyDescent="0.35">
      <c r="A1425" t="s">
        <v>2995</v>
      </c>
      <c r="B1425" t="s">
        <v>2996</v>
      </c>
      <c r="C1425" t="s">
        <v>84</v>
      </c>
      <c r="D1425" t="s">
        <v>36</v>
      </c>
      <c r="E1425" t="s">
        <v>62</v>
      </c>
      <c r="F1425" s="1">
        <v>43137</v>
      </c>
      <c r="G1425">
        <v>2003</v>
      </c>
      <c r="H1425" t="s">
        <v>21</v>
      </c>
      <c r="I1425" t="s">
        <v>1777</v>
      </c>
      <c r="J1425" t="s">
        <v>40</v>
      </c>
      <c r="K1425">
        <v>8.6999999999999993</v>
      </c>
      <c r="L1425">
        <v>1036578</v>
      </c>
      <c r="M1425">
        <v>1345849</v>
      </c>
      <c r="N1425">
        <v>68</v>
      </c>
      <c r="O1425" t="s">
        <v>65</v>
      </c>
      <c r="P1425" t="s">
        <v>50</v>
      </c>
    </row>
    <row r="1426" spans="1:16" x14ac:dyDescent="0.35">
      <c r="A1426" t="s">
        <v>2997</v>
      </c>
      <c r="B1426" t="s">
        <v>2998</v>
      </c>
      <c r="C1426" t="s">
        <v>35</v>
      </c>
      <c r="D1426" t="s">
        <v>68</v>
      </c>
      <c r="E1426" t="s">
        <v>80</v>
      </c>
      <c r="F1426" s="1">
        <v>43204</v>
      </c>
      <c r="G1426">
        <v>2003</v>
      </c>
      <c r="H1426" t="s">
        <v>46</v>
      </c>
      <c r="I1426" t="s">
        <v>56</v>
      </c>
      <c r="J1426" t="s">
        <v>30</v>
      </c>
      <c r="K1426">
        <v>6.8</v>
      </c>
      <c r="L1426">
        <v>10202379</v>
      </c>
      <c r="M1426">
        <v>874170</v>
      </c>
      <c r="N1426">
        <v>50</v>
      </c>
      <c r="O1426" t="s">
        <v>104</v>
      </c>
      <c r="P1426" t="s">
        <v>50</v>
      </c>
    </row>
    <row r="1427" spans="1:16" x14ac:dyDescent="0.35">
      <c r="A1427" t="s">
        <v>2999</v>
      </c>
      <c r="B1427" t="s">
        <v>3000</v>
      </c>
      <c r="C1427" t="s">
        <v>35</v>
      </c>
      <c r="D1427" t="s">
        <v>27</v>
      </c>
      <c r="E1427" t="s">
        <v>131</v>
      </c>
      <c r="F1427" s="1">
        <v>44102</v>
      </c>
      <c r="G1427">
        <v>2001</v>
      </c>
      <c r="H1427" t="s">
        <v>38</v>
      </c>
      <c r="I1427" t="s">
        <v>95</v>
      </c>
      <c r="J1427" t="s">
        <v>153</v>
      </c>
      <c r="K1427">
        <v>6.4</v>
      </c>
      <c r="L1427">
        <v>24661022</v>
      </c>
      <c r="M1427">
        <v>1446133</v>
      </c>
      <c r="N1427">
        <v>62</v>
      </c>
      <c r="P1427" t="s">
        <v>87</v>
      </c>
    </row>
    <row r="1428" spans="1:16" x14ac:dyDescent="0.35">
      <c r="A1428" t="s">
        <v>3001</v>
      </c>
      <c r="B1428" t="s">
        <v>3002</v>
      </c>
      <c r="C1428" t="s">
        <v>35</v>
      </c>
      <c r="D1428" t="s">
        <v>19</v>
      </c>
      <c r="F1428" s="1">
        <v>42600</v>
      </c>
      <c r="G1428">
        <v>2015</v>
      </c>
      <c r="H1428" t="s">
        <v>81</v>
      </c>
      <c r="I1428" t="s">
        <v>71</v>
      </c>
      <c r="J1428" t="s">
        <v>57</v>
      </c>
      <c r="K1428">
        <v>4.5999999999999996</v>
      </c>
      <c r="L1428">
        <v>1847533</v>
      </c>
      <c r="M1428">
        <v>4243463</v>
      </c>
      <c r="N1428">
        <v>49</v>
      </c>
      <c r="O1428" t="s">
        <v>31</v>
      </c>
    </row>
    <row r="1429" spans="1:16" x14ac:dyDescent="0.35">
      <c r="A1429" t="s">
        <v>3003</v>
      </c>
      <c r="B1429" t="s">
        <v>3004</v>
      </c>
      <c r="C1429" t="s">
        <v>35</v>
      </c>
      <c r="E1429" t="s">
        <v>99</v>
      </c>
      <c r="F1429" s="1">
        <v>46174</v>
      </c>
      <c r="G1429">
        <v>2002</v>
      </c>
      <c r="H1429" t="s">
        <v>38</v>
      </c>
      <c r="I1429" t="s">
        <v>136</v>
      </c>
      <c r="J1429" t="s">
        <v>48</v>
      </c>
      <c r="K1429">
        <v>5.9</v>
      </c>
      <c r="L1429">
        <v>12098789</v>
      </c>
      <c r="M1429">
        <v>1436185</v>
      </c>
      <c r="N1429">
        <v>56</v>
      </c>
      <c r="O1429" t="s">
        <v>41</v>
      </c>
      <c r="P1429" t="s">
        <v>87</v>
      </c>
    </row>
    <row r="1430" spans="1:16" x14ac:dyDescent="0.35">
      <c r="A1430" t="s">
        <v>3005</v>
      </c>
      <c r="B1430" t="s">
        <v>3006</v>
      </c>
      <c r="C1430" t="s">
        <v>79</v>
      </c>
      <c r="D1430" t="s">
        <v>54</v>
      </c>
      <c r="E1430" t="s">
        <v>20</v>
      </c>
      <c r="F1430" s="1">
        <v>43045</v>
      </c>
      <c r="G1430">
        <v>2024</v>
      </c>
      <c r="H1430" t="s">
        <v>63</v>
      </c>
      <c r="I1430" t="s">
        <v>262</v>
      </c>
      <c r="J1430" t="s">
        <v>48</v>
      </c>
      <c r="K1430">
        <v>7.9</v>
      </c>
      <c r="L1430">
        <v>1503232</v>
      </c>
      <c r="M1430">
        <v>1710125</v>
      </c>
      <c r="N1430">
        <v>76</v>
      </c>
      <c r="O1430" t="s">
        <v>41</v>
      </c>
      <c r="P1430" t="s">
        <v>87</v>
      </c>
    </row>
    <row r="1431" spans="1:16" x14ac:dyDescent="0.35">
      <c r="A1431" t="s">
        <v>3007</v>
      </c>
      <c r="B1431" t="s">
        <v>3008</v>
      </c>
      <c r="C1431" t="s">
        <v>79</v>
      </c>
      <c r="D1431" t="s">
        <v>156</v>
      </c>
      <c r="E1431" t="s">
        <v>69</v>
      </c>
      <c r="F1431" s="1">
        <v>44463</v>
      </c>
      <c r="G1431">
        <v>2018</v>
      </c>
      <c r="H1431" t="s">
        <v>70</v>
      </c>
      <c r="I1431" t="s">
        <v>402</v>
      </c>
      <c r="J1431" t="s">
        <v>96</v>
      </c>
      <c r="K1431">
        <v>6.3</v>
      </c>
      <c r="L1431">
        <v>9047121</v>
      </c>
      <c r="M1431">
        <v>4754867</v>
      </c>
      <c r="N1431">
        <v>70</v>
      </c>
      <c r="O1431" t="s">
        <v>123</v>
      </c>
    </row>
    <row r="1432" spans="1:16" x14ac:dyDescent="0.35">
      <c r="A1432" t="s">
        <v>3009</v>
      </c>
      <c r="B1432" t="s">
        <v>3010</v>
      </c>
      <c r="C1432" t="s">
        <v>84</v>
      </c>
      <c r="D1432" t="s">
        <v>54</v>
      </c>
      <c r="E1432" t="s">
        <v>113</v>
      </c>
      <c r="F1432" s="1">
        <v>44718</v>
      </c>
      <c r="G1432">
        <v>2017</v>
      </c>
      <c r="H1432" t="s">
        <v>85</v>
      </c>
      <c r="J1432" t="s">
        <v>76</v>
      </c>
      <c r="K1432">
        <v>4.5</v>
      </c>
      <c r="L1432">
        <v>9705220</v>
      </c>
      <c r="M1432">
        <v>1251161</v>
      </c>
      <c r="N1432">
        <v>65</v>
      </c>
      <c r="O1432" t="s">
        <v>65</v>
      </c>
      <c r="P1432" t="s">
        <v>32</v>
      </c>
    </row>
    <row r="1433" spans="1:16" x14ac:dyDescent="0.35">
      <c r="A1433" t="s">
        <v>3011</v>
      </c>
      <c r="B1433" t="s">
        <v>3012</v>
      </c>
      <c r="C1433" t="s">
        <v>53</v>
      </c>
      <c r="D1433" t="s">
        <v>27</v>
      </c>
      <c r="E1433" t="s">
        <v>165</v>
      </c>
      <c r="F1433" s="1">
        <v>42945</v>
      </c>
      <c r="G1433">
        <v>2001</v>
      </c>
      <c r="H1433" t="s">
        <v>38</v>
      </c>
      <c r="I1433" t="s">
        <v>56</v>
      </c>
      <c r="J1433" t="s">
        <v>133</v>
      </c>
      <c r="K1433">
        <v>8.8000000000000007</v>
      </c>
      <c r="L1433">
        <v>20309626</v>
      </c>
      <c r="M1433">
        <v>817460</v>
      </c>
      <c r="N1433">
        <v>66</v>
      </c>
      <c r="O1433" t="s">
        <v>65</v>
      </c>
      <c r="P1433" t="s">
        <v>87</v>
      </c>
    </row>
    <row r="1434" spans="1:16" x14ac:dyDescent="0.35">
      <c r="A1434" t="s">
        <v>3013</v>
      </c>
      <c r="B1434" t="s">
        <v>3014</v>
      </c>
      <c r="C1434" t="s">
        <v>84</v>
      </c>
      <c r="D1434" t="s">
        <v>27</v>
      </c>
      <c r="G1434">
        <v>2006</v>
      </c>
      <c r="H1434" t="s">
        <v>107</v>
      </c>
      <c r="J1434" t="s">
        <v>153</v>
      </c>
      <c r="K1434">
        <v>5.8</v>
      </c>
      <c r="L1434">
        <v>12557178</v>
      </c>
      <c r="M1434">
        <v>2950148</v>
      </c>
      <c r="N1434">
        <v>82</v>
      </c>
      <c r="O1434" t="s">
        <v>91</v>
      </c>
      <c r="P1434" t="s">
        <v>42</v>
      </c>
    </row>
    <row r="1435" spans="1:16" x14ac:dyDescent="0.35">
      <c r="A1435" t="s">
        <v>3015</v>
      </c>
      <c r="B1435" t="s">
        <v>3016</v>
      </c>
      <c r="D1435" t="s">
        <v>75</v>
      </c>
      <c r="E1435" t="s">
        <v>99</v>
      </c>
      <c r="F1435" s="1">
        <v>43983</v>
      </c>
      <c r="G1435">
        <v>2032</v>
      </c>
      <c r="H1435" t="s">
        <v>21</v>
      </c>
      <c r="I1435" t="s">
        <v>71</v>
      </c>
      <c r="J1435" t="s">
        <v>30</v>
      </c>
      <c r="K1435">
        <v>6.4</v>
      </c>
      <c r="L1435">
        <v>18984112</v>
      </c>
      <c r="M1435">
        <v>1645153</v>
      </c>
      <c r="N1435">
        <v>82</v>
      </c>
      <c r="O1435" t="s">
        <v>41</v>
      </c>
      <c r="P1435" t="s">
        <v>32</v>
      </c>
    </row>
    <row r="1436" spans="1:16" x14ac:dyDescent="0.35">
      <c r="A1436" t="s">
        <v>3017</v>
      </c>
      <c r="B1436" t="s">
        <v>3018</v>
      </c>
      <c r="C1436" t="s">
        <v>79</v>
      </c>
      <c r="D1436" t="s">
        <v>36</v>
      </c>
      <c r="E1436" t="s">
        <v>55</v>
      </c>
      <c r="F1436" s="1">
        <v>43843</v>
      </c>
      <c r="G1436">
        <v>2017</v>
      </c>
      <c r="H1436" t="s">
        <v>70</v>
      </c>
      <c r="I1436" t="s">
        <v>717</v>
      </c>
      <c r="J1436" t="s">
        <v>57</v>
      </c>
      <c r="K1436">
        <v>4.8</v>
      </c>
      <c r="L1436">
        <v>19263746</v>
      </c>
      <c r="M1436">
        <v>4417634</v>
      </c>
      <c r="N1436">
        <v>120</v>
      </c>
      <c r="O1436" t="s">
        <v>49</v>
      </c>
      <c r="P1436" t="s">
        <v>32</v>
      </c>
    </row>
    <row r="1437" spans="1:16" x14ac:dyDescent="0.35">
      <c r="A1437" t="s">
        <v>3019</v>
      </c>
      <c r="B1437" t="s">
        <v>3020</v>
      </c>
      <c r="C1437" t="s">
        <v>53</v>
      </c>
      <c r="E1437" t="s">
        <v>45</v>
      </c>
      <c r="F1437" s="1">
        <v>44246</v>
      </c>
      <c r="G1437">
        <v>2025</v>
      </c>
      <c r="J1437" t="s">
        <v>72</v>
      </c>
      <c r="K1437">
        <v>5.9</v>
      </c>
      <c r="L1437">
        <v>9912849</v>
      </c>
      <c r="M1437">
        <v>818366</v>
      </c>
      <c r="N1437">
        <v>65</v>
      </c>
      <c r="O1437" t="s">
        <v>49</v>
      </c>
      <c r="P1437" t="s">
        <v>50</v>
      </c>
    </row>
    <row r="1438" spans="1:16" x14ac:dyDescent="0.35">
      <c r="A1438" t="s">
        <v>3021</v>
      </c>
      <c r="B1438" t="s">
        <v>3022</v>
      </c>
      <c r="C1438" t="s">
        <v>53</v>
      </c>
      <c r="D1438" t="s">
        <v>68</v>
      </c>
      <c r="E1438" t="s">
        <v>131</v>
      </c>
      <c r="F1438" s="1">
        <v>44156</v>
      </c>
      <c r="G1438">
        <v>2018</v>
      </c>
      <c r="I1438" t="s">
        <v>162</v>
      </c>
      <c r="J1438" t="s">
        <v>23</v>
      </c>
      <c r="K1438">
        <v>9.1</v>
      </c>
      <c r="L1438">
        <v>21986486</v>
      </c>
      <c r="M1438">
        <v>342199</v>
      </c>
      <c r="N1438">
        <v>80</v>
      </c>
      <c r="O1438" t="s">
        <v>123</v>
      </c>
      <c r="P1438" t="s">
        <v>87</v>
      </c>
    </row>
    <row r="1439" spans="1:16" x14ac:dyDescent="0.35">
      <c r="A1439" t="s">
        <v>3023</v>
      </c>
      <c r="B1439" t="s">
        <v>3024</v>
      </c>
      <c r="C1439" t="s">
        <v>35</v>
      </c>
      <c r="D1439" t="s">
        <v>68</v>
      </c>
      <c r="E1439" t="s">
        <v>131</v>
      </c>
      <c r="F1439" s="1">
        <v>45844</v>
      </c>
      <c r="G1439">
        <v>2026</v>
      </c>
      <c r="H1439" t="s">
        <v>63</v>
      </c>
      <c r="I1439" t="s">
        <v>56</v>
      </c>
      <c r="J1439" t="s">
        <v>23</v>
      </c>
      <c r="K1439">
        <v>11.2</v>
      </c>
      <c r="L1439">
        <v>11710529</v>
      </c>
      <c r="M1439">
        <v>440786</v>
      </c>
      <c r="N1439">
        <v>89</v>
      </c>
      <c r="O1439" t="s">
        <v>31</v>
      </c>
      <c r="P1439" t="s">
        <v>87</v>
      </c>
    </row>
    <row r="1440" spans="1:16" x14ac:dyDescent="0.35">
      <c r="A1440" t="s">
        <v>3025</v>
      </c>
      <c r="B1440" t="s">
        <v>3026</v>
      </c>
      <c r="C1440" t="s">
        <v>53</v>
      </c>
      <c r="D1440" t="s">
        <v>68</v>
      </c>
      <c r="E1440" t="s">
        <v>37</v>
      </c>
      <c r="F1440" s="1">
        <v>45691</v>
      </c>
      <c r="G1440">
        <v>2032</v>
      </c>
      <c r="I1440" t="s">
        <v>71</v>
      </c>
      <c r="J1440" t="s">
        <v>48</v>
      </c>
      <c r="K1440">
        <v>5.5</v>
      </c>
      <c r="L1440">
        <v>14533072</v>
      </c>
      <c r="M1440">
        <v>4705676</v>
      </c>
      <c r="N1440">
        <v>53</v>
      </c>
      <c r="O1440" t="s">
        <v>104</v>
      </c>
      <c r="P1440" t="s">
        <v>32</v>
      </c>
    </row>
    <row r="1441" spans="1:16" x14ac:dyDescent="0.35">
      <c r="A1441" t="s">
        <v>3027</v>
      </c>
      <c r="B1441" t="s">
        <v>3028</v>
      </c>
      <c r="C1441" t="s">
        <v>79</v>
      </c>
      <c r="D1441" t="s">
        <v>27</v>
      </c>
      <c r="E1441" t="s">
        <v>69</v>
      </c>
      <c r="F1441" s="1">
        <v>44973</v>
      </c>
      <c r="G1441">
        <v>2000</v>
      </c>
      <c r="H1441" t="s">
        <v>85</v>
      </c>
      <c r="I1441" t="s">
        <v>963</v>
      </c>
      <c r="K1441">
        <v>4.8</v>
      </c>
      <c r="L1441">
        <v>5371262</v>
      </c>
      <c r="M1441">
        <v>2259688</v>
      </c>
      <c r="N1441">
        <v>62</v>
      </c>
      <c r="O1441" t="s">
        <v>49</v>
      </c>
      <c r="P1441" t="s">
        <v>50</v>
      </c>
    </row>
    <row r="1442" spans="1:16" x14ac:dyDescent="0.35">
      <c r="A1442" t="s">
        <v>3029</v>
      </c>
      <c r="B1442" t="s">
        <v>3030</v>
      </c>
      <c r="C1442" t="s">
        <v>84</v>
      </c>
      <c r="E1442" t="s">
        <v>113</v>
      </c>
      <c r="F1442" s="1">
        <v>42318</v>
      </c>
      <c r="G1442">
        <v>2012</v>
      </c>
      <c r="H1442" t="s">
        <v>114</v>
      </c>
      <c r="I1442" t="s">
        <v>1398</v>
      </c>
      <c r="K1442">
        <v>8.1999999999999993</v>
      </c>
      <c r="L1442">
        <v>20932866</v>
      </c>
      <c r="M1442">
        <v>3388338</v>
      </c>
      <c r="N1442">
        <v>49</v>
      </c>
      <c r="O1442" t="s">
        <v>123</v>
      </c>
      <c r="P1442" t="s">
        <v>32</v>
      </c>
    </row>
    <row r="1443" spans="1:16" x14ac:dyDescent="0.35">
      <c r="A1443" t="s">
        <v>3031</v>
      </c>
      <c r="B1443" t="s">
        <v>3032</v>
      </c>
      <c r="C1443" t="s">
        <v>35</v>
      </c>
      <c r="D1443" t="s">
        <v>94</v>
      </c>
      <c r="E1443" t="s">
        <v>69</v>
      </c>
      <c r="F1443" s="1">
        <v>45035</v>
      </c>
      <c r="G1443">
        <v>2008</v>
      </c>
      <c r="H1443" t="s">
        <v>21</v>
      </c>
      <c r="I1443" t="s">
        <v>56</v>
      </c>
      <c r="J1443" t="s">
        <v>48</v>
      </c>
      <c r="K1443">
        <v>5.9</v>
      </c>
      <c r="L1443">
        <v>13671864</v>
      </c>
      <c r="M1443">
        <v>2905516</v>
      </c>
      <c r="N1443">
        <v>81</v>
      </c>
      <c r="O1443" t="s">
        <v>41</v>
      </c>
      <c r="P1443" t="s">
        <v>42</v>
      </c>
    </row>
    <row r="1444" spans="1:16" x14ac:dyDescent="0.35">
      <c r="A1444" t="s">
        <v>3033</v>
      </c>
      <c r="B1444" t="s">
        <v>3034</v>
      </c>
      <c r="C1444" t="s">
        <v>18</v>
      </c>
      <c r="E1444" t="s">
        <v>55</v>
      </c>
      <c r="F1444" s="1">
        <v>42645</v>
      </c>
      <c r="G1444">
        <v>2023</v>
      </c>
      <c r="H1444" t="s">
        <v>107</v>
      </c>
      <c r="I1444" t="s">
        <v>966</v>
      </c>
      <c r="J1444" t="s">
        <v>72</v>
      </c>
      <c r="K1444">
        <v>7.3</v>
      </c>
      <c r="L1444">
        <v>19422520</v>
      </c>
      <c r="M1444">
        <v>4588481</v>
      </c>
      <c r="N1444">
        <v>87</v>
      </c>
      <c r="O1444" t="s">
        <v>91</v>
      </c>
      <c r="P1444" t="s">
        <v>50</v>
      </c>
    </row>
    <row r="1445" spans="1:16" x14ac:dyDescent="0.35">
      <c r="A1445" t="s">
        <v>3035</v>
      </c>
      <c r="B1445" t="s">
        <v>3036</v>
      </c>
      <c r="C1445" t="s">
        <v>35</v>
      </c>
      <c r="D1445" t="s">
        <v>19</v>
      </c>
      <c r="E1445" t="s">
        <v>55</v>
      </c>
      <c r="F1445" s="1">
        <v>43082</v>
      </c>
      <c r="G1445">
        <v>2012</v>
      </c>
      <c r="H1445" t="s">
        <v>21</v>
      </c>
      <c r="I1445" t="s">
        <v>95</v>
      </c>
      <c r="J1445" t="s">
        <v>57</v>
      </c>
      <c r="K1445">
        <v>4.7</v>
      </c>
      <c r="L1445">
        <v>23149505</v>
      </c>
      <c r="M1445">
        <v>2736719</v>
      </c>
      <c r="N1445">
        <v>66</v>
      </c>
      <c r="O1445" t="s">
        <v>24</v>
      </c>
      <c r="P1445" t="s">
        <v>42</v>
      </c>
    </row>
    <row r="1446" spans="1:16" x14ac:dyDescent="0.35">
      <c r="A1446" t="s">
        <v>3037</v>
      </c>
      <c r="B1446" t="s">
        <v>3038</v>
      </c>
      <c r="C1446" t="s">
        <v>53</v>
      </c>
      <c r="D1446" t="s">
        <v>19</v>
      </c>
      <c r="E1446" t="s">
        <v>113</v>
      </c>
      <c r="F1446" s="1">
        <v>44683</v>
      </c>
      <c r="G1446">
        <v>2026</v>
      </c>
      <c r="H1446" t="s">
        <v>70</v>
      </c>
      <c r="I1446" t="s">
        <v>118</v>
      </c>
      <c r="J1446" t="s">
        <v>76</v>
      </c>
      <c r="K1446">
        <v>7.5</v>
      </c>
      <c r="L1446">
        <v>1573776</v>
      </c>
      <c r="M1446">
        <v>3020378</v>
      </c>
      <c r="N1446">
        <v>56</v>
      </c>
      <c r="O1446" t="s">
        <v>104</v>
      </c>
      <c r="P1446" t="s">
        <v>87</v>
      </c>
    </row>
    <row r="1447" spans="1:16" x14ac:dyDescent="0.35">
      <c r="A1447" t="s">
        <v>3039</v>
      </c>
      <c r="B1447" t="s">
        <v>3040</v>
      </c>
      <c r="C1447" t="s">
        <v>53</v>
      </c>
      <c r="D1447" t="s">
        <v>68</v>
      </c>
      <c r="E1447" t="s">
        <v>131</v>
      </c>
      <c r="F1447" s="1">
        <v>42336</v>
      </c>
      <c r="G1447">
        <v>2001</v>
      </c>
      <c r="H1447" t="s">
        <v>70</v>
      </c>
      <c r="I1447" t="s">
        <v>136</v>
      </c>
      <c r="J1447" t="s">
        <v>153</v>
      </c>
      <c r="K1447">
        <v>5.4</v>
      </c>
      <c r="L1447">
        <v>21301685</v>
      </c>
      <c r="M1447">
        <v>3384697</v>
      </c>
      <c r="N1447">
        <v>89</v>
      </c>
      <c r="O1447" t="s">
        <v>58</v>
      </c>
      <c r="P1447" t="s">
        <v>87</v>
      </c>
    </row>
    <row r="1448" spans="1:16" x14ac:dyDescent="0.35">
      <c r="A1448" t="s">
        <v>3041</v>
      </c>
      <c r="B1448" t="s">
        <v>3042</v>
      </c>
      <c r="D1448" t="s">
        <v>90</v>
      </c>
      <c r="E1448" t="s">
        <v>131</v>
      </c>
      <c r="F1448" s="1">
        <v>44106</v>
      </c>
      <c r="G1448">
        <v>2008</v>
      </c>
      <c r="H1448" t="s">
        <v>121</v>
      </c>
      <c r="I1448" t="s">
        <v>95</v>
      </c>
      <c r="J1448" t="s">
        <v>153</v>
      </c>
      <c r="K1448">
        <v>8.9</v>
      </c>
      <c r="L1448">
        <v>23774038</v>
      </c>
      <c r="M1448">
        <v>1960212</v>
      </c>
      <c r="N1448">
        <v>65</v>
      </c>
      <c r="O1448" t="s">
        <v>65</v>
      </c>
      <c r="P1448" t="s">
        <v>42</v>
      </c>
    </row>
    <row r="1449" spans="1:16" x14ac:dyDescent="0.35">
      <c r="A1449" t="s">
        <v>3043</v>
      </c>
      <c r="B1449" t="s">
        <v>3044</v>
      </c>
      <c r="C1449" t="s">
        <v>18</v>
      </c>
      <c r="F1449" s="1">
        <v>45736</v>
      </c>
      <c r="G1449">
        <v>2003</v>
      </c>
      <c r="I1449" t="s">
        <v>275</v>
      </c>
      <c r="J1449" t="s">
        <v>57</v>
      </c>
      <c r="K1449">
        <v>6.3</v>
      </c>
      <c r="L1449">
        <v>8686979</v>
      </c>
      <c r="M1449">
        <v>3913129</v>
      </c>
      <c r="N1449">
        <v>87</v>
      </c>
      <c r="O1449" t="s">
        <v>104</v>
      </c>
      <c r="P1449" t="s">
        <v>50</v>
      </c>
    </row>
    <row r="1450" spans="1:16" x14ac:dyDescent="0.35">
      <c r="A1450" t="s">
        <v>3045</v>
      </c>
      <c r="B1450" t="s">
        <v>3044</v>
      </c>
      <c r="C1450" t="s">
        <v>18</v>
      </c>
      <c r="D1450" t="s">
        <v>90</v>
      </c>
      <c r="E1450" t="s">
        <v>28</v>
      </c>
      <c r="F1450" s="1">
        <v>44822</v>
      </c>
      <c r="G1450">
        <v>2022</v>
      </c>
      <c r="H1450" t="s">
        <v>107</v>
      </c>
      <c r="I1450" t="s">
        <v>1008</v>
      </c>
      <c r="J1450" t="s">
        <v>133</v>
      </c>
      <c r="K1450">
        <v>8.1999999999999993</v>
      </c>
      <c r="L1450">
        <v>-528</v>
      </c>
      <c r="M1450">
        <v>3128107</v>
      </c>
      <c r="N1450">
        <v>91</v>
      </c>
      <c r="O1450" t="s">
        <v>58</v>
      </c>
    </row>
    <row r="1451" spans="1:16" x14ac:dyDescent="0.35">
      <c r="A1451" t="s">
        <v>3046</v>
      </c>
      <c r="B1451" t="s">
        <v>3047</v>
      </c>
      <c r="C1451" t="s">
        <v>53</v>
      </c>
      <c r="D1451" t="s">
        <v>94</v>
      </c>
      <c r="E1451" t="s">
        <v>45</v>
      </c>
      <c r="F1451" s="1">
        <v>45037</v>
      </c>
      <c r="G1451">
        <v>2009</v>
      </c>
      <c r="I1451" t="s">
        <v>64</v>
      </c>
      <c r="K1451">
        <v>8.9</v>
      </c>
      <c r="L1451">
        <v>11035151</v>
      </c>
      <c r="M1451">
        <v>3905477</v>
      </c>
      <c r="N1451">
        <v>79</v>
      </c>
      <c r="O1451" t="s">
        <v>65</v>
      </c>
      <c r="P1451" t="s">
        <v>87</v>
      </c>
    </row>
    <row r="1452" spans="1:16" x14ac:dyDescent="0.35">
      <c r="A1452" t="s">
        <v>3048</v>
      </c>
      <c r="B1452" t="s">
        <v>3049</v>
      </c>
      <c r="C1452" t="s">
        <v>53</v>
      </c>
      <c r="D1452" t="s">
        <v>27</v>
      </c>
      <c r="E1452" t="s">
        <v>131</v>
      </c>
      <c r="F1452" s="1">
        <v>46035</v>
      </c>
      <c r="G1452">
        <v>2009</v>
      </c>
      <c r="H1452" t="s">
        <v>85</v>
      </c>
      <c r="I1452" t="s">
        <v>64</v>
      </c>
      <c r="J1452" t="s">
        <v>40</v>
      </c>
      <c r="K1452">
        <v>6</v>
      </c>
      <c r="L1452">
        <v>6599448</v>
      </c>
      <c r="M1452">
        <v>1391073</v>
      </c>
      <c r="N1452">
        <v>56</v>
      </c>
      <c r="O1452" t="s">
        <v>58</v>
      </c>
    </row>
    <row r="1453" spans="1:16" x14ac:dyDescent="0.35">
      <c r="A1453" t="s">
        <v>3050</v>
      </c>
      <c r="B1453" t="s">
        <v>3051</v>
      </c>
      <c r="D1453" t="s">
        <v>19</v>
      </c>
      <c r="E1453" t="s">
        <v>80</v>
      </c>
      <c r="F1453" s="1">
        <v>43085</v>
      </c>
      <c r="G1453">
        <v>2023</v>
      </c>
      <c r="H1453" t="s">
        <v>85</v>
      </c>
      <c r="I1453" t="s">
        <v>118</v>
      </c>
      <c r="J1453" t="s">
        <v>40</v>
      </c>
      <c r="K1453">
        <v>6.8</v>
      </c>
      <c r="L1453">
        <v>15408177</v>
      </c>
      <c r="M1453">
        <v>2184415</v>
      </c>
      <c r="N1453">
        <v>42</v>
      </c>
      <c r="O1453" t="s">
        <v>49</v>
      </c>
    </row>
    <row r="1454" spans="1:16" x14ac:dyDescent="0.35">
      <c r="A1454" t="s">
        <v>3052</v>
      </c>
      <c r="B1454" t="s">
        <v>3053</v>
      </c>
      <c r="C1454" t="s">
        <v>79</v>
      </c>
      <c r="D1454" t="s">
        <v>68</v>
      </c>
      <c r="E1454" t="s">
        <v>62</v>
      </c>
      <c r="F1454" s="1">
        <v>43934</v>
      </c>
      <c r="G1454">
        <v>2019</v>
      </c>
      <c r="H1454" t="s">
        <v>81</v>
      </c>
      <c r="I1454" t="s">
        <v>917</v>
      </c>
      <c r="J1454" t="s">
        <v>133</v>
      </c>
      <c r="K1454">
        <v>5.6</v>
      </c>
      <c r="L1454">
        <v>20330824</v>
      </c>
      <c r="M1454">
        <v>254650</v>
      </c>
      <c r="N1454">
        <v>42</v>
      </c>
      <c r="O1454" t="s">
        <v>24</v>
      </c>
    </row>
    <row r="1455" spans="1:16" x14ac:dyDescent="0.35">
      <c r="A1455" t="s">
        <v>3054</v>
      </c>
      <c r="B1455" t="s">
        <v>3055</v>
      </c>
      <c r="C1455" t="s">
        <v>79</v>
      </c>
      <c r="D1455" t="s">
        <v>36</v>
      </c>
      <c r="E1455" t="s">
        <v>28</v>
      </c>
      <c r="F1455" s="1">
        <v>43058</v>
      </c>
      <c r="G1455">
        <v>2024</v>
      </c>
      <c r="H1455" t="s">
        <v>121</v>
      </c>
      <c r="I1455" t="s">
        <v>865</v>
      </c>
      <c r="J1455" t="s">
        <v>40</v>
      </c>
      <c r="K1455">
        <v>9.1999999999999993</v>
      </c>
      <c r="L1455">
        <v>6263018</v>
      </c>
      <c r="M1455">
        <v>3921785</v>
      </c>
      <c r="N1455">
        <v>65</v>
      </c>
      <c r="O1455" t="s">
        <v>123</v>
      </c>
      <c r="P1455" t="s">
        <v>32</v>
      </c>
    </row>
    <row r="1456" spans="1:16" x14ac:dyDescent="0.35">
      <c r="A1456" t="s">
        <v>3056</v>
      </c>
      <c r="B1456" t="s">
        <v>3057</v>
      </c>
      <c r="C1456" t="s">
        <v>79</v>
      </c>
      <c r="D1456" t="s">
        <v>19</v>
      </c>
      <c r="E1456" t="s">
        <v>62</v>
      </c>
      <c r="G1456">
        <v>2013</v>
      </c>
      <c r="H1456" t="s">
        <v>121</v>
      </c>
      <c r="I1456" t="s">
        <v>108</v>
      </c>
      <c r="J1456" t="s">
        <v>40</v>
      </c>
      <c r="K1456">
        <v>7.3</v>
      </c>
      <c r="L1456">
        <v>10329200</v>
      </c>
      <c r="M1456">
        <v>4293913</v>
      </c>
      <c r="N1456">
        <v>65</v>
      </c>
      <c r="O1456" t="s">
        <v>31</v>
      </c>
      <c r="P1456" t="s">
        <v>32</v>
      </c>
    </row>
    <row r="1457" spans="1:16" x14ac:dyDescent="0.35">
      <c r="A1457" t="s">
        <v>3058</v>
      </c>
      <c r="B1457" t="s">
        <v>3059</v>
      </c>
      <c r="C1457" t="s">
        <v>53</v>
      </c>
      <c r="D1457" t="s">
        <v>156</v>
      </c>
      <c r="E1457" t="s">
        <v>113</v>
      </c>
      <c r="F1457" s="1">
        <v>44339</v>
      </c>
      <c r="G1457">
        <v>2020</v>
      </c>
      <c r="I1457" t="s">
        <v>118</v>
      </c>
      <c r="K1457">
        <v>5</v>
      </c>
      <c r="L1457">
        <v>2748920</v>
      </c>
      <c r="M1457">
        <v>4444989</v>
      </c>
      <c r="N1457">
        <v>59</v>
      </c>
      <c r="O1457" t="s">
        <v>104</v>
      </c>
      <c r="P1457" t="s">
        <v>87</v>
      </c>
    </row>
    <row r="1458" spans="1:16" x14ac:dyDescent="0.35">
      <c r="A1458" t="s">
        <v>3060</v>
      </c>
      <c r="B1458" t="s">
        <v>3061</v>
      </c>
      <c r="C1458" t="s">
        <v>18</v>
      </c>
      <c r="D1458" t="s">
        <v>75</v>
      </c>
      <c r="E1458" t="s">
        <v>20</v>
      </c>
      <c r="F1458" s="1">
        <v>46081</v>
      </c>
      <c r="G1458">
        <v>2000</v>
      </c>
      <c r="I1458" t="s">
        <v>738</v>
      </c>
      <c r="J1458" t="s">
        <v>40</v>
      </c>
      <c r="K1458">
        <v>6.3</v>
      </c>
      <c r="L1458">
        <v>3219139</v>
      </c>
      <c r="M1458">
        <v>2908871</v>
      </c>
      <c r="N1458">
        <v>120</v>
      </c>
      <c r="O1458" t="s">
        <v>24</v>
      </c>
      <c r="P1458" t="s">
        <v>42</v>
      </c>
    </row>
    <row r="1459" spans="1:16" x14ac:dyDescent="0.35">
      <c r="A1459" t="s">
        <v>3062</v>
      </c>
      <c r="B1459" t="s">
        <v>3063</v>
      </c>
      <c r="C1459" t="s">
        <v>53</v>
      </c>
      <c r="D1459" t="s">
        <v>19</v>
      </c>
      <c r="E1459" t="s">
        <v>131</v>
      </c>
      <c r="F1459" s="1">
        <v>45327</v>
      </c>
      <c r="G1459">
        <v>2026</v>
      </c>
      <c r="H1459" t="s">
        <v>85</v>
      </c>
      <c r="J1459" t="s">
        <v>100</v>
      </c>
      <c r="K1459">
        <v>9.1999999999999993</v>
      </c>
      <c r="L1459">
        <v>-392</v>
      </c>
      <c r="M1459">
        <v>1978843</v>
      </c>
      <c r="N1459">
        <v>79</v>
      </c>
      <c r="O1459" t="s">
        <v>91</v>
      </c>
    </row>
    <row r="1460" spans="1:16" x14ac:dyDescent="0.35">
      <c r="A1460" t="s">
        <v>3064</v>
      </c>
      <c r="B1460" t="s">
        <v>3065</v>
      </c>
      <c r="D1460" t="s">
        <v>36</v>
      </c>
      <c r="F1460" s="1">
        <v>42253</v>
      </c>
      <c r="G1460">
        <v>2007</v>
      </c>
      <c r="H1460" t="s">
        <v>81</v>
      </c>
      <c r="I1460" t="s">
        <v>56</v>
      </c>
      <c r="J1460" t="s">
        <v>57</v>
      </c>
      <c r="K1460">
        <v>6.2</v>
      </c>
      <c r="L1460">
        <v>7910167</v>
      </c>
      <c r="M1460">
        <v>4061172</v>
      </c>
      <c r="N1460">
        <v>45</v>
      </c>
      <c r="O1460" t="s">
        <v>58</v>
      </c>
      <c r="P1460" t="s">
        <v>50</v>
      </c>
    </row>
    <row r="1461" spans="1:16" x14ac:dyDescent="0.35">
      <c r="A1461" t="s">
        <v>3066</v>
      </c>
      <c r="B1461" t="s">
        <v>3067</v>
      </c>
      <c r="C1461" t="s">
        <v>79</v>
      </c>
      <c r="D1461" t="s">
        <v>54</v>
      </c>
      <c r="E1461" t="s">
        <v>37</v>
      </c>
      <c r="F1461" s="1">
        <v>42438</v>
      </c>
      <c r="G1461">
        <v>2002</v>
      </c>
      <c r="H1461" t="s">
        <v>121</v>
      </c>
      <c r="I1461" t="s">
        <v>794</v>
      </c>
      <c r="K1461">
        <v>9.1</v>
      </c>
      <c r="L1461">
        <v>11048520</v>
      </c>
      <c r="M1461">
        <v>1102002</v>
      </c>
      <c r="N1461">
        <v>84</v>
      </c>
      <c r="O1461" t="s">
        <v>123</v>
      </c>
      <c r="P1461" t="s">
        <v>32</v>
      </c>
    </row>
    <row r="1462" spans="1:16" x14ac:dyDescent="0.35">
      <c r="A1462" t="s">
        <v>3068</v>
      </c>
      <c r="B1462" t="s">
        <v>3069</v>
      </c>
      <c r="D1462" t="s">
        <v>19</v>
      </c>
      <c r="E1462" t="s">
        <v>55</v>
      </c>
      <c r="F1462" s="1">
        <v>43867</v>
      </c>
      <c r="G1462">
        <v>2007</v>
      </c>
      <c r="H1462" t="s">
        <v>85</v>
      </c>
      <c r="I1462" t="s">
        <v>118</v>
      </c>
      <c r="J1462" t="s">
        <v>40</v>
      </c>
      <c r="K1462">
        <v>7.7</v>
      </c>
      <c r="L1462">
        <v>18255662</v>
      </c>
      <c r="M1462">
        <v>2291805</v>
      </c>
      <c r="N1462">
        <v>69</v>
      </c>
      <c r="O1462" t="s">
        <v>104</v>
      </c>
      <c r="P1462" t="s">
        <v>50</v>
      </c>
    </row>
    <row r="1463" spans="1:16" x14ac:dyDescent="0.35">
      <c r="A1463" t="s">
        <v>3070</v>
      </c>
      <c r="B1463" t="s">
        <v>3071</v>
      </c>
      <c r="C1463" t="s">
        <v>18</v>
      </c>
      <c r="D1463" t="s">
        <v>54</v>
      </c>
      <c r="E1463" t="s">
        <v>62</v>
      </c>
      <c r="F1463" s="1">
        <v>44253</v>
      </c>
      <c r="G1463">
        <v>2024</v>
      </c>
      <c r="H1463" t="s">
        <v>70</v>
      </c>
      <c r="I1463" t="s">
        <v>788</v>
      </c>
      <c r="K1463">
        <v>5.4</v>
      </c>
      <c r="L1463">
        <v>2187497</v>
      </c>
      <c r="M1463">
        <v>3376823</v>
      </c>
      <c r="N1463">
        <v>79</v>
      </c>
      <c r="O1463" t="s">
        <v>31</v>
      </c>
      <c r="P1463" t="s">
        <v>42</v>
      </c>
    </row>
    <row r="1464" spans="1:16" x14ac:dyDescent="0.35">
      <c r="A1464" t="s">
        <v>3072</v>
      </c>
      <c r="B1464" t="s">
        <v>3073</v>
      </c>
      <c r="C1464" t="s">
        <v>35</v>
      </c>
      <c r="E1464" t="s">
        <v>80</v>
      </c>
      <c r="G1464">
        <v>2019</v>
      </c>
      <c r="H1464" t="s">
        <v>81</v>
      </c>
      <c r="I1464" t="s">
        <v>39</v>
      </c>
      <c r="J1464" t="s">
        <v>153</v>
      </c>
      <c r="K1464">
        <v>9.4</v>
      </c>
      <c r="L1464">
        <v>21084954</v>
      </c>
      <c r="M1464">
        <v>4787256</v>
      </c>
      <c r="N1464">
        <v>72</v>
      </c>
      <c r="O1464" t="s">
        <v>49</v>
      </c>
      <c r="P1464" t="s">
        <v>42</v>
      </c>
    </row>
    <row r="1465" spans="1:16" x14ac:dyDescent="0.35">
      <c r="A1465" t="s">
        <v>3074</v>
      </c>
      <c r="B1465" t="s">
        <v>3075</v>
      </c>
      <c r="C1465" t="s">
        <v>79</v>
      </c>
      <c r="D1465" t="s">
        <v>156</v>
      </c>
      <c r="E1465" t="s">
        <v>62</v>
      </c>
      <c r="F1465" s="1">
        <v>42625</v>
      </c>
      <c r="G1465">
        <v>2003</v>
      </c>
      <c r="H1465" t="s">
        <v>107</v>
      </c>
      <c r="I1465" t="s">
        <v>1904</v>
      </c>
      <c r="J1465" t="s">
        <v>72</v>
      </c>
      <c r="K1465">
        <v>9.8000000000000007</v>
      </c>
      <c r="L1465">
        <v>2598063</v>
      </c>
      <c r="M1465">
        <v>599440</v>
      </c>
      <c r="N1465">
        <v>68</v>
      </c>
      <c r="O1465" t="s">
        <v>123</v>
      </c>
    </row>
    <row r="1466" spans="1:16" x14ac:dyDescent="0.35">
      <c r="A1466" t="s">
        <v>3076</v>
      </c>
      <c r="B1466" t="s">
        <v>3077</v>
      </c>
      <c r="C1466" t="s">
        <v>53</v>
      </c>
      <c r="D1466" t="s">
        <v>90</v>
      </c>
      <c r="E1466" t="s">
        <v>80</v>
      </c>
      <c r="F1466" s="1">
        <v>43871</v>
      </c>
      <c r="G1466">
        <v>2022</v>
      </c>
      <c r="H1466" t="s">
        <v>63</v>
      </c>
      <c r="I1466" t="s">
        <v>118</v>
      </c>
      <c r="J1466" t="s">
        <v>57</v>
      </c>
      <c r="K1466">
        <v>5.0999999999999996</v>
      </c>
      <c r="L1466">
        <v>13790665</v>
      </c>
      <c r="M1466">
        <v>1999499</v>
      </c>
      <c r="N1466">
        <v>80</v>
      </c>
      <c r="O1466" t="s">
        <v>123</v>
      </c>
      <c r="P1466" t="s">
        <v>42</v>
      </c>
    </row>
    <row r="1467" spans="1:16" x14ac:dyDescent="0.35">
      <c r="A1467" t="s">
        <v>3078</v>
      </c>
      <c r="B1467" t="s">
        <v>3079</v>
      </c>
      <c r="C1467" t="s">
        <v>84</v>
      </c>
      <c r="D1467" t="s">
        <v>156</v>
      </c>
      <c r="E1467" t="s">
        <v>131</v>
      </c>
      <c r="F1467" s="1">
        <v>43033</v>
      </c>
      <c r="G1467">
        <v>2011</v>
      </c>
      <c r="H1467" t="s">
        <v>70</v>
      </c>
      <c r="I1467" t="s">
        <v>287</v>
      </c>
      <c r="J1467" t="s">
        <v>133</v>
      </c>
      <c r="K1467">
        <v>9.6999999999999993</v>
      </c>
      <c r="L1467">
        <v>17832738</v>
      </c>
      <c r="M1467">
        <v>3837676</v>
      </c>
      <c r="N1467">
        <v>65</v>
      </c>
      <c r="O1467" t="s">
        <v>58</v>
      </c>
      <c r="P1467" t="s">
        <v>42</v>
      </c>
    </row>
    <row r="1468" spans="1:16" x14ac:dyDescent="0.35">
      <c r="A1468" t="s">
        <v>3080</v>
      </c>
      <c r="B1468" t="s">
        <v>3081</v>
      </c>
      <c r="C1468" t="s">
        <v>84</v>
      </c>
      <c r="D1468" t="s">
        <v>36</v>
      </c>
      <c r="E1468" t="s">
        <v>165</v>
      </c>
      <c r="F1468" s="1">
        <v>43575</v>
      </c>
      <c r="G1468">
        <v>2012</v>
      </c>
      <c r="H1468" t="s">
        <v>121</v>
      </c>
      <c r="I1468" t="s">
        <v>29</v>
      </c>
      <c r="J1468" t="s">
        <v>57</v>
      </c>
      <c r="K1468">
        <v>6.5</v>
      </c>
      <c r="L1468">
        <v>8646096</v>
      </c>
      <c r="M1468">
        <v>4188219</v>
      </c>
      <c r="N1468">
        <v>49</v>
      </c>
      <c r="O1468" t="s">
        <v>49</v>
      </c>
      <c r="P1468" t="s">
        <v>32</v>
      </c>
    </row>
    <row r="1469" spans="1:16" x14ac:dyDescent="0.35">
      <c r="A1469" t="s">
        <v>3082</v>
      </c>
      <c r="B1469" t="s">
        <v>3083</v>
      </c>
      <c r="C1469" t="s">
        <v>18</v>
      </c>
      <c r="D1469" t="s">
        <v>19</v>
      </c>
      <c r="F1469" s="1">
        <v>42297</v>
      </c>
      <c r="G1469">
        <v>2000</v>
      </c>
      <c r="H1469" t="s">
        <v>46</v>
      </c>
      <c r="I1469" t="s">
        <v>170</v>
      </c>
      <c r="J1469" t="s">
        <v>23</v>
      </c>
      <c r="K1469">
        <v>9.3000000000000007</v>
      </c>
      <c r="L1469">
        <v>586482</v>
      </c>
      <c r="M1469">
        <v>3963433</v>
      </c>
      <c r="N1469">
        <v>48</v>
      </c>
      <c r="O1469" t="s">
        <v>31</v>
      </c>
      <c r="P1469" t="s">
        <v>50</v>
      </c>
    </row>
    <row r="1470" spans="1:16" x14ac:dyDescent="0.35">
      <c r="A1470" t="s">
        <v>3084</v>
      </c>
      <c r="B1470" t="s">
        <v>3085</v>
      </c>
      <c r="E1470" t="s">
        <v>45</v>
      </c>
      <c r="G1470">
        <v>2015</v>
      </c>
      <c r="H1470" t="s">
        <v>107</v>
      </c>
      <c r="I1470" t="s">
        <v>56</v>
      </c>
      <c r="J1470" t="s">
        <v>30</v>
      </c>
      <c r="K1470">
        <v>9.6999999999999993</v>
      </c>
      <c r="L1470">
        <v>2749919</v>
      </c>
      <c r="M1470">
        <v>4439632</v>
      </c>
      <c r="N1470">
        <v>53</v>
      </c>
      <c r="O1470" t="s">
        <v>24</v>
      </c>
      <c r="P1470" t="s">
        <v>87</v>
      </c>
    </row>
    <row r="1471" spans="1:16" x14ac:dyDescent="0.35">
      <c r="A1471" t="s">
        <v>3086</v>
      </c>
      <c r="B1471" t="s">
        <v>3087</v>
      </c>
      <c r="C1471" t="s">
        <v>79</v>
      </c>
      <c r="E1471" t="s">
        <v>62</v>
      </c>
      <c r="F1471" s="1">
        <v>42502</v>
      </c>
      <c r="G1471">
        <v>2025</v>
      </c>
      <c r="H1471" t="s">
        <v>81</v>
      </c>
      <c r="I1471" t="s">
        <v>3088</v>
      </c>
      <c r="J1471" t="s">
        <v>153</v>
      </c>
      <c r="K1471">
        <v>9.4</v>
      </c>
      <c r="L1471">
        <v>17467821</v>
      </c>
      <c r="M1471">
        <v>2024406</v>
      </c>
      <c r="N1471">
        <v>89</v>
      </c>
      <c r="O1471" t="s">
        <v>65</v>
      </c>
      <c r="P1471" t="s">
        <v>87</v>
      </c>
    </row>
    <row r="1472" spans="1:16" x14ac:dyDescent="0.35">
      <c r="A1472" t="s">
        <v>3089</v>
      </c>
      <c r="B1472" t="s">
        <v>3090</v>
      </c>
      <c r="C1472" t="s">
        <v>53</v>
      </c>
      <c r="D1472" t="s">
        <v>68</v>
      </c>
      <c r="F1472" s="1">
        <v>42672</v>
      </c>
      <c r="G1472">
        <v>2020</v>
      </c>
      <c r="H1472" t="s">
        <v>63</v>
      </c>
      <c r="I1472" t="s">
        <v>162</v>
      </c>
      <c r="J1472" t="s">
        <v>48</v>
      </c>
      <c r="K1472">
        <v>7.6</v>
      </c>
      <c r="L1472">
        <v>19318825</v>
      </c>
      <c r="M1472">
        <v>1622702</v>
      </c>
      <c r="N1472">
        <v>91</v>
      </c>
      <c r="O1472" t="s">
        <v>104</v>
      </c>
    </row>
    <row r="1473" spans="1:16" x14ac:dyDescent="0.35">
      <c r="A1473" t="s">
        <v>3091</v>
      </c>
      <c r="B1473" t="s">
        <v>3092</v>
      </c>
      <c r="C1473" t="s">
        <v>84</v>
      </c>
      <c r="D1473" t="s">
        <v>36</v>
      </c>
      <c r="E1473" t="s">
        <v>20</v>
      </c>
      <c r="F1473" s="1">
        <v>45734</v>
      </c>
      <c r="G1473">
        <v>2023</v>
      </c>
      <c r="H1473" t="s">
        <v>46</v>
      </c>
      <c r="I1473" t="s">
        <v>1606</v>
      </c>
      <c r="J1473" t="s">
        <v>76</v>
      </c>
      <c r="K1473">
        <v>6.1</v>
      </c>
      <c r="L1473">
        <v>1177635</v>
      </c>
      <c r="M1473">
        <v>3778766</v>
      </c>
      <c r="N1473">
        <v>71</v>
      </c>
      <c r="O1473" t="s">
        <v>58</v>
      </c>
    </row>
    <row r="1474" spans="1:16" x14ac:dyDescent="0.35">
      <c r="A1474" t="s">
        <v>3093</v>
      </c>
      <c r="B1474" t="s">
        <v>3094</v>
      </c>
      <c r="D1474" t="s">
        <v>27</v>
      </c>
      <c r="E1474" t="s">
        <v>165</v>
      </c>
      <c r="F1474" s="1">
        <v>43037</v>
      </c>
      <c r="G1474">
        <v>2001</v>
      </c>
      <c r="H1474" t="s">
        <v>70</v>
      </c>
      <c r="I1474" t="s">
        <v>56</v>
      </c>
      <c r="J1474" t="s">
        <v>103</v>
      </c>
      <c r="K1474">
        <v>8.9</v>
      </c>
      <c r="L1474">
        <v>19452024</v>
      </c>
      <c r="M1474">
        <v>152568</v>
      </c>
      <c r="N1474">
        <v>90</v>
      </c>
      <c r="O1474" t="s">
        <v>49</v>
      </c>
      <c r="P1474" t="s">
        <v>87</v>
      </c>
    </row>
    <row r="1475" spans="1:16" x14ac:dyDescent="0.35">
      <c r="A1475" t="s">
        <v>3095</v>
      </c>
      <c r="B1475" t="s">
        <v>3096</v>
      </c>
      <c r="C1475" t="s">
        <v>53</v>
      </c>
      <c r="D1475" t="s">
        <v>156</v>
      </c>
      <c r="F1475" s="1">
        <v>44247</v>
      </c>
      <c r="G1475">
        <v>2014</v>
      </c>
      <c r="H1475" t="s">
        <v>38</v>
      </c>
      <c r="I1475" t="s">
        <v>136</v>
      </c>
      <c r="J1475" t="s">
        <v>48</v>
      </c>
      <c r="K1475">
        <v>8.6</v>
      </c>
      <c r="L1475">
        <v>20884689</v>
      </c>
      <c r="M1475">
        <v>736452</v>
      </c>
      <c r="N1475">
        <v>99</v>
      </c>
      <c r="O1475" t="s">
        <v>41</v>
      </c>
      <c r="P1475" t="s">
        <v>42</v>
      </c>
    </row>
    <row r="1476" spans="1:16" x14ac:dyDescent="0.35">
      <c r="A1476" t="s">
        <v>3097</v>
      </c>
      <c r="B1476" t="s">
        <v>3098</v>
      </c>
      <c r="C1476" t="s">
        <v>35</v>
      </c>
      <c r="D1476" t="s">
        <v>61</v>
      </c>
      <c r="F1476" s="1">
        <v>42821</v>
      </c>
      <c r="G1476">
        <v>2010</v>
      </c>
      <c r="H1476" t="s">
        <v>38</v>
      </c>
      <c r="I1476" t="s">
        <v>136</v>
      </c>
      <c r="J1476" t="s">
        <v>96</v>
      </c>
      <c r="K1476">
        <v>9.3000000000000007</v>
      </c>
      <c r="L1476">
        <v>16791471</v>
      </c>
      <c r="M1476">
        <v>4586151</v>
      </c>
      <c r="N1476">
        <v>77</v>
      </c>
      <c r="O1476" t="s">
        <v>41</v>
      </c>
      <c r="P1476" t="s">
        <v>50</v>
      </c>
    </row>
    <row r="1477" spans="1:16" x14ac:dyDescent="0.35">
      <c r="A1477" t="s">
        <v>3099</v>
      </c>
      <c r="B1477" t="s">
        <v>3100</v>
      </c>
      <c r="C1477" t="s">
        <v>79</v>
      </c>
      <c r="D1477" t="s">
        <v>19</v>
      </c>
      <c r="F1477" s="1">
        <v>42917</v>
      </c>
      <c r="G1477">
        <v>2018</v>
      </c>
      <c r="H1477" t="s">
        <v>121</v>
      </c>
      <c r="I1477" t="s">
        <v>627</v>
      </c>
      <c r="J1477" t="s">
        <v>40</v>
      </c>
      <c r="K1477">
        <v>8.4</v>
      </c>
      <c r="L1477">
        <v>22484206</v>
      </c>
      <c r="M1477">
        <v>3084433</v>
      </c>
      <c r="N1477">
        <v>52</v>
      </c>
      <c r="O1477" t="s">
        <v>24</v>
      </c>
      <c r="P1477" t="s">
        <v>32</v>
      </c>
    </row>
    <row r="1478" spans="1:16" x14ac:dyDescent="0.35">
      <c r="A1478" t="s">
        <v>3101</v>
      </c>
      <c r="B1478" t="s">
        <v>3102</v>
      </c>
      <c r="C1478" t="s">
        <v>79</v>
      </c>
      <c r="D1478" t="s">
        <v>90</v>
      </c>
      <c r="E1478" t="s">
        <v>165</v>
      </c>
      <c r="F1478" s="1">
        <v>42274</v>
      </c>
      <c r="G1478">
        <v>2032</v>
      </c>
      <c r="H1478" t="s">
        <v>21</v>
      </c>
      <c r="I1478" t="s">
        <v>402</v>
      </c>
      <c r="J1478" t="s">
        <v>40</v>
      </c>
      <c r="K1478">
        <v>7.1</v>
      </c>
      <c r="L1478">
        <v>23129966</v>
      </c>
      <c r="M1478">
        <v>2686508</v>
      </c>
      <c r="N1478">
        <v>96</v>
      </c>
      <c r="O1478" t="s">
        <v>31</v>
      </c>
      <c r="P1478" t="s">
        <v>32</v>
      </c>
    </row>
    <row r="1479" spans="1:16" x14ac:dyDescent="0.35">
      <c r="A1479" t="s">
        <v>3103</v>
      </c>
      <c r="B1479" t="s">
        <v>3104</v>
      </c>
      <c r="C1479" t="s">
        <v>79</v>
      </c>
      <c r="D1479" t="s">
        <v>54</v>
      </c>
      <c r="E1479" t="s">
        <v>80</v>
      </c>
      <c r="F1479" s="1">
        <v>44316</v>
      </c>
      <c r="G1479">
        <v>2012</v>
      </c>
      <c r="H1479" t="s">
        <v>21</v>
      </c>
      <c r="I1479" t="s">
        <v>571</v>
      </c>
      <c r="J1479" t="s">
        <v>96</v>
      </c>
      <c r="K1479">
        <v>5.2</v>
      </c>
      <c r="L1479">
        <v>4839616</v>
      </c>
      <c r="M1479">
        <v>2342560</v>
      </c>
      <c r="N1479">
        <v>59</v>
      </c>
      <c r="O1479" t="s">
        <v>31</v>
      </c>
      <c r="P1479" t="s">
        <v>50</v>
      </c>
    </row>
    <row r="1480" spans="1:16" x14ac:dyDescent="0.35">
      <c r="A1480" t="s">
        <v>3105</v>
      </c>
      <c r="B1480" t="s">
        <v>3106</v>
      </c>
      <c r="C1480" t="s">
        <v>84</v>
      </c>
      <c r="D1480" t="s">
        <v>156</v>
      </c>
      <c r="E1480" t="s">
        <v>28</v>
      </c>
      <c r="F1480" s="1">
        <v>45884</v>
      </c>
      <c r="G1480">
        <v>2017</v>
      </c>
      <c r="H1480" t="s">
        <v>38</v>
      </c>
      <c r="I1480" t="s">
        <v>963</v>
      </c>
      <c r="J1480" t="s">
        <v>133</v>
      </c>
      <c r="K1480">
        <v>8.1</v>
      </c>
      <c r="L1480">
        <v>4303519</v>
      </c>
      <c r="M1480">
        <v>4226212</v>
      </c>
      <c r="N1480">
        <v>60</v>
      </c>
      <c r="O1480" t="s">
        <v>31</v>
      </c>
      <c r="P1480" t="s">
        <v>87</v>
      </c>
    </row>
    <row r="1481" spans="1:16" x14ac:dyDescent="0.35">
      <c r="A1481" t="s">
        <v>3107</v>
      </c>
      <c r="B1481" t="s">
        <v>3108</v>
      </c>
      <c r="E1481" t="s">
        <v>131</v>
      </c>
      <c r="F1481" s="1">
        <v>45525</v>
      </c>
      <c r="G1481">
        <v>2014</v>
      </c>
      <c r="H1481" t="s">
        <v>107</v>
      </c>
      <c r="I1481" t="s">
        <v>56</v>
      </c>
      <c r="J1481" t="s">
        <v>96</v>
      </c>
      <c r="K1481">
        <v>7.8</v>
      </c>
      <c r="L1481">
        <v>2937679</v>
      </c>
      <c r="M1481">
        <v>3516345</v>
      </c>
      <c r="N1481">
        <v>88</v>
      </c>
      <c r="O1481" t="s">
        <v>123</v>
      </c>
    </row>
    <row r="1482" spans="1:16" x14ac:dyDescent="0.35">
      <c r="A1482" t="s">
        <v>3109</v>
      </c>
      <c r="B1482" t="s">
        <v>3110</v>
      </c>
      <c r="C1482" t="s">
        <v>79</v>
      </c>
      <c r="D1482" t="s">
        <v>36</v>
      </c>
      <c r="E1482" t="s">
        <v>69</v>
      </c>
      <c r="F1482" s="1">
        <v>45834</v>
      </c>
      <c r="G1482">
        <v>2032</v>
      </c>
      <c r="H1482" t="s">
        <v>63</v>
      </c>
      <c r="I1482" t="s">
        <v>594</v>
      </c>
      <c r="J1482" t="s">
        <v>96</v>
      </c>
      <c r="K1482">
        <v>6.5</v>
      </c>
      <c r="L1482">
        <v>7248354</v>
      </c>
      <c r="M1482">
        <v>4348173</v>
      </c>
      <c r="N1482">
        <v>44</v>
      </c>
      <c r="O1482" t="s">
        <v>65</v>
      </c>
    </row>
    <row r="1483" spans="1:16" x14ac:dyDescent="0.35">
      <c r="A1483" t="s">
        <v>3111</v>
      </c>
      <c r="B1483" t="s">
        <v>3112</v>
      </c>
      <c r="C1483" t="s">
        <v>79</v>
      </c>
      <c r="E1483" t="s">
        <v>55</v>
      </c>
      <c r="F1483" s="1">
        <v>44363</v>
      </c>
      <c r="G1483">
        <v>2012</v>
      </c>
      <c r="H1483" t="s">
        <v>21</v>
      </c>
      <c r="I1483" t="s">
        <v>373</v>
      </c>
      <c r="J1483" t="s">
        <v>57</v>
      </c>
      <c r="K1483">
        <v>9.6999999999999993</v>
      </c>
      <c r="L1483">
        <v>10208481</v>
      </c>
      <c r="M1483">
        <v>4863834</v>
      </c>
      <c r="N1483">
        <v>57</v>
      </c>
      <c r="O1483" t="s">
        <v>24</v>
      </c>
      <c r="P1483" t="s">
        <v>50</v>
      </c>
    </row>
    <row r="1484" spans="1:16" x14ac:dyDescent="0.35">
      <c r="A1484" t="s">
        <v>3113</v>
      </c>
      <c r="B1484" t="s">
        <v>3114</v>
      </c>
      <c r="C1484" t="s">
        <v>35</v>
      </c>
      <c r="D1484" t="s">
        <v>19</v>
      </c>
      <c r="E1484" t="s">
        <v>55</v>
      </c>
      <c r="F1484" s="1">
        <v>42813</v>
      </c>
      <c r="G1484">
        <v>2026</v>
      </c>
      <c r="H1484" t="s">
        <v>85</v>
      </c>
      <c r="I1484" t="s">
        <v>64</v>
      </c>
      <c r="J1484" t="s">
        <v>153</v>
      </c>
      <c r="K1484">
        <v>6.1</v>
      </c>
      <c r="L1484">
        <v>6070148</v>
      </c>
      <c r="M1484">
        <v>235277</v>
      </c>
      <c r="N1484">
        <v>120</v>
      </c>
      <c r="O1484" t="s">
        <v>24</v>
      </c>
      <c r="P1484" t="s">
        <v>87</v>
      </c>
    </row>
    <row r="1485" spans="1:16" x14ac:dyDescent="0.35">
      <c r="A1485" t="s">
        <v>3115</v>
      </c>
      <c r="B1485" t="s">
        <v>3116</v>
      </c>
      <c r="C1485" t="s">
        <v>84</v>
      </c>
      <c r="D1485" t="s">
        <v>27</v>
      </c>
      <c r="E1485" t="s">
        <v>45</v>
      </c>
      <c r="F1485" s="1">
        <v>44388</v>
      </c>
      <c r="G1485">
        <v>2023</v>
      </c>
      <c r="H1485" t="s">
        <v>85</v>
      </c>
      <c r="I1485" t="s">
        <v>1023</v>
      </c>
      <c r="J1485" t="s">
        <v>57</v>
      </c>
      <c r="K1485">
        <v>5.7</v>
      </c>
      <c r="L1485">
        <v>20506818</v>
      </c>
      <c r="M1485">
        <v>879461</v>
      </c>
      <c r="N1485">
        <v>91</v>
      </c>
      <c r="O1485" t="s">
        <v>91</v>
      </c>
      <c r="P1485" t="s">
        <v>42</v>
      </c>
    </row>
    <row r="1486" spans="1:16" x14ac:dyDescent="0.35">
      <c r="A1486" t="s">
        <v>3117</v>
      </c>
      <c r="B1486" t="s">
        <v>3118</v>
      </c>
      <c r="C1486" t="s">
        <v>35</v>
      </c>
      <c r="D1486" t="s">
        <v>54</v>
      </c>
      <c r="E1486" t="s">
        <v>165</v>
      </c>
      <c r="F1486" s="1">
        <v>42997</v>
      </c>
      <c r="G1486">
        <v>2017</v>
      </c>
      <c r="H1486" t="s">
        <v>46</v>
      </c>
      <c r="I1486" t="s">
        <v>64</v>
      </c>
      <c r="J1486" t="s">
        <v>76</v>
      </c>
      <c r="K1486">
        <v>7.5</v>
      </c>
      <c r="L1486">
        <v>13518818</v>
      </c>
      <c r="M1486">
        <v>4029878</v>
      </c>
      <c r="N1486">
        <v>54</v>
      </c>
      <c r="O1486" t="s">
        <v>41</v>
      </c>
      <c r="P1486" t="s">
        <v>32</v>
      </c>
    </row>
    <row r="1487" spans="1:16" x14ac:dyDescent="0.35">
      <c r="A1487" t="s">
        <v>3119</v>
      </c>
      <c r="B1487" t="s">
        <v>3120</v>
      </c>
      <c r="C1487" t="s">
        <v>79</v>
      </c>
      <c r="D1487" t="s">
        <v>36</v>
      </c>
      <c r="E1487" t="s">
        <v>37</v>
      </c>
      <c r="F1487" s="1">
        <v>43384</v>
      </c>
      <c r="G1487">
        <v>2020</v>
      </c>
      <c r="H1487" t="s">
        <v>121</v>
      </c>
      <c r="I1487" t="s">
        <v>627</v>
      </c>
      <c r="J1487" t="s">
        <v>40</v>
      </c>
      <c r="K1487">
        <v>5.7</v>
      </c>
      <c r="L1487">
        <v>7553173</v>
      </c>
      <c r="M1487">
        <v>886152</v>
      </c>
      <c r="N1487">
        <v>44</v>
      </c>
      <c r="O1487" t="s">
        <v>31</v>
      </c>
    </row>
    <row r="1488" spans="1:16" x14ac:dyDescent="0.35">
      <c r="A1488" t="s">
        <v>3121</v>
      </c>
      <c r="B1488" t="s">
        <v>3122</v>
      </c>
      <c r="C1488" t="s">
        <v>35</v>
      </c>
      <c r="D1488" t="s">
        <v>75</v>
      </c>
      <c r="E1488" t="s">
        <v>55</v>
      </c>
      <c r="F1488" s="1">
        <v>43906</v>
      </c>
      <c r="G1488">
        <v>2005</v>
      </c>
      <c r="H1488" t="s">
        <v>85</v>
      </c>
      <c r="I1488" t="s">
        <v>71</v>
      </c>
      <c r="J1488" t="s">
        <v>153</v>
      </c>
      <c r="K1488">
        <v>6.1</v>
      </c>
      <c r="L1488">
        <v>14725898</v>
      </c>
      <c r="M1488">
        <v>3472491</v>
      </c>
      <c r="N1488">
        <v>82</v>
      </c>
      <c r="O1488" t="s">
        <v>31</v>
      </c>
      <c r="P1488" t="s">
        <v>42</v>
      </c>
    </row>
    <row r="1489" spans="1:16" x14ac:dyDescent="0.35">
      <c r="A1489" t="s">
        <v>3123</v>
      </c>
      <c r="B1489" t="s">
        <v>3124</v>
      </c>
      <c r="C1489" t="s">
        <v>84</v>
      </c>
      <c r="D1489" t="s">
        <v>68</v>
      </c>
      <c r="E1489" t="s">
        <v>45</v>
      </c>
      <c r="F1489" s="1">
        <v>45600</v>
      </c>
      <c r="G1489">
        <v>2009</v>
      </c>
      <c r="H1489" t="s">
        <v>81</v>
      </c>
      <c r="I1489" t="s">
        <v>192</v>
      </c>
      <c r="J1489" t="s">
        <v>40</v>
      </c>
      <c r="K1489">
        <v>6.7</v>
      </c>
      <c r="L1489">
        <v>18868746</v>
      </c>
      <c r="M1489">
        <v>2503610</v>
      </c>
      <c r="N1489">
        <v>51</v>
      </c>
      <c r="O1489" t="s">
        <v>104</v>
      </c>
    </row>
    <row r="1490" spans="1:16" x14ac:dyDescent="0.35">
      <c r="A1490" t="s">
        <v>3125</v>
      </c>
      <c r="B1490" t="s">
        <v>3126</v>
      </c>
      <c r="C1490" t="s">
        <v>53</v>
      </c>
      <c r="D1490" t="s">
        <v>94</v>
      </c>
      <c r="E1490" t="s">
        <v>131</v>
      </c>
      <c r="F1490" s="1">
        <v>45154</v>
      </c>
      <c r="G1490">
        <v>2018</v>
      </c>
      <c r="H1490" t="s">
        <v>114</v>
      </c>
      <c r="I1490" t="s">
        <v>64</v>
      </c>
      <c r="J1490" t="s">
        <v>76</v>
      </c>
      <c r="K1490">
        <v>9.3000000000000007</v>
      </c>
      <c r="L1490">
        <v>1663984</v>
      </c>
      <c r="M1490">
        <v>1126710</v>
      </c>
      <c r="N1490">
        <v>57</v>
      </c>
      <c r="O1490" t="s">
        <v>123</v>
      </c>
      <c r="P1490" t="s">
        <v>32</v>
      </c>
    </row>
    <row r="1491" spans="1:16" x14ac:dyDescent="0.35">
      <c r="A1491" t="s">
        <v>3127</v>
      </c>
      <c r="B1491" t="s">
        <v>3128</v>
      </c>
      <c r="D1491" t="s">
        <v>27</v>
      </c>
      <c r="E1491" t="s">
        <v>113</v>
      </c>
      <c r="F1491" s="1">
        <v>45326</v>
      </c>
      <c r="G1491">
        <v>2012</v>
      </c>
      <c r="H1491" t="s">
        <v>107</v>
      </c>
      <c r="I1491" t="s">
        <v>56</v>
      </c>
      <c r="J1491" t="s">
        <v>23</v>
      </c>
      <c r="K1491">
        <v>8</v>
      </c>
      <c r="L1491">
        <v>20600894</v>
      </c>
      <c r="M1491">
        <v>2103487</v>
      </c>
      <c r="N1491">
        <v>95</v>
      </c>
      <c r="O1491" t="s">
        <v>31</v>
      </c>
      <c r="P1491" t="s">
        <v>87</v>
      </c>
    </row>
    <row r="1492" spans="1:16" x14ac:dyDescent="0.35">
      <c r="A1492" t="s">
        <v>3129</v>
      </c>
      <c r="B1492" t="s">
        <v>3130</v>
      </c>
      <c r="C1492" t="s">
        <v>18</v>
      </c>
      <c r="E1492" t="s">
        <v>80</v>
      </c>
      <c r="F1492" s="1">
        <v>44612</v>
      </c>
      <c r="G1492">
        <v>2008</v>
      </c>
      <c r="H1492" t="s">
        <v>70</v>
      </c>
      <c r="I1492" t="s">
        <v>608</v>
      </c>
      <c r="J1492" t="s">
        <v>72</v>
      </c>
      <c r="K1492">
        <v>9.4</v>
      </c>
      <c r="L1492">
        <v>13978724</v>
      </c>
      <c r="M1492">
        <v>3534230</v>
      </c>
      <c r="N1492">
        <v>50</v>
      </c>
      <c r="P1492" t="s">
        <v>32</v>
      </c>
    </row>
    <row r="1493" spans="1:16" x14ac:dyDescent="0.35">
      <c r="A1493" t="s">
        <v>3131</v>
      </c>
      <c r="B1493" t="s">
        <v>3132</v>
      </c>
      <c r="C1493" t="s">
        <v>18</v>
      </c>
      <c r="E1493" t="s">
        <v>55</v>
      </c>
      <c r="F1493" s="1">
        <v>44118</v>
      </c>
      <c r="G1493">
        <v>2015</v>
      </c>
      <c r="H1493" t="s">
        <v>121</v>
      </c>
      <c r="I1493" t="s">
        <v>82</v>
      </c>
      <c r="J1493" t="s">
        <v>30</v>
      </c>
      <c r="K1493">
        <v>7.9</v>
      </c>
      <c r="L1493">
        <v>23282296</v>
      </c>
      <c r="M1493">
        <v>313237</v>
      </c>
      <c r="N1493">
        <v>73</v>
      </c>
      <c r="O1493" t="s">
        <v>24</v>
      </c>
    </row>
    <row r="1494" spans="1:16" x14ac:dyDescent="0.35">
      <c r="A1494" t="s">
        <v>3133</v>
      </c>
      <c r="B1494" t="s">
        <v>3134</v>
      </c>
      <c r="D1494" t="s">
        <v>61</v>
      </c>
      <c r="F1494" s="1">
        <v>46201</v>
      </c>
      <c r="G1494">
        <v>2009</v>
      </c>
      <c r="H1494" t="s">
        <v>38</v>
      </c>
      <c r="I1494" t="s">
        <v>136</v>
      </c>
      <c r="J1494" t="s">
        <v>100</v>
      </c>
      <c r="K1494">
        <v>8.6</v>
      </c>
      <c r="L1494">
        <v>16560207</v>
      </c>
      <c r="M1494">
        <v>2250371</v>
      </c>
      <c r="N1494">
        <v>63</v>
      </c>
      <c r="O1494" t="s">
        <v>31</v>
      </c>
      <c r="P1494" t="s">
        <v>42</v>
      </c>
    </row>
    <row r="1495" spans="1:16" x14ac:dyDescent="0.35">
      <c r="A1495" t="s">
        <v>3135</v>
      </c>
      <c r="B1495" t="s">
        <v>3136</v>
      </c>
      <c r="C1495" t="s">
        <v>79</v>
      </c>
      <c r="D1495" t="s">
        <v>19</v>
      </c>
      <c r="E1495" t="s">
        <v>62</v>
      </c>
      <c r="F1495" s="1">
        <v>45518</v>
      </c>
      <c r="G1495">
        <v>2006</v>
      </c>
      <c r="H1495" t="s">
        <v>85</v>
      </c>
      <c r="I1495" t="s">
        <v>184</v>
      </c>
      <c r="J1495" t="s">
        <v>100</v>
      </c>
      <c r="K1495">
        <v>7</v>
      </c>
      <c r="L1495">
        <v>18483932</v>
      </c>
      <c r="M1495">
        <v>4854350</v>
      </c>
      <c r="N1495">
        <v>73</v>
      </c>
      <c r="O1495" t="s">
        <v>91</v>
      </c>
    </row>
    <row r="1496" spans="1:16" x14ac:dyDescent="0.35">
      <c r="A1496" t="s">
        <v>3137</v>
      </c>
      <c r="B1496" t="s">
        <v>3138</v>
      </c>
      <c r="E1496" t="s">
        <v>69</v>
      </c>
      <c r="F1496" s="1">
        <v>45414</v>
      </c>
      <c r="G1496">
        <v>2021</v>
      </c>
      <c r="H1496" t="s">
        <v>38</v>
      </c>
      <c r="I1496" t="s">
        <v>95</v>
      </c>
      <c r="J1496" t="s">
        <v>76</v>
      </c>
      <c r="K1496">
        <v>5.8</v>
      </c>
      <c r="L1496">
        <v>14810116</v>
      </c>
      <c r="M1496">
        <v>3703843</v>
      </c>
      <c r="N1496">
        <v>120</v>
      </c>
      <c r="O1496" t="s">
        <v>24</v>
      </c>
      <c r="P1496" t="s">
        <v>42</v>
      </c>
    </row>
    <row r="1497" spans="1:16" x14ac:dyDescent="0.35">
      <c r="A1497" t="s">
        <v>3139</v>
      </c>
      <c r="B1497" t="s">
        <v>3140</v>
      </c>
      <c r="C1497" t="s">
        <v>35</v>
      </c>
      <c r="E1497" t="s">
        <v>28</v>
      </c>
      <c r="F1497" s="1">
        <v>43418</v>
      </c>
      <c r="G1497">
        <v>2005</v>
      </c>
      <c r="I1497" t="s">
        <v>136</v>
      </c>
      <c r="J1497" t="s">
        <v>153</v>
      </c>
      <c r="K1497">
        <v>5.3</v>
      </c>
      <c r="L1497">
        <v>3776884</v>
      </c>
      <c r="M1497">
        <v>316421</v>
      </c>
      <c r="N1497">
        <v>69</v>
      </c>
      <c r="O1497" t="s">
        <v>49</v>
      </c>
      <c r="P1497" t="s">
        <v>32</v>
      </c>
    </row>
    <row r="1498" spans="1:16" x14ac:dyDescent="0.35">
      <c r="A1498" t="s">
        <v>3141</v>
      </c>
      <c r="B1498" t="s">
        <v>3142</v>
      </c>
      <c r="C1498" t="s">
        <v>84</v>
      </c>
      <c r="D1498" t="s">
        <v>68</v>
      </c>
      <c r="E1498" t="s">
        <v>113</v>
      </c>
      <c r="F1498" s="1">
        <v>43801</v>
      </c>
      <c r="G1498">
        <v>2015</v>
      </c>
      <c r="H1498" t="s">
        <v>81</v>
      </c>
      <c r="I1498" t="s">
        <v>594</v>
      </c>
      <c r="J1498" t="s">
        <v>103</v>
      </c>
      <c r="K1498">
        <v>7.9</v>
      </c>
      <c r="L1498">
        <v>2746280</v>
      </c>
      <c r="M1498">
        <v>3654564</v>
      </c>
      <c r="N1498">
        <v>77</v>
      </c>
      <c r="O1498" t="s">
        <v>24</v>
      </c>
      <c r="P1498" t="s">
        <v>32</v>
      </c>
    </row>
    <row r="1499" spans="1:16" x14ac:dyDescent="0.35">
      <c r="A1499" t="s">
        <v>3143</v>
      </c>
      <c r="B1499" t="s">
        <v>3144</v>
      </c>
      <c r="C1499" t="s">
        <v>53</v>
      </c>
      <c r="D1499" t="s">
        <v>54</v>
      </c>
      <c r="E1499" t="s">
        <v>113</v>
      </c>
      <c r="F1499" s="1">
        <v>43104</v>
      </c>
      <c r="G1499">
        <v>2001</v>
      </c>
      <c r="H1499" t="s">
        <v>63</v>
      </c>
      <c r="I1499" t="s">
        <v>136</v>
      </c>
      <c r="J1499" t="s">
        <v>96</v>
      </c>
      <c r="K1499">
        <v>9.8000000000000007</v>
      </c>
      <c r="L1499">
        <v>6749886</v>
      </c>
      <c r="M1499">
        <v>234676</v>
      </c>
      <c r="N1499">
        <v>74</v>
      </c>
      <c r="O1499" t="s">
        <v>65</v>
      </c>
      <c r="P1499" t="s">
        <v>87</v>
      </c>
    </row>
    <row r="1500" spans="1:16" x14ac:dyDescent="0.35">
      <c r="A1500" t="s">
        <v>3145</v>
      </c>
      <c r="B1500" t="s">
        <v>3146</v>
      </c>
      <c r="C1500" t="s">
        <v>84</v>
      </c>
      <c r="D1500" t="s">
        <v>90</v>
      </c>
      <c r="F1500" s="1">
        <v>42623</v>
      </c>
      <c r="G1500">
        <v>2001</v>
      </c>
      <c r="H1500" t="s">
        <v>107</v>
      </c>
      <c r="K1500">
        <v>6.4</v>
      </c>
      <c r="L1500">
        <v>5890854</v>
      </c>
      <c r="M1500">
        <v>2415118</v>
      </c>
      <c r="N1500">
        <v>50</v>
      </c>
      <c r="O1500" t="s">
        <v>41</v>
      </c>
      <c r="P1500" t="s">
        <v>42</v>
      </c>
    </row>
    <row r="1501" spans="1:16" x14ac:dyDescent="0.35">
      <c r="A1501" t="s">
        <v>3147</v>
      </c>
      <c r="B1501" t="s">
        <v>3148</v>
      </c>
      <c r="D1501" t="s">
        <v>94</v>
      </c>
      <c r="E1501" t="s">
        <v>165</v>
      </c>
      <c r="F1501" s="1">
        <v>42492</v>
      </c>
      <c r="G1501">
        <v>2012</v>
      </c>
      <c r="H1501" t="s">
        <v>21</v>
      </c>
      <c r="I1501" t="s">
        <v>95</v>
      </c>
      <c r="J1501" t="s">
        <v>96</v>
      </c>
      <c r="K1501">
        <v>4.9000000000000004</v>
      </c>
      <c r="L1501">
        <v>8106807</v>
      </c>
      <c r="M1501">
        <v>945376</v>
      </c>
      <c r="N1501">
        <v>49</v>
      </c>
      <c r="O1501" t="s">
        <v>41</v>
      </c>
      <c r="P1501" t="s">
        <v>42</v>
      </c>
    </row>
    <row r="1502" spans="1:16" x14ac:dyDescent="0.35">
      <c r="A1502" t="s">
        <v>3149</v>
      </c>
      <c r="B1502" t="s">
        <v>3150</v>
      </c>
      <c r="C1502" t="s">
        <v>79</v>
      </c>
      <c r="D1502" t="s">
        <v>19</v>
      </c>
      <c r="E1502" t="s">
        <v>28</v>
      </c>
      <c r="F1502" s="1">
        <v>42365</v>
      </c>
      <c r="G1502">
        <v>2004</v>
      </c>
      <c r="H1502" t="s">
        <v>63</v>
      </c>
      <c r="I1502" t="s">
        <v>262</v>
      </c>
      <c r="J1502" t="s">
        <v>103</v>
      </c>
      <c r="K1502">
        <v>7.5</v>
      </c>
      <c r="L1502">
        <v>14798698</v>
      </c>
      <c r="M1502">
        <v>3600290</v>
      </c>
      <c r="N1502">
        <v>65</v>
      </c>
      <c r="O1502" t="s">
        <v>104</v>
      </c>
      <c r="P1502" t="s">
        <v>50</v>
      </c>
    </row>
    <row r="1503" spans="1:16" x14ac:dyDescent="0.35">
      <c r="A1503" t="s">
        <v>3151</v>
      </c>
      <c r="B1503" t="s">
        <v>3152</v>
      </c>
      <c r="C1503" t="s">
        <v>79</v>
      </c>
      <c r="D1503" t="s">
        <v>156</v>
      </c>
      <c r="E1503" t="s">
        <v>62</v>
      </c>
      <c r="F1503" s="1">
        <v>42272</v>
      </c>
      <c r="G1503">
        <v>2001</v>
      </c>
      <c r="H1503" t="s">
        <v>85</v>
      </c>
      <c r="I1503" t="s">
        <v>754</v>
      </c>
      <c r="J1503" t="s">
        <v>153</v>
      </c>
      <c r="K1503">
        <v>7.8</v>
      </c>
      <c r="L1503">
        <v>3592188</v>
      </c>
      <c r="M1503">
        <v>1241400</v>
      </c>
      <c r="N1503">
        <v>120</v>
      </c>
      <c r="O1503" t="s">
        <v>24</v>
      </c>
      <c r="P1503" t="s">
        <v>42</v>
      </c>
    </row>
    <row r="1504" spans="1:16" x14ac:dyDescent="0.35">
      <c r="A1504" t="s">
        <v>3153</v>
      </c>
      <c r="B1504" t="s">
        <v>3154</v>
      </c>
      <c r="C1504" t="s">
        <v>84</v>
      </c>
      <c r="D1504" t="s">
        <v>54</v>
      </c>
      <c r="E1504" t="s">
        <v>37</v>
      </c>
      <c r="F1504" s="1">
        <v>43743</v>
      </c>
      <c r="G1504">
        <v>2009</v>
      </c>
      <c r="H1504" t="s">
        <v>107</v>
      </c>
      <c r="I1504" t="s">
        <v>312</v>
      </c>
      <c r="J1504" t="s">
        <v>72</v>
      </c>
      <c r="K1504">
        <v>7.8</v>
      </c>
      <c r="L1504">
        <v>4867221</v>
      </c>
      <c r="M1504">
        <v>4487481</v>
      </c>
      <c r="N1504">
        <v>54</v>
      </c>
      <c r="O1504" t="s">
        <v>31</v>
      </c>
      <c r="P1504" t="s">
        <v>42</v>
      </c>
    </row>
    <row r="1505" spans="1:16" x14ac:dyDescent="0.35">
      <c r="A1505" t="s">
        <v>3155</v>
      </c>
      <c r="B1505" t="s">
        <v>3156</v>
      </c>
      <c r="C1505" t="s">
        <v>84</v>
      </c>
      <c r="D1505" t="s">
        <v>36</v>
      </c>
      <c r="E1505" t="s">
        <v>165</v>
      </c>
      <c r="F1505" s="1">
        <v>44578</v>
      </c>
      <c r="G1505">
        <v>2013</v>
      </c>
      <c r="H1505" t="s">
        <v>114</v>
      </c>
      <c r="I1505" t="s">
        <v>788</v>
      </c>
      <c r="J1505" t="s">
        <v>133</v>
      </c>
      <c r="K1505">
        <v>7.6</v>
      </c>
      <c r="L1505">
        <v>-578</v>
      </c>
      <c r="M1505">
        <v>388343</v>
      </c>
      <c r="N1505">
        <v>73</v>
      </c>
      <c r="P1505" t="s">
        <v>32</v>
      </c>
    </row>
    <row r="1506" spans="1:16" x14ac:dyDescent="0.35">
      <c r="A1506" t="s">
        <v>3157</v>
      </c>
      <c r="B1506" t="s">
        <v>3158</v>
      </c>
      <c r="C1506" t="s">
        <v>35</v>
      </c>
      <c r="D1506" t="s">
        <v>36</v>
      </c>
      <c r="E1506" t="s">
        <v>80</v>
      </c>
      <c r="F1506" s="1">
        <v>46164</v>
      </c>
      <c r="G1506">
        <v>2003</v>
      </c>
      <c r="H1506" t="s">
        <v>85</v>
      </c>
      <c r="I1506" t="s">
        <v>64</v>
      </c>
      <c r="J1506" t="s">
        <v>40</v>
      </c>
      <c r="K1506">
        <v>7.7</v>
      </c>
      <c r="L1506">
        <v>1076171</v>
      </c>
      <c r="M1506">
        <v>4344222</v>
      </c>
      <c r="N1506">
        <v>96</v>
      </c>
      <c r="O1506" t="s">
        <v>65</v>
      </c>
    </row>
    <row r="1507" spans="1:16" x14ac:dyDescent="0.35">
      <c r="A1507" t="s">
        <v>3159</v>
      </c>
      <c r="B1507" t="s">
        <v>3158</v>
      </c>
      <c r="C1507" t="s">
        <v>35</v>
      </c>
      <c r="D1507" t="s">
        <v>54</v>
      </c>
      <c r="E1507" t="s">
        <v>69</v>
      </c>
      <c r="F1507" s="1">
        <v>44852</v>
      </c>
      <c r="G1507">
        <v>2026</v>
      </c>
      <c r="H1507" t="s">
        <v>38</v>
      </c>
      <c r="I1507" t="s">
        <v>95</v>
      </c>
      <c r="J1507" t="s">
        <v>72</v>
      </c>
      <c r="K1507">
        <v>8.6999999999999993</v>
      </c>
      <c r="L1507">
        <v>10159826</v>
      </c>
      <c r="M1507">
        <v>1390132</v>
      </c>
      <c r="N1507">
        <v>81</v>
      </c>
      <c r="O1507" t="s">
        <v>49</v>
      </c>
      <c r="P1507" t="s">
        <v>87</v>
      </c>
    </row>
    <row r="1508" spans="1:16" x14ac:dyDescent="0.35">
      <c r="A1508" t="s">
        <v>3160</v>
      </c>
      <c r="B1508" t="s">
        <v>3161</v>
      </c>
      <c r="C1508" t="s">
        <v>53</v>
      </c>
      <c r="D1508" t="s">
        <v>54</v>
      </c>
      <c r="F1508" s="1">
        <v>45965</v>
      </c>
      <c r="G1508">
        <v>2011</v>
      </c>
      <c r="H1508" t="s">
        <v>114</v>
      </c>
      <c r="I1508" t="s">
        <v>56</v>
      </c>
      <c r="J1508" t="s">
        <v>40</v>
      </c>
      <c r="K1508">
        <v>9.8000000000000007</v>
      </c>
      <c r="L1508">
        <v>12930963</v>
      </c>
      <c r="M1508">
        <v>4535444</v>
      </c>
      <c r="N1508">
        <v>44</v>
      </c>
      <c r="O1508" t="s">
        <v>104</v>
      </c>
      <c r="P1508" t="s">
        <v>87</v>
      </c>
    </row>
    <row r="1509" spans="1:16" x14ac:dyDescent="0.35">
      <c r="A1509" t="s">
        <v>3162</v>
      </c>
      <c r="B1509" t="s">
        <v>3163</v>
      </c>
      <c r="C1509" t="s">
        <v>79</v>
      </c>
      <c r="D1509" t="s">
        <v>68</v>
      </c>
      <c r="E1509" t="s">
        <v>99</v>
      </c>
      <c r="F1509" s="1">
        <v>45201</v>
      </c>
      <c r="G1509">
        <v>2023</v>
      </c>
      <c r="H1509" t="s">
        <v>114</v>
      </c>
      <c r="I1509" t="s">
        <v>336</v>
      </c>
      <c r="K1509">
        <v>9.5</v>
      </c>
      <c r="L1509">
        <v>14073255</v>
      </c>
      <c r="M1509">
        <v>1894840</v>
      </c>
      <c r="N1509">
        <v>58</v>
      </c>
      <c r="O1509" t="s">
        <v>41</v>
      </c>
      <c r="P1509" t="s">
        <v>42</v>
      </c>
    </row>
    <row r="1510" spans="1:16" x14ac:dyDescent="0.35">
      <c r="A1510" t="s">
        <v>3164</v>
      </c>
      <c r="B1510" t="s">
        <v>3165</v>
      </c>
      <c r="C1510" t="s">
        <v>18</v>
      </c>
      <c r="D1510" t="s">
        <v>90</v>
      </c>
      <c r="E1510" t="s">
        <v>28</v>
      </c>
      <c r="F1510" s="1">
        <v>42802</v>
      </c>
      <c r="G1510">
        <v>2003</v>
      </c>
      <c r="I1510" t="s">
        <v>508</v>
      </c>
      <c r="K1510">
        <v>7</v>
      </c>
      <c r="L1510">
        <v>5285298</v>
      </c>
      <c r="M1510">
        <v>4257903</v>
      </c>
      <c r="N1510">
        <v>41</v>
      </c>
      <c r="O1510" t="s">
        <v>65</v>
      </c>
      <c r="P1510" t="s">
        <v>87</v>
      </c>
    </row>
    <row r="1511" spans="1:16" x14ac:dyDescent="0.35">
      <c r="A1511" t="s">
        <v>3166</v>
      </c>
      <c r="B1511" t="s">
        <v>3167</v>
      </c>
      <c r="E1511" t="s">
        <v>113</v>
      </c>
      <c r="F1511" s="1">
        <v>45559</v>
      </c>
      <c r="G1511">
        <v>2016</v>
      </c>
      <c r="I1511" t="s">
        <v>64</v>
      </c>
      <c r="J1511" t="s">
        <v>96</v>
      </c>
      <c r="K1511">
        <v>4.9000000000000004</v>
      </c>
      <c r="L1511">
        <v>21030363</v>
      </c>
      <c r="M1511">
        <v>1748875</v>
      </c>
      <c r="N1511">
        <v>70</v>
      </c>
      <c r="O1511" t="s">
        <v>31</v>
      </c>
      <c r="P1511" t="s">
        <v>50</v>
      </c>
    </row>
    <row r="1512" spans="1:16" x14ac:dyDescent="0.35">
      <c r="A1512" t="s">
        <v>3168</v>
      </c>
      <c r="B1512" t="s">
        <v>3169</v>
      </c>
      <c r="C1512" t="s">
        <v>53</v>
      </c>
      <c r="D1512" t="s">
        <v>36</v>
      </c>
      <c r="E1512" t="s">
        <v>55</v>
      </c>
      <c r="F1512" s="1">
        <v>45551</v>
      </c>
      <c r="G1512">
        <v>2032</v>
      </c>
      <c r="H1512" t="s">
        <v>38</v>
      </c>
      <c r="I1512" t="s">
        <v>136</v>
      </c>
      <c r="J1512" t="s">
        <v>57</v>
      </c>
      <c r="K1512">
        <v>9.1</v>
      </c>
      <c r="L1512">
        <v>4248061</v>
      </c>
      <c r="M1512">
        <v>1244197</v>
      </c>
      <c r="N1512">
        <v>120</v>
      </c>
      <c r="O1512" t="s">
        <v>58</v>
      </c>
      <c r="P1512" t="s">
        <v>32</v>
      </c>
    </row>
    <row r="1513" spans="1:16" x14ac:dyDescent="0.35">
      <c r="A1513" t="s">
        <v>3170</v>
      </c>
      <c r="B1513" t="s">
        <v>3171</v>
      </c>
      <c r="C1513" t="s">
        <v>79</v>
      </c>
      <c r="D1513" t="s">
        <v>27</v>
      </c>
      <c r="E1513" t="s">
        <v>80</v>
      </c>
      <c r="F1513" s="1">
        <v>43616</v>
      </c>
      <c r="G1513">
        <v>2004</v>
      </c>
      <c r="H1513" t="s">
        <v>121</v>
      </c>
      <c r="I1513" t="s">
        <v>738</v>
      </c>
      <c r="J1513" t="s">
        <v>72</v>
      </c>
      <c r="K1513">
        <v>9.6</v>
      </c>
      <c r="L1513">
        <v>3504531</v>
      </c>
      <c r="M1513">
        <v>559472</v>
      </c>
      <c r="N1513">
        <v>91</v>
      </c>
      <c r="O1513" t="s">
        <v>91</v>
      </c>
      <c r="P1513" t="s">
        <v>50</v>
      </c>
    </row>
    <row r="1514" spans="1:16" x14ac:dyDescent="0.35">
      <c r="A1514" t="s">
        <v>3172</v>
      </c>
      <c r="B1514" t="s">
        <v>3173</v>
      </c>
      <c r="C1514" t="s">
        <v>79</v>
      </c>
      <c r="D1514" t="s">
        <v>54</v>
      </c>
      <c r="E1514" t="s">
        <v>80</v>
      </c>
      <c r="F1514" s="1">
        <v>44974</v>
      </c>
      <c r="G1514">
        <v>2024</v>
      </c>
      <c r="H1514" t="s">
        <v>107</v>
      </c>
      <c r="I1514" t="s">
        <v>320</v>
      </c>
      <c r="J1514" t="s">
        <v>103</v>
      </c>
      <c r="K1514">
        <v>7.2</v>
      </c>
      <c r="L1514">
        <v>9347180</v>
      </c>
      <c r="M1514">
        <v>1208198</v>
      </c>
      <c r="N1514">
        <v>52</v>
      </c>
      <c r="O1514" t="s">
        <v>24</v>
      </c>
      <c r="P1514" t="s">
        <v>87</v>
      </c>
    </row>
    <row r="1515" spans="1:16" x14ac:dyDescent="0.35">
      <c r="A1515" t="s">
        <v>3174</v>
      </c>
      <c r="B1515" t="s">
        <v>3175</v>
      </c>
      <c r="C1515" t="s">
        <v>35</v>
      </c>
      <c r="D1515" t="s">
        <v>156</v>
      </c>
      <c r="E1515" t="s">
        <v>45</v>
      </c>
      <c r="G1515">
        <v>2019</v>
      </c>
      <c r="H1515" t="s">
        <v>46</v>
      </c>
      <c r="I1515" t="s">
        <v>162</v>
      </c>
      <c r="J1515" t="s">
        <v>76</v>
      </c>
      <c r="K1515">
        <v>9.1</v>
      </c>
      <c r="L1515">
        <v>1877596</v>
      </c>
      <c r="M1515">
        <v>3072726</v>
      </c>
      <c r="N1515">
        <v>97</v>
      </c>
      <c r="O1515" t="s">
        <v>65</v>
      </c>
      <c r="P1515" t="s">
        <v>42</v>
      </c>
    </row>
    <row r="1516" spans="1:16" x14ac:dyDescent="0.35">
      <c r="A1516" t="s">
        <v>3176</v>
      </c>
      <c r="B1516" t="s">
        <v>3177</v>
      </c>
      <c r="C1516" t="s">
        <v>53</v>
      </c>
      <c r="D1516" t="s">
        <v>61</v>
      </c>
      <c r="E1516" t="s">
        <v>55</v>
      </c>
      <c r="F1516" s="1">
        <v>43947</v>
      </c>
      <c r="G1516">
        <v>2025</v>
      </c>
      <c r="H1516" t="s">
        <v>121</v>
      </c>
      <c r="I1516" t="s">
        <v>118</v>
      </c>
      <c r="J1516" t="s">
        <v>57</v>
      </c>
      <c r="K1516">
        <v>6.4</v>
      </c>
      <c r="L1516">
        <v>22669574</v>
      </c>
      <c r="M1516">
        <v>517299</v>
      </c>
      <c r="N1516">
        <v>50</v>
      </c>
      <c r="O1516" t="s">
        <v>123</v>
      </c>
      <c r="P1516" t="s">
        <v>42</v>
      </c>
    </row>
    <row r="1517" spans="1:16" x14ac:dyDescent="0.35">
      <c r="A1517" t="s">
        <v>3178</v>
      </c>
      <c r="B1517" t="s">
        <v>3179</v>
      </c>
      <c r="E1517" t="s">
        <v>165</v>
      </c>
      <c r="F1517" s="1">
        <v>43519</v>
      </c>
      <c r="G1517">
        <v>2011</v>
      </c>
      <c r="H1517" t="s">
        <v>85</v>
      </c>
      <c r="I1517" t="s">
        <v>95</v>
      </c>
      <c r="J1517" t="s">
        <v>23</v>
      </c>
      <c r="K1517">
        <v>9.1999999999999993</v>
      </c>
      <c r="L1517">
        <v>19313207</v>
      </c>
      <c r="M1517">
        <v>2293047</v>
      </c>
      <c r="N1517">
        <v>42</v>
      </c>
      <c r="O1517" t="s">
        <v>58</v>
      </c>
      <c r="P1517" t="s">
        <v>42</v>
      </c>
    </row>
    <row r="1518" spans="1:16" x14ac:dyDescent="0.35">
      <c r="A1518" t="s">
        <v>3180</v>
      </c>
      <c r="B1518" t="s">
        <v>3181</v>
      </c>
      <c r="C1518" t="s">
        <v>18</v>
      </c>
      <c r="D1518" t="s">
        <v>75</v>
      </c>
      <c r="E1518" t="s">
        <v>20</v>
      </c>
      <c r="F1518" s="1">
        <v>45459</v>
      </c>
      <c r="G1518">
        <v>2012</v>
      </c>
      <c r="H1518" t="s">
        <v>81</v>
      </c>
      <c r="I1518" t="s">
        <v>3088</v>
      </c>
      <c r="K1518">
        <v>9.3000000000000007</v>
      </c>
      <c r="L1518">
        <v>6011024</v>
      </c>
      <c r="M1518">
        <v>4410717</v>
      </c>
      <c r="N1518">
        <v>120</v>
      </c>
      <c r="O1518" t="s">
        <v>31</v>
      </c>
      <c r="P1518" t="s">
        <v>50</v>
      </c>
    </row>
    <row r="1519" spans="1:16" x14ac:dyDescent="0.35">
      <c r="A1519" t="s">
        <v>3182</v>
      </c>
      <c r="B1519" t="s">
        <v>3183</v>
      </c>
      <c r="C1519" t="s">
        <v>84</v>
      </c>
      <c r="D1519" t="s">
        <v>68</v>
      </c>
      <c r="E1519" t="s">
        <v>28</v>
      </c>
      <c r="G1519">
        <v>2032</v>
      </c>
      <c r="H1519" t="s">
        <v>85</v>
      </c>
      <c r="I1519" t="s">
        <v>211</v>
      </c>
      <c r="J1519" t="s">
        <v>40</v>
      </c>
      <c r="K1519">
        <v>9.4</v>
      </c>
      <c r="L1519">
        <v>1940440</v>
      </c>
      <c r="M1519">
        <v>4877890</v>
      </c>
      <c r="N1519">
        <v>53</v>
      </c>
      <c r="O1519" t="s">
        <v>104</v>
      </c>
      <c r="P1519" t="s">
        <v>50</v>
      </c>
    </row>
    <row r="1520" spans="1:16" x14ac:dyDescent="0.35">
      <c r="A1520" t="s">
        <v>3184</v>
      </c>
      <c r="B1520" t="s">
        <v>3185</v>
      </c>
      <c r="C1520" t="s">
        <v>18</v>
      </c>
      <c r="D1520" t="s">
        <v>156</v>
      </c>
      <c r="E1520" t="s">
        <v>28</v>
      </c>
      <c r="F1520" s="1">
        <v>44345</v>
      </c>
      <c r="G1520">
        <v>2007</v>
      </c>
      <c r="H1520" t="s">
        <v>114</v>
      </c>
      <c r="I1520" t="s">
        <v>1362</v>
      </c>
      <c r="J1520" t="s">
        <v>103</v>
      </c>
      <c r="K1520">
        <v>7.8</v>
      </c>
      <c r="L1520">
        <v>4816927</v>
      </c>
      <c r="M1520">
        <v>3424520</v>
      </c>
      <c r="N1520">
        <v>74</v>
      </c>
      <c r="O1520" t="s">
        <v>31</v>
      </c>
      <c r="P1520" t="s">
        <v>50</v>
      </c>
    </row>
    <row r="1521" spans="1:16" x14ac:dyDescent="0.35">
      <c r="A1521" t="s">
        <v>3186</v>
      </c>
      <c r="B1521" t="s">
        <v>3187</v>
      </c>
      <c r="D1521" t="s">
        <v>90</v>
      </c>
      <c r="E1521" t="s">
        <v>165</v>
      </c>
      <c r="G1521">
        <v>2000</v>
      </c>
      <c r="H1521" t="s">
        <v>46</v>
      </c>
      <c r="I1521" t="s">
        <v>39</v>
      </c>
      <c r="J1521" t="s">
        <v>30</v>
      </c>
      <c r="K1521">
        <v>5.3</v>
      </c>
      <c r="L1521">
        <v>17186517</v>
      </c>
      <c r="M1521">
        <v>1706550</v>
      </c>
      <c r="N1521">
        <v>70</v>
      </c>
      <c r="O1521" t="s">
        <v>31</v>
      </c>
      <c r="P1521" t="s">
        <v>32</v>
      </c>
    </row>
    <row r="1522" spans="1:16" x14ac:dyDescent="0.35">
      <c r="A1522" t="s">
        <v>3188</v>
      </c>
      <c r="B1522" t="s">
        <v>3189</v>
      </c>
      <c r="E1522" t="s">
        <v>55</v>
      </c>
      <c r="F1522" s="1">
        <v>45616</v>
      </c>
      <c r="G1522">
        <v>2021</v>
      </c>
      <c r="H1522" t="s">
        <v>114</v>
      </c>
      <c r="I1522" t="s">
        <v>39</v>
      </c>
      <c r="J1522" t="s">
        <v>100</v>
      </c>
      <c r="K1522">
        <v>5.7</v>
      </c>
      <c r="L1522">
        <v>17026551</v>
      </c>
      <c r="M1522">
        <v>4612987</v>
      </c>
      <c r="N1522">
        <v>98</v>
      </c>
      <c r="O1522" t="s">
        <v>65</v>
      </c>
    </row>
    <row r="1523" spans="1:16" x14ac:dyDescent="0.35">
      <c r="A1523" t="s">
        <v>3190</v>
      </c>
      <c r="B1523" t="s">
        <v>3191</v>
      </c>
      <c r="C1523" t="s">
        <v>35</v>
      </c>
      <c r="D1523" t="s">
        <v>75</v>
      </c>
      <c r="E1523" t="s">
        <v>28</v>
      </c>
      <c r="F1523" s="1">
        <v>45157</v>
      </c>
      <c r="G1523">
        <v>2024</v>
      </c>
      <c r="H1523" t="s">
        <v>114</v>
      </c>
      <c r="I1523" t="s">
        <v>39</v>
      </c>
      <c r="J1523" t="s">
        <v>133</v>
      </c>
      <c r="K1523">
        <v>5.0999999999999996</v>
      </c>
      <c r="L1523">
        <v>5295603</v>
      </c>
      <c r="M1523">
        <v>1464509</v>
      </c>
      <c r="N1523">
        <v>67</v>
      </c>
      <c r="O1523" t="s">
        <v>65</v>
      </c>
      <c r="P1523" t="s">
        <v>42</v>
      </c>
    </row>
    <row r="1524" spans="1:16" x14ac:dyDescent="0.35">
      <c r="A1524" t="s">
        <v>3192</v>
      </c>
      <c r="B1524" t="s">
        <v>3193</v>
      </c>
      <c r="E1524" t="s">
        <v>99</v>
      </c>
      <c r="F1524" s="1">
        <v>45555</v>
      </c>
      <c r="G1524">
        <v>2003</v>
      </c>
      <c r="H1524" t="s">
        <v>38</v>
      </c>
      <c r="I1524" t="s">
        <v>118</v>
      </c>
      <c r="J1524" t="s">
        <v>48</v>
      </c>
      <c r="K1524">
        <v>7.4</v>
      </c>
      <c r="L1524">
        <v>293227</v>
      </c>
      <c r="M1524">
        <v>4630386</v>
      </c>
      <c r="N1524">
        <v>85</v>
      </c>
      <c r="O1524" t="s">
        <v>91</v>
      </c>
      <c r="P1524" t="s">
        <v>32</v>
      </c>
    </row>
    <row r="1525" spans="1:16" x14ac:dyDescent="0.35">
      <c r="A1525" t="s">
        <v>3194</v>
      </c>
      <c r="B1525" t="s">
        <v>3195</v>
      </c>
      <c r="C1525" t="s">
        <v>18</v>
      </c>
      <c r="D1525" t="s">
        <v>36</v>
      </c>
      <c r="E1525" t="s">
        <v>80</v>
      </c>
      <c r="F1525" s="1">
        <v>42896</v>
      </c>
      <c r="G1525">
        <v>2018</v>
      </c>
      <c r="H1525" t="s">
        <v>46</v>
      </c>
      <c r="I1525" t="s">
        <v>386</v>
      </c>
      <c r="J1525" t="s">
        <v>100</v>
      </c>
      <c r="K1525">
        <v>4.8</v>
      </c>
      <c r="L1525">
        <v>20901160</v>
      </c>
      <c r="M1525">
        <v>307808</v>
      </c>
      <c r="N1525">
        <v>40</v>
      </c>
      <c r="O1525" t="s">
        <v>123</v>
      </c>
      <c r="P1525" t="s">
        <v>42</v>
      </c>
    </row>
    <row r="1526" spans="1:16" x14ac:dyDescent="0.35">
      <c r="A1526" t="s">
        <v>3196</v>
      </c>
      <c r="B1526" t="s">
        <v>3197</v>
      </c>
      <c r="C1526" t="s">
        <v>35</v>
      </c>
      <c r="D1526" t="s">
        <v>90</v>
      </c>
      <c r="F1526" s="1">
        <v>43202</v>
      </c>
      <c r="G1526">
        <v>2015</v>
      </c>
      <c r="H1526" t="s">
        <v>46</v>
      </c>
      <c r="I1526" t="s">
        <v>95</v>
      </c>
      <c r="J1526" t="s">
        <v>76</v>
      </c>
      <c r="K1526">
        <v>5.7</v>
      </c>
      <c r="L1526">
        <v>5222371</v>
      </c>
      <c r="M1526">
        <v>1782150</v>
      </c>
      <c r="N1526">
        <v>83</v>
      </c>
      <c r="O1526" t="s">
        <v>123</v>
      </c>
    </row>
    <row r="1527" spans="1:16" x14ac:dyDescent="0.35">
      <c r="A1527" t="s">
        <v>3198</v>
      </c>
      <c r="B1527" t="s">
        <v>3199</v>
      </c>
      <c r="C1527" t="s">
        <v>53</v>
      </c>
      <c r="D1527" t="s">
        <v>94</v>
      </c>
      <c r="F1527" s="1">
        <v>45189</v>
      </c>
      <c r="G1527">
        <v>2023</v>
      </c>
      <c r="H1527" t="s">
        <v>81</v>
      </c>
      <c r="I1527" t="s">
        <v>39</v>
      </c>
      <c r="J1527" t="s">
        <v>103</v>
      </c>
      <c r="K1527">
        <v>8.6</v>
      </c>
      <c r="L1527">
        <v>12200201</v>
      </c>
      <c r="M1527">
        <v>2145106</v>
      </c>
      <c r="N1527">
        <v>56</v>
      </c>
      <c r="O1527" t="s">
        <v>58</v>
      </c>
      <c r="P1527" t="s">
        <v>42</v>
      </c>
    </row>
    <row r="1528" spans="1:16" x14ac:dyDescent="0.35">
      <c r="A1528" t="s">
        <v>3200</v>
      </c>
      <c r="B1528" t="s">
        <v>3201</v>
      </c>
      <c r="D1528" t="s">
        <v>61</v>
      </c>
      <c r="E1528" t="s">
        <v>45</v>
      </c>
      <c r="F1528" s="1">
        <v>43302</v>
      </c>
      <c r="G1528">
        <v>2001</v>
      </c>
      <c r="H1528" t="s">
        <v>85</v>
      </c>
      <c r="I1528" t="s">
        <v>95</v>
      </c>
      <c r="J1528" t="s">
        <v>30</v>
      </c>
      <c r="K1528">
        <v>7.9</v>
      </c>
      <c r="L1528">
        <v>3738511</v>
      </c>
      <c r="M1528">
        <v>675999</v>
      </c>
      <c r="N1528">
        <v>63</v>
      </c>
      <c r="O1528" t="s">
        <v>49</v>
      </c>
      <c r="P1528" t="s">
        <v>42</v>
      </c>
    </row>
    <row r="1529" spans="1:16" x14ac:dyDescent="0.35">
      <c r="A1529" t="s">
        <v>3202</v>
      </c>
      <c r="B1529" t="s">
        <v>3203</v>
      </c>
      <c r="C1529" t="s">
        <v>18</v>
      </c>
      <c r="D1529" t="s">
        <v>156</v>
      </c>
      <c r="E1529" t="s">
        <v>69</v>
      </c>
      <c r="F1529" s="1">
        <v>45197</v>
      </c>
      <c r="G1529">
        <v>2021</v>
      </c>
      <c r="I1529" t="s">
        <v>1065</v>
      </c>
      <c r="J1529" t="s">
        <v>23</v>
      </c>
      <c r="K1529">
        <v>8.3000000000000007</v>
      </c>
      <c r="L1529">
        <v>20141763</v>
      </c>
      <c r="M1529">
        <v>23350</v>
      </c>
      <c r="N1529">
        <v>120</v>
      </c>
      <c r="O1529" t="s">
        <v>104</v>
      </c>
      <c r="P1529" t="s">
        <v>87</v>
      </c>
    </row>
    <row r="1530" spans="1:16" x14ac:dyDescent="0.35">
      <c r="A1530" t="s">
        <v>3204</v>
      </c>
      <c r="B1530" t="s">
        <v>3205</v>
      </c>
      <c r="C1530" t="s">
        <v>84</v>
      </c>
      <c r="D1530" t="s">
        <v>27</v>
      </c>
      <c r="E1530" t="s">
        <v>62</v>
      </c>
      <c r="F1530" s="1">
        <v>44954</v>
      </c>
      <c r="G1530">
        <v>2003</v>
      </c>
      <c r="H1530" t="s">
        <v>81</v>
      </c>
      <c r="I1530" t="s">
        <v>1362</v>
      </c>
      <c r="J1530" t="s">
        <v>57</v>
      </c>
      <c r="K1530">
        <v>7.1</v>
      </c>
      <c r="L1530">
        <v>4460414</v>
      </c>
      <c r="M1530">
        <v>4288093</v>
      </c>
      <c r="N1530">
        <v>87</v>
      </c>
      <c r="O1530" t="s">
        <v>24</v>
      </c>
      <c r="P1530" t="s">
        <v>50</v>
      </c>
    </row>
    <row r="1531" spans="1:16" x14ac:dyDescent="0.35">
      <c r="A1531" t="s">
        <v>3206</v>
      </c>
      <c r="B1531" t="s">
        <v>3207</v>
      </c>
      <c r="C1531" t="s">
        <v>53</v>
      </c>
      <c r="E1531" t="s">
        <v>69</v>
      </c>
      <c r="F1531" s="1">
        <v>42829</v>
      </c>
      <c r="G1531">
        <v>2023</v>
      </c>
      <c r="H1531" t="s">
        <v>85</v>
      </c>
      <c r="I1531" t="s">
        <v>136</v>
      </c>
      <c r="J1531" t="s">
        <v>57</v>
      </c>
      <c r="K1531">
        <v>5.0999999999999996</v>
      </c>
      <c r="L1531">
        <v>4507590</v>
      </c>
      <c r="M1531">
        <v>1842816</v>
      </c>
      <c r="N1531">
        <v>82</v>
      </c>
      <c r="O1531" t="s">
        <v>58</v>
      </c>
      <c r="P1531" t="s">
        <v>32</v>
      </c>
    </row>
    <row r="1532" spans="1:16" x14ac:dyDescent="0.35">
      <c r="A1532" t="s">
        <v>3208</v>
      </c>
      <c r="B1532" t="s">
        <v>3209</v>
      </c>
      <c r="D1532" t="s">
        <v>90</v>
      </c>
      <c r="E1532" t="s">
        <v>45</v>
      </c>
      <c r="F1532" s="1">
        <v>42012</v>
      </c>
      <c r="G1532">
        <v>2005</v>
      </c>
      <c r="H1532" t="s">
        <v>107</v>
      </c>
      <c r="I1532" t="s">
        <v>39</v>
      </c>
      <c r="J1532" t="s">
        <v>100</v>
      </c>
      <c r="K1532">
        <v>5.4</v>
      </c>
      <c r="L1532">
        <v>13622289</v>
      </c>
      <c r="M1532">
        <v>170900</v>
      </c>
      <c r="N1532">
        <v>120</v>
      </c>
      <c r="O1532" t="s">
        <v>91</v>
      </c>
      <c r="P1532" t="s">
        <v>42</v>
      </c>
    </row>
    <row r="1533" spans="1:16" x14ac:dyDescent="0.35">
      <c r="A1533" t="s">
        <v>3210</v>
      </c>
      <c r="B1533" t="s">
        <v>3211</v>
      </c>
      <c r="C1533" t="s">
        <v>84</v>
      </c>
      <c r="D1533" t="s">
        <v>75</v>
      </c>
      <c r="E1533" t="s">
        <v>20</v>
      </c>
      <c r="F1533" s="1">
        <v>45630</v>
      </c>
      <c r="G1533">
        <v>2019</v>
      </c>
      <c r="H1533" t="s">
        <v>63</v>
      </c>
      <c r="I1533" t="s">
        <v>472</v>
      </c>
      <c r="J1533" t="s">
        <v>133</v>
      </c>
      <c r="K1533">
        <v>6</v>
      </c>
      <c r="L1533">
        <v>1967109</v>
      </c>
      <c r="M1533">
        <v>4334443</v>
      </c>
      <c r="N1533">
        <v>89</v>
      </c>
      <c r="O1533" t="s">
        <v>91</v>
      </c>
      <c r="P1533" t="s">
        <v>50</v>
      </c>
    </row>
    <row r="1534" spans="1:16" x14ac:dyDescent="0.35">
      <c r="A1534" t="s">
        <v>3212</v>
      </c>
      <c r="B1534" t="s">
        <v>3213</v>
      </c>
      <c r="C1534" t="s">
        <v>53</v>
      </c>
      <c r="D1534" t="s">
        <v>54</v>
      </c>
      <c r="E1534" t="s">
        <v>165</v>
      </c>
      <c r="F1534" s="1">
        <v>44292</v>
      </c>
      <c r="G1534">
        <v>2020</v>
      </c>
      <c r="H1534" t="s">
        <v>46</v>
      </c>
      <c r="I1534" t="s">
        <v>118</v>
      </c>
      <c r="J1534" t="s">
        <v>76</v>
      </c>
      <c r="K1534">
        <v>6.4</v>
      </c>
      <c r="L1534">
        <v>16766479</v>
      </c>
      <c r="M1534">
        <v>4487339</v>
      </c>
      <c r="N1534">
        <v>41</v>
      </c>
      <c r="O1534" t="s">
        <v>104</v>
      </c>
      <c r="P1534" t="s">
        <v>42</v>
      </c>
    </row>
    <row r="1535" spans="1:16" x14ac:dyDescent="0.35">
      <c r="A1535" t="s">
        <v>3214</v>
      </c>
      <c r="B1535" t="s">
        <v>3215</v>
      </c>
      <c r="C1535" t="s">
        <v>84</v>
      </c>
      <c r="D1535" t="s">
        <v>90</v>
      </c>
      <c r="E1535" t="s">
        <v>62</v>
      </c>
      <c r="F1535" s="1">
        <v>45839</v>
      </c>
      <c r="G1535">
        <v>2016</v>
      </c>
      <c r="I1535" t="s">
        <v>22</v>
      </c>
      <c r="J1535" t="s">
        <v>96</v>
      </c>
      <c r="K1535">
        <v>9.6999999999999993</v>
      </c>
      <c r="L1535">
        <v>1747471</v>
      </c>
      <c r="M1535">
        <v>4674331</v>
      </c>
      <c r="N1535">
        <v>86</v>
      </c>
      <c r="O1535" t="s">
        <v>58</v>
      </c>
      <c r="P1535" t="s">
        <v>42</v>
      </c>
    </row>
    <row r="1536" spans="1:16" x14ac:dyDescent="0.35">
      <c r="A1536" t="s">
        <v>3216</v>
      </c>
      <c r="B1536" t="s">
        <v>3217</v>
      </c>
      <c r="C1536" t="s">
        <v>84</v>
      </c>
      <c r="D1536" t="s">
        <v>90</v>
      </c>
      <c r="E1536" t="s">
        <v>28</v>
      </c>
      <c r="F1536" s="1">
        <v>44076</v>
      </c>
      <c r="G1536">
        <v>2032</v>
      </c>
      <c r="H1536" t="s">
        <v>121</v>
      </c>
      <c r="I1536" t="s">
        <v>386</v>
      </c>
      <c r="J1536" t="s">
        <v>48</v>
      </c>
      <c r="K1536">
        <v>7.4</v>
      </c>
      <c r="L1536">
        <v>15652008</v>
      </c>
      <c r="M1536">
        <v>4686946</v>
      </c>
      <c r="N1536">
        <v>94</v>
      </c>
      <c r="O1536" t="s">
        <v>65</v>
      </c>
      <c r="P1536" t="s">
        <v>87</v>
      </c>
    </row>
    <row r="1537" spans="1:16" x14ac:dyDescent="0.35">
      <c r="A1537" t="s">
        <v>3218</v>
      </c>
      <c r="B1537" t="s">
        <v>3219</v>
      </c>
      <c r="C1537" t="s">
        <v>35</v>
      </c>
      <c r="D1537" t="s">
        <v>156</v>
      </c>
      <c r="E1537" t="s">
        <v>99</v>
      </c>
      <c r="F1537" s="1">
        <v>43285</v>
      </c>
      <c r="G1537">
        <v>2008</v>
      </c>
      <c r="H1537" t="s">
        <v>121</v>
      </c>
      <c r="I1537" t="s">
        <v>136</v>
      </c>
      <c r="J1537" t="s">
        <v>40</v>
      </c>
      <c r="K1537">
        <v>5.4</v>
      </c>
      <c r="L1537">
        <v>4007445</v>
      </c>
      <c r="M1537">
        <v>1552485</v>
      </c>
      <c r="N1537">
        <v>44</v>
      </c>
      <c r="O1537" t="s">
        <v>41</v>
      </c>
      <c r="P1537" t="s">
        <v>87</v>
      </c>
    </row>
    <row r="1538" spans="1:16" x14ac:dyDescent="0.35">
      <c r="A1538" t="s">
        <v>3220</v>
      </c>
      <c r="B1538" t="s">
        <v>3221</v>
      </c>
      <c r="C1538" t="s">
        <v>79</v>
      </c>
      <c r="E1538" t="s">
        <v>69</v>
      </c>
      <c r="F1538" s="1">
        <v>43817</v>
      </c>
      <c r="G1538">
        <v>2018</v>
      </c>
      <c r="H1538" t="s">
        <v>21</v>
      </c>
      <c r="I1538" t="s">
        <v>441</v>
      </c>
      <c r="J1538" t="s">
        <v>30</v>
      </c>
      <c r="K1538">
        <v>7.7</v>
      </c>
      <c r="L1538">
        <v>6862772</v>
      </c>
      <c r="M1538">
        <v>2945450</v>
      </c>
      <c r="N1538">
        <v>86</v>
      </c>
      <c r="O1538" t="s">
        <v>123</v>
      </c>
      <c r="P1538" t="s">
        <v>50</v>
      </c>
    </row>
    <row r="1539" spans="1:16" x14ac:dyDescent="0.35">
      <c r="A1539" t="s">
        <v>3222</v>
      </c>
      <c r="B1539" t="s">
        <v>3223</v>
      </c>
      <c r="C1539" t="s">
        <v>53</v>
      </c>
      <c r="D1539" t="s">
        <v>90</v>
      </c>
      <c r="E1539" t="s">
        <v>99</v>
      </c>
      <c r="F1539" s="1">
        <v>42115</v>
      </c>
      <c r="G1539">
        <v>2008</v>
      </c>
      <c r="H1539" t="s">
        <v>63</v>
      </c>
      <c r="I1539" t="s">
        <v>162</v>
      </c>
      <c r="J1539" t="s">
        <v>57</v>
      </c>
      <c r="K1539">
        <v>5.7</v>
      </c>
      <c r="L1539">
        <v>18339176</v>
      </c>
      <c r="M1539">
        <v>4041616</v>
      </c>
      <c r="N1539">
        <v>86</v>
      </c>
      <c r="O1539" t="s">
        <v>31</v>
      </c>
      <c r="P1539" t="s">
        <v>32</v>
      </c>
    </row>
    <row r="1540" spans="1:16" x14ac:dyDescent="0.35">
      <c r="A1540" t="s">
        <v>3224</v>
      </c>
      <c r="B1540" t="s">
        <v>3225</v>
      </c>
      <c r="C1540" t="s">
        <v>35</v>
      </c>
      <c r="D1540" t="s">
        <v>90</v>
      </c>
      <c r="E1540" t="s">
        <v>131</v>
      </c>
      <c r="F1540" s="1">
        <v>42169</v>
      </c>
      <c r="G1540">
        <v>2013</v>
      </c>
      <c r="H1540" t="s">
        <v>107</v>
      </c>
      <c r="I1540" t="s">
        <v>71</v>
      </c>
      <c r="J1540" t="s">
        <v>100</v>
      </c>
      <c r="K1540">
        <v>8.1999999999999993</v>
      </c>
      <c r="L1540">
        <v>7054279</v>
      </c>
      <c r="M1540">
        <v>2747427</v>
      </c>
      <c r="N1540">
        <v>70</v>
      </c>
      <c r="O1540" t="s">
        <v>123</v>
      </c>
      <c r="P1540" t="s">
        <v>87</v>
      </c>
    </row>
    <row r="1541" spans="1:16" x14ac:dyDescent="0.35">
      <c r="A1541" t="s">
        <v>3226</v>
      </c>
      <c r="B1541" t="s">
        <v>3227</v>
      </c>
      <c r="C1541" t="s">
        <v>53</v>
      </c>
      <c r="D1541" t="s">
        <v>54</v>
      </c>
      <c r="E1541" t="s">
        <v>37</v>
      </c>
      <c r="F1541" s="1">
        <v>44348</v>
      </c>
      <c r="G1541">
        <v>2006</v>
      </c>
      <c r="H1541" t="s">
        <v>85</v>
      </c>
      <c r="I1541" t="s">
        <v>95</v>
      </c>
      <c r="J1541" t="s">
        <v>30</v>
      </c>
      <c r="K1541">
        <v>9.6</v>
      </c>
      <c r="L1541">
        <v>19950198</v>
      </c>
      <c r="M1541">
        <v>3537763</v>
      </c>
      <c r="N1541">
        <v>67</v>
      </c>
      <c r="O1541" t="s">
        <v>24</v>
      </c>
      <c r="P1541" t="s">
        <v>87</v>
      </c>
    </row>
    <row r="1542" spans="1:16" x14ac:dyDescent="0.35">
      <c r="A1542" t="s">
        <v>3228</v>
      </c>
      <c r="B1542" t="s">
        <v>3229</v>
      </c>
      <c r="C1542" t="s">
        <v>53</v>
      </c>
      <c r="D1542" t="s">
        <v>36</v>
      </c>
      <c r="E1542" t="s">
        <v>165</v>
      </c>
      <c r="F1542" s="1">
        <v>43839</v>
      </c>
      <c r="G1542">
        <v>2005</v>
      </c>
      <c r="H1542" t="s">
        <v>107</v>
      </c>
      <c r="I1542" t="s">
        <v>95</v>
      </c>
      <c r="J1542" t="s">
        <v>133</v>
      </c>
      <c r="K1542">
        <v>9.1999999999999993</v>
      </c>
      <c r="L1542">
        <v>10001083</v>
      </c>
      <c r="M1542">
        <v>1138952</v>
      </c>
      <c r="N1542">
        <v>95</v>
      </c>
      <c r="O1542" t="s">
        <v>91</v>
      </c>
      <c r="P1542" t="s">
        <v>32</v>
      </c>
    </row>
    <row r="1543" spans="1:16" x14ac:dyDescent="0.35">
      <c r="A1543" t="s">
        <v>3230</v>
      </c>
      <c r="B1543" t="s">
        <v>3231</v>
      </c>
      <c r="C1543" t="s">
        <v>53</v>
      </c>
      <c r="E1543" t="s">
        <v>62</v>
      </c>
      <c r="F1543" s="1">
        <v>45299</v>
      </c>
      <c r="G1543">
        <v>2013</v>
      </c>
      <c r="H1543" t="s">
        <v>107</v>
      </c>
      <c r="I1543" t="s">
        <v>162</v>
      </c>
      <c r="J1543" t="s">
        <v>57</v>
      </c>
      <c r="K1543">
        <v>8.3000000000000007</v>
      </c>
      <c r="L1543">
        <v>876288</v>
      </c>
      <c r="M1543">
        <v>459509</v>
      </c>
      <c r="N1543">
        <v>43</v>
      </c>
      <c r="O1543" t="s">
        <v>91</v>
      </c>
      <c r="P1543" t="s">
        <v>50</v>
      </c>
    </row>
    <row r="1544" spans="1:16" x14ac:dyDescent="0.35">
      <c r="A1544" t="s">
        <v>3232</v>
      </c>
      <c r="B1544" t="s">
        <v>3233</v>
      </c>
      <c r="D1544" t="s">
        <v>156</v>
      </c>
      <c r="E1544" t="s">
        <v>165</v>
      </c>
      <c r="F1544" s="1">
        <v>42511</v>
      </c>
      <c r="G1544">
        <v>2003</v>
      </c>
      <c r="H1544" t="s">
        <v>70</v>
      </c>
      <c r="I1544" t="s">
        <v>64</v>
      </c>
      <c r="J1544" t="s">
        <v>96</v>
      </c>
      <c r="K1544">
        <v>6.9</v>
      </c>
      <c r="L1544">
        <v>5894415</v>
      </c>
      <c r="M1544">
        <v>1672695</v>
      </c>
      <c r="N1544">
        <v>95</v>
      </c>
      <c r="O1544" t="s">
        <v>104</v>
      </c>
    </row>
    <row r="1545" spans="1:16" x14ac:dyDescent="0.35">
      <c r="A1545" t="s">
        <v>3234</v>
      </c>
      <c r="B1545" t="s">
        <v>3235</v>
      </c>
      <c r="C1545" t="s">
        <v>84</v>
      </c>
      <c r="D1545" t="s">
        <v>90</v>
      </c>
      <c r="E1545" t="s">
        <v>37</v>
      </c>
      <c r="F1545" s="1">
        <v>45896</v>
      </c>
      <c r="G1545">
        <v>2006</v>
      </c>
      <c r="H1545" t="s">
        <v>81</v>
      </c>
      <c r="I1545" t="s">
        <v>865</v>
      </c>
      <c r="K1545">
        <v>7.6</v>
      </c>
      <c r="L1545">
        <v>14851868</v>
      </c>
      <c r="M1545">
        <v>4342242</v>
      </c>
      <c r="N1545">
        <v>59</v>
      </c>
      <c r="O1545" t="s">
        <v>123</v>
      </c>
    </row>
    <row r="1546" spans="1:16" x14ac:dyDescent="0.35">
      <c r="A1546" t="s">
        <v>3236</v>
      </c>
      <c r="B1546" t="s">
        <v>3237</v>
      </c>
      <c r="C1546" t="s">
        <v>18</v>
      </c>
      <c r="D1546" t="s">
        <v>90</v>
      </c>
      <c r="E1546" t="s">
        <v>69</v>
      </c>
      <c r="F1546" s="1">
        <v>45625</v>
      </c>
      <c r="G1546">
        <v>2011</v>
      </c>
      <c r="H1546" t="s">
        <v>70</v>
      </c>
      <c r="J1546" t="s">
        <v>48</v>
      </c>
      <c r="K1546">
        <v>5.0999999999999996</v>
      </c>
      <c r="L1546">
        <v>15557954</v>
      </c>
      <c r="M1546">
        <v>2124061</v>
      </c>
      <c r="N1546">
        <v>98</v>
      </c>
      <c r="O1546" t="s">
        <v>41</v>
      </c>
      <c r="P1546" t="s">
        <v>32</v>
      </c>
    </row>
    <row r="1547" spans="1:16" x14ac:dyDescent="0.35">
      <c r="A1547" t="s">
        <v>3238</v>
      </c>
      <c r="B1547" t="s">
        <v>3237</v>
      </c>
      <c r="C1547" t="s">
        <v>84</v>
      </c>
      <c r="D1547" t="s">
        <v>90</v>
      </c>
      <c r="F1547" s="1">
        <v>45762</v>
      </c>
      <c r="G1547">
        <v>2020</v>
      </c>
      <c r="H1547" t="s">
        <v>114</v>
      </c>
      <c r="I1547" t="s">
        <v>275</v>
      </c>
      <c r="K1547">
        <v>7.4</v>
      </c>
      <c r="L1547">
        <v>18310751</v>
      </c>
      <c r="M1547">
        <v>2874098</v>
      </c>
      <c r="N1547">
        <v>44</v>
      </c>
      <c r="O1547" t="s">
        <v>123</v>
      </c>
      <c r="P1547" t="s">
        <v>42</v>
      </c>
    </row>
    <row r="1548" spans="1:16" x14ac:dyDescent="0.35">
      <c r="A1548" t="s">
        <v>3239</v>
      </c>
      <c r="B1548" t="s">
        <v>3240</v>
      </c>
      <c r="C1548" t="s">
        <v>84</v>
      </c>
      <c r="D1548" t="s">
        <v>19</v>
      </c>
      <c r="F1548" s="1">
        <v>43864</v>
      </c>
      <c r="G1548">
        <v>2026</v>
      </c>
      <c r="H1548" t="s">
        <v>38</v>
      </c>
      <c r="I1548" t="s">
        <v>187</v>
      </c>
      <c r="J1548" t="s">
        <v>100</v>
      </c>
      <c r="K1548">
        <v>6</v>
      </c>
      <c r="L1548">
        <v>5884526</v>
      </c>
      <c r="M1548">
        <v>572380</v>
      </c>
      <c r="N1548">
        <v>60</v>
      </c>
      <c r="O1548" t="s">
        <v>104</v>
      </c>
      <c r="P1548" t="s">
        <v>42</v>
      </c>
    </row>
    <row r="1549" spans="1:16" x14ac:dyDescent="0.35">
      <c r="A1549" t="s">
        <v>3241</v>
      </c>
      <c r="B1549" t="s">
        <v>3242</v>
      </c>
      <c r="D1549" t="s">
        <v>36</v>
      </c>
      <c r="E1549" t="s">
        <v>113</v>
      </c>
      <c r="F1549" s="1">
        <v>42535</v>
      </c>
      <c r="G1549">
        <v>2020</v>
      </c>
      <c r="H1549" t="s">
        <v>85</v>
      </c>
      <c r="I1549" t="s">
        <v>71</v>
      </c>
      <c r="J1549" t="s">
        <v>76</v>
      </c>
      <c r="K1549">
        <v>6.2</v>
      </c>
      <c r="L1549">
        <v>17783462</v>
      </c>
      <c r="M1549">
        <v>2190480</v>
      </c>
      <c r="N1549">
        <v>81</v>
      </c>
      <c r="O1549" t="s">
        <v>58</v>
      </c>
      <c r="P1549" t="s">
        <v>50</v>
      </c>
    </row>
    <row r="1550" spans="1:16" x14ac:dyDescent="0.35">
      <c r="A1550" t="s">
        <v>3243</v>
      </c>
      <c r="B1550" t="s">
        <v>3244</v>
      </c>
      <c r="C1550" t="s">
        <v>79</v>
      </c>
      <c r="D1550" t="s">
        <v>54</v>
      </c>
      <c r="E1550" t="s">
        <v>55</v>
      </c>
      <c r="F1550" s="1">
        <v>43108</v>
      </c>
      <c r="G1550">
        <v>2001</v>
      </c>
      <c r="H1550" t="s">
        <v>81</v>
      </c>
      <c r="I1550" t="s">
        <v>108</v>
      </c>
      <c r="J1550" t="s">
        <v>103</v>
      </c>
      <c r="K1550">
        <v>6.6</v>
      </c>
      <c r="L1550">
        <v>2893663</v>
      </c>
      <c r="M1550">
        <v>3369096</v>
      </c>
      <c r="N1550">
        <v>72</v>
      </c>
      <c r="O1550" t="s">
        <v>104</v>
      </c>
    </row>
    <row r="1551" spans="1:16" x14ac:dyDescent="0.35">
      <c r="A1551" t="s">
        <v>3245</v>
      </c>
      <c r="B1551" t="s">
        <v>3246</v>
      </c>
      <c r="C1551" t="s">
        <v>79</v>
      </c>
      <c r="D1551" t="s">
        <v>36</v>
      </c>
      <c r="E1551" t="s">
        <v>99</v>
      </c>
      <c r="F1551" s="1">
        <v>45675</v>
      </c>
      <c r="G1551">
        <v>2002</v>
      </c>
      <c r="H1551" t="s">
        <v>70</v>
      </c>
      <c r="I1551" t="s">
        <v>627</v>
      </c>
      <c r="J1551" t="s">
        <v>76</v>
      </c>
      <c r="K1551">
        <v>9.4</v>
      </c>
      <c r="L1551">
        <v>7519269</v>
      </c>
      <c r="M1551">
        <v>4741772</v>
      </c>
      <c r="N1551">
        <v>93</v>
      </c>
      <c r="O1551" t="s">
        <v>91</v>
      </c>
      <c r="P1551" t="s">
        <v>50</v>
      </c>
    </row>
    <row r="1552" spans="1:16" x14ac:dyDescent="0.35">
      <c r="A1552" t="s">
        <v>3247</v>
      </c>
      <c r="B1552" t="s">
        <v>3248</v>
      </c>
      <c r="C1552" t="s">
        <v>79</v>
      </c>
      <c r="D1552" t="s">
        <v>94</v>
      </c>
      <c r="E1552" t="s">
        <v>69</v>
      </c>
      <c r="F1552" s="1">
        <v>45414</v>
      </c>
      <c r="G1552">
        <v>2016</v>
      </c>
      <c r="H1552" t="s">
        <v>121</v>
      </c>
      <c r="I1552" t="s">
        <v>450</v>
      </c>
      <c r="J1552" t="s">
        <v>103</v>
      </c>
      <c r="K1552">
        <v>7.1</v>
      </c>
      <c r="L1552">
        <v>937838</v>
      </c>
      <c r="M1552">
        <v>420605</v>
      </c>
      <c r="N1552">
        <v>67</v>
      </c>
      <c r="O1552" t="s">
        <v>91</v>
      </c>
      <c r="P1552" t="s">
        <v>42</v>
      </c>
    </row>
    <row r="1553" spans="1:16" x14ac:dyDescent="0.35">
      <c r="A1553" t="s">
        <v>3249</v>
      </c>
      <c r="B1553" t="s">
        <v>3250</v>
      </c>
      <c r="C1553" t="s">
        <v>35</v>
      </c>
      <c r="D1553" t="s">
        <v>27</v>
      </c>
      <c r="E1553" t="s">
        <v>113</v>
      </c>
      <c r="F1553" s="1">
        <v>45482</v>
      </c>
      <c r="G1553">
        <v>2020</v>
      </c>
      <c r="H1553" t="s">
        <v>121</v>
      </c>
      <c r="I1553" t="s">
        <v>118</v>
      </c>
      <c r="J1553" t="s">
        <v>96</v>
      </c>
      <c r="K1553">
        <v>8.4</v>
      </c>
      <c r="L1553">
        <v>6019782</v>
      </c>
      <c r="M1553">
        <v>2945333</v>
      </c>
      <c r="N1553">
        <v>66</v>
      </c>
      <c r="O1553" t="s">
        <v>41</v>
      </c>
    </row>
    <row r="1554" spans="1:16" x14ac:dyDescent="0.35">
      <c r="A1554" t="s">
        <v>3251</v>
      </c>
      <c r="B1554" t="s">
        <v>3252</v>
      </c>
      <c r="C1554" t="s">
        <v>79</v>
      </c>
      <c r="D1554" t="s">
        <v>94</v>
      </c>
      <c r="E1554" t="s">
        <v>62</v>
      </c>
      <c r="F1554" s="1">
        <v>43507</v>
      </c>
      <c r="G1554">
        <v>2001</v>
      </c>
      <c r="H1554" t="s">
        <v>114</v>
      </c>
      <c r="I1554" t="s">
        <v>339</v>
      </c>
      <c r="J1554" t="s">
        <v>48</v>
      </c>
      <c r="K1554">
        <v>7</v>
      </c>
      <c r="L1554">
        <v>6683349</v>
      </c>
      <c r="M1554">
        <v>4721356</v>
      </c>
      <c r="N1554">
        <v>49</v>
      </c>
      <c r="O1554" t="s">
        <v>24</v>
      </c>
      <c r="P1554" t="s">
        <v>87</v>
      </c>
    </row>
    <row r="1555" spans="1:16" x14ac:dyDescent="0.35">
      <c r="A1555" t="s">
        <v>3253</v>
      </c>
      <c r="B1555" t="s">
        <v>3254</v>
      </c>
      <c r="C1555" t="s">
        <v>79</v>
      </c>
      <c r="D1555" t="s">
        <v>75</v>
      </c>
      <c r="E1555" t="s">
        <v>69</v>
      </c>
      <c r="F1555" s="1">
        <v>46022</v>
      </c>
      <c r="G1555">
        <v>2011</v>
      </c>
      <c r="H1555" t="s">
        <v>38</v>
      </c>
      <c r="I1555" t="s">
        <v>1225</v>
      </c>
      <c r="J1555" t="s">
        <v>153</v>
      </c>
      <c r="K1555">
        <v>4.5999999999999996</v>
      </c>
      <c r="L1555">
        <v>20426341</v>
      </c>
      <c r="M1555">
        <v>3148474</v>
      </c>
      <c r="N1555">
        <v>86</v>
      </c>
      <c r="O1555" t="s">
        <v>65</v>
      </c>
      <c r="P1555" t="s">
        <v>50</v>
      </c>
    </row>
    <row r="1556" spans="1:16" x14ac:dyDescent="0.35">
      <c r="A1556" t="s">
        <v>3255</v>
      </c>
      <c r="B1556" t="s">
        <v>3256</v>
      </c>
      <c r="D1556" t="s">
        <v>90</v>
      </c>
      <c r="E1556" t="s">
        <v>28</v>
      </c>
      <c r="F1556" s="1">
        <v>42697</v>
      </c>
      <c r="G1556">
        <v>2025</v>
      </c>
      <c r="H1556" t="s">
        <v>21</v>
      </c>
      <c r="I1556" t="s">
        <v>71</v>
      </c>
      <c r="J1556" t="s">
        <v>30</v>
      </c>
      <c r="K1556">
        <v>8.1999999999999993</v>
      </c>
      <c r="L1556">
        <v>17368086</v>
      </c>
      <c r="M1556">
        <v>2958708</v>
      </c>
      <c r="N1556">
        <v>94</v>
      </c>
      <c r="O1556" t="s">
        <v>24</v>
      </c>
      <c r="P1556" t="s">
        <v>50</v>
      </c>
    </row>
    <row r="1557" spans="1:16" x14ac:dyDescent="0.35">
      <c r="A1557" t="s">
        <v>3257</v>
      </c>
      <c r="B1557" t="s">
        <v>3258</v>
      </c>
      <c r="D1557" t="s">
        <v>36</v>
      </c>
      <c r="E1557" t="s">
        <v>45</v>
      </c>
      <c r="F1557" s="1">
        <v>43946</v>
      </c>
      <c r="G1557">
        <v>2016</v>
      </c>
      <c r="H1557" t="s">
        <v>46</v>
      </c>
      <c r="I1557" t="s">
        <v>64</v>
      </c>
      <c r="J1557" t="s">
        <v>30</v>
      </c>
      <c r="K1557">
        <v>7.6</v>
      </c>
      <c r="L1557">
        <v>10724949</v>
      </c>
      <c r="M1557">
        <v>1452520</v>
      </c>
      <c r="N1557">
        <v>73</v>
      </c>
      <c r="O1557" t="s">
        <v>24</v>
      </c>
      <c r="P1557" t="s">
        <v>87</v>
      </c>
    </row>
    <row r="1558" spans="1:16" x14ac:dyDescent="0.35">
      <c r="A1558" t="s">
        <v>3259</v>
      </c>
      <c r="B1558" t="s">
        <v>3260</v>
      </c>
      <c r="C1558" t="s">
        <v>18</v>
      </c>
      <c r="D1558" t="s">
        <v>90</v>
      </c>
      <c r="E1558" t="s">
        <v>20</v>
      </c>
      <c r="F1558" s="1">
        <v>45817</v>
      </c>
      <c r="G1558">
        <v>2009</v>
      </c>
      <c r="H1558" t="s">
        <v>81</v>
      </c>
      <c r="I1558" t="s">
        <v>184</v>
      </c>
      <c r="K1558">
        <v>8.6999999999999993</v>
      </c>
      <c r="L1558">
        <v>15464636</v>
      </c>
      <c r="M1558">
        <v>1393157</v>
      </c>
      <c r="N1558">
        <v>85</v>
      </c>
      <c r="O1558" t="s">
        <v>104</v>
      </c>
      <c r="P1558" t="s">
        <v>42</v>
      </c>
    </row>
    <row r="1559" spans="1:16" x14ac:dyDescent="0.35">
      <c r="A1559" t="s">
        <v>3261</v>
      </c>
      <c r="B1559" t="s">
        <v>3262</v>
      </c>
      <c r="C1559" t="s">
        <v>84</v>
      </c>
      <c r="D1559" t="s">
        <v>75</v>
      </c>
      <c r="E1559" t="s">
        <v>20</v>
      </c>
      <c r="G1559">
        <v>2024</v>
      </c>
      <c r="H1559" t="s">
        <v>70</v>
      </c>
      <c r="I1559" t="s">
        <v>2212</v>
      </c>
      <c r="J1559" t="s">
        <v>76</v>
      </c>
      <c r="K1559">
        <v>5.0999999999999996</v>
      </c>
      <c r="L1559">
        <v>14679180</v>
      </c>
      <c r="M1559">
        <v>940451</v>
      </c>
      <c r="N1559">
        <v>99</v>
      </c>
      <c r="O1559" t="s">
        <v>41</v>
      </c>
      <c r="P1559" t="s">
        <v>32</v>
      </c>
    </row>
    <row r="1560" spans="1:16" x14ac:dyDescent="0.35">
      <c r="A1560" t="s">
        <v>3263</v>
      </c>
      <c r="B1560" t="s">
        <v>3264</v>
      </c>
      <c r="C1560" t="s">
        <v>53</v>
      </c>
      <c r="D1560" t="s">
        <v>61</v>
      </c>
      <c r="E1560" t="s">
        <v>28</v>
      </c>
      <c r="F1560" s="1">
        <v>42753</v>
      </c>
      <c r="G1560">
        <v>2009</v>
      </c>
      <c r="H1560" t="s">
        <v>38</v>
      </c>
      <c r="I1560" t="s">
        <v>71</v>
      </c>
      <c r="J1560" t="s">
        <v>96</v>
      </c>
      <c r="K1560">
        <v>11.2</v>
      </c>
      <c r="L1560">
        <v>3278876</v>
      </c>
      <c r="M1560">
        <v>4709380</v>
      </c>
      <c r="N1560">
        <v>93</v>
      </c>
      <c r="O1560" t="s">
        <v>31</v>
      </c>
      <c r="P1560" t="s">
        <v>42</v>
      </c>
    </row>
    <row r="1561" spans="1:16" x14ac:dyDescent="0.35">
      <c r="A1561" t="s">
        <v>3265</v>
      </c>
      <c r="B1561" t="s">
        <v>3266</v>
      </c>
      <c r="C1561" t="s">
        <v>79</v>
      </c>
      <c r="D1561" t="s">
        <v>36</v>
      </c>
      <c r="E1561" t="s">
        <v>55</v>
      </c>
      <c r="F1561" s="1">
        <v>44150</v>
      </c>
      <c r="G1561">
        <v>2021</v>
      </c>
      <c r="I1561" t="s">
        <v>47</v>
      </c>
      <c r="J1561" t="s">
        <v>76</v>
      </c>
      <c r="K1561">
        <v>8.3000000000000007</v>
      </c>
      <c r="L1561">
        <v>19086484</v>
      </c>
      <c r="M1561">
        <v>4494125</v>
      </c>
      <c r="N1561">
        <v>91</v>
      </c>
      <c r="O1561" t="s">
        <v>123</v>
      </c>
    </row>
    <row r="1562" spans="1:16" x14ac:dyDescent="0.35">
      <c r="A1562" t="s">
        <v>3267</v>
      </c>
      <c r="B1562" t="s">
        <v>3268</v>
      </c>
      <c r="C1562" t="s">
        <v>84</v>
      </c>
      <c r="E1562" t="s">
        <v>37</v>
      </c>
      <c r="F1562" s="1">
        <v>44651</v>
      </c>
      <c r="G1562">
        <v>2015</v>
      </c>
      <c r="H1562" t="s">
        <v>46</v>
      </c>
      <c r="I1562" t="s">
        <v>441</v>
      </c>
      <c r="K1562">
        <v>6</v>
      </c>
      <c r="L1562">
        <v>18740698</v>
      </c>
      <c r="M1562">
        <v>3345192</v>
      </c>
      <c r="N1562">
        <v>70</v>
      </c>
      <c r="O1562" t="s">
        <v>58</v>
      </c>
      <c r="P1562" t="s">
        <v>50</v>
      </c>
    </row>
    <row r="1563" spans="1:16" x14ac:dyDescent="0.35">
      <c r="A1563" t="s">
        <v>3269</v>
      </c>
      <c r="B1563" t="s">
        <v>3270</v>
      </c>
      <c r="C1563" t="s">
        <v>35</v>
      </c>
      <c r="D1563" t="s">
        <v>19</v>
      </c>
      <c r="E1563" t="s">
        <v>45</v>
      </c>
      <c r="F1563" s="1">
        <v>43630</v>
      </c>
      <c r="G1563">
        <v>2005</v>
      </c>
      <c r="H1563" t="s">
        <v>81</v>
      </c>
      <c r="I1563" t="s">
        <v>56</v>
      </c>
      <c r="J1563" t="s">
        <v>133</v>
      </c>
      <c r="K1563">
        <v>8.9</v>
      </c>
      <c r="L1563">
        <v>13937804</v>
      </c>
      <c r="M1563">
        <v>2990018</v>
      </c>
      <c r="N1563">
        <v>72</v>
      </c>
      <c r="O1563" t="s">
        <v>58</v>
      </c>
      <c r="P1563" t="s">
        <v>87</v>
      </c>
    </row>
    <row r="1564" spans="1:16" x14ac:dyDescent="0.35">
      <c r="A1564" t="s">
        <v>3271</v>
      </c>
      <c r="B1564" t="s">
        <v>3272</v>
      </c>
      <c r="C1564" t="s">
        <v>79</v>
      </c>
      <c r="D1564" t="s">
        <v>19</v>
      </c>
      <c r="E1564" t="s">
        <v>45</v>
      </c>
      <c r="F1564" s="1">
        <v>44808</v>
      </c>
      <c r="G1564">
        <v>2016</v>
      </c>
      <c r="H1564" t="s">
        <v>121</v>
      </c>
      <c r="I1564" t="s">
        <v>315</v>
      </c>
      <c r="J1564" t="s">
        <v>72</v>
      </c>
      <c r="K1564">
        <v>6.7</v>
      </c>
      <c r="L1564">
        <v>4788478</v>
      </c>
      <c r="M1564">
        <v>4475336</v>
      </c>
      <c r="N1564">
        <v>58</v>
      </c>
      <c r="O1564" t="s">
        <v>91</v>
      </c>
      <c r="P1564" t="s">
        <v>42</v>
      </c>
    </row>
    <row r="1565" spans="1:16" x14ac:dyDescent="0.35">
      <c r="A1565" t="s">
        <v>3273</v>
      </c>
      <c r="B1565" t="s">
        <v>3274</v>
      </c>
      <c r="D1565" t="s">
        <v>36</v>
      </c>
      <c r="F1565" s="1">
        <v>42731</v>
      </c>
      <c r="G1565">
        <v>2014</v>
      </c>
      <c r="H1565" t="s">
        <v>114</v>
      </c>
      <c r="I1565" t="s">
        <v>162</v>
      </c>
      <c r="J1565" t="s">
        <v>30</v>
      </c>
      <c r="K1565">
        <v>9.1999999999999993</v>
      </c>
      <c r="L1565">
        <v>12125706</v>
      </c>
      <c r="M1565">
        <v>4363530</v>
      </c>
      <c r="N1565">
        <v>62</v>
      </c>
      <c r="P1565" t="s">
        <v>42</v>
      </c>
    </row>
    <row r="1566" spans="1:16" x14ac:dyDescent="0.35">
      <c r="A1566" t="s">
        <v>3275</v>
      </c>
      <c r="B1566" t="s">
        <v>3276</v>
      </c>
      <c r="C1566" t="s">
        <v>84</v>
      </c>
      <c r="D1566" t="s">
        <v>19</v>
      </c>
      <c r="F1566" s="1">
        <v>45624</v>
      </c>
      <c r="G1566">
        <v>2015</v>
      </c>
      <c r="H1566" t="s">
        <v>70</v>
      </c>
      <c r="I1566" t="s">
        <v>717</v>
      </c>
      <c r="J1566" t="s">
        <v>76</v>
      </c>
      <c r="K1566">
        <v>8.1999999999999993</v>
      </c>
      <c r="L1566">
        <v>20122719</v>
      </c>
      <c r="M1566">
        <v>1493228</v>
      </c>
      <c r="N1566">
        <v>75</v>
      </c>
      <c r="O1566" t="s">
        <v>31</v>
      </c>
      <c r="P1566" t="s">
        <v>32</v>
      </c>
    </row>
    <row r="1567" spans="1:16" x14ac:dyDescent="0.35">
      <c r="A1567" t="s">
        <v>3277</v>
      </c>
      <c r="B1567" t="s">
        <v>3278</v>
      </c>
      <c r="C1567" t="s">
        <v>79</v>
      </c>
      <c r="E1567" t="s">
        <v>99</v>
      </c>
      <c r="F1567" s="1">
        <v>42123</v>
      </c>
      <c r="G1567">
        <v>2025</v>
      </c>
      <c r="H1567" t="s">
        <v>81</v>
      </c>
      <c r="I1567" t="s">
        <v>259</v>
      </c>
      <c r="J1567" t="s">
        <v>103</v>
      </c>
      <c r="K1567">
        <v>4.5999999999999996</v>
      </c>
      <c r="L1567">
        <v>5187677</v>
      </c>
      <c r="M1567">
        <v>3919596</v>
      </c>
      <c r="N1567">
        <v>66</v>
      </c>
      <c r="O1567" t="s">
        <v>104</v>
      </c>
      <c r="P1567" t="s">
        <v>32</v>
      </c>
    </row>
    <row r="1568" spans="1:16" x14ac:dyDescent="0.35">
      <c r="A1568" t="s">
        <v>3279</v>
      </c>
      <c r="B1568" t="s">
        <v>3280</v>
      </c>
      <c r="C1568" t="s">
        <v>18</v>
      </c>
      <c r="E1568" t="s">
        <v>45</v>
      </c>
      <c r="F1568" s="1">
        <v>44022</v>
      </c>
      <c r="G1568">
        <v>2026</v>
      </c>
      <c r="H1568" t="s">
        <v>38</v>
      </c>
      <c r="I1568" t="s">
        <v>323</v>
      </c>
      <c r="J1568" t="s">
        <v>72</v>
      </c>
      <c r="K1568">
        <v>4.7</v>
      </c>
      <c r="L1568">
        <v>8380193</v>
      </c>
      <c r="M1568">
        <v>1458303</v>
      </c>
      <c r="N1568">
        <v>89</v>
      </c>
      <c r="O1568" t="s">
        <v>123</v>
      </c>
      <c r="P1568" t="s">
        <v>32</v>
      </c>
    </row>
    <row r="1569" spans="1:16" x14ac:dyDescent="0.35">
      <c r="A1569" t="s">
        <v>3281</v>
      </c>
      <c r="B1569" t="s">
        <v>3282</v>
      </c>
      <c r="C1569" t="s">
        <v>18</v>
      </c>
      <c r="D1569" t="s">
        <v>68</v>
      </c>
      <c r="E1569" t="s">
        <v>20</v>
      </c>
      <c r="F1569" s="1">
        <v>44927</v>
      </c>
      <c r="G1569">
        <v>2017</v>
      </c>
      <c r="H1569" t="s">
        <v>121</v>
      </c>
      <c r="I1569" t="s">
        <v>817</v>
      </c>
      <c r="J1569" t="s">
        <v>153</v>
      </c>
      <c r="K1569">
        <v>6.5</v>
      </c>
      <c r="L1569">
        <v>12626656</v>
      </c>
      <c r="M1569">
        <v>154325</v>
      </c>
      <c r="N1569">
        <v>82</v>
      </c>
      <c r="O1569" t="s">
        <v>24</v>
      </c>
      <c r="P1569" t="s">
        <v>32</v>
      </c>
    </row>
    <row r="1570" spans="1:16" x14ac:dyDescent="0.35">
      <c r="A1570" t="s">
        <v>3283</v>
      </c>
      <c r="B1570" t="s">
        <v>3284</v>
      </c>
      <c r="C1570" t="s">
        <v>53</v>
      </c>
      <c r="D1570" t="s">
        <v>36</v>
      </c>
      <c r="E1570" t="s">
        <v>113</v>
      </c>
      <c r="F1570" s="1">
        <v>43875</v>
      </c>
      <c r="G1570">
        <v>2009</v>
      </c>
      <c r="H1570" t="s">
        <v>38</v>
      </c>
      <c r="I1570" t="s">
        <v>162</v>
      </c>
      <c r="J1570" t="s">
        <v>76</v>
      </c>
      <c r="K1570">
        <v>7</v>
      </c>
      <c r="L1570">
        <v>1631019</v>
      </c>
      <c r="M1570">
        <v>3038759</v>
      </c>
      <c r="N1570">
        <v>40</v>
      </c>
      <c r="O1570" t="s">
        <v>65</v>
      </c>
      <c r="P1570" t="s">
        <v>50</v>
      </c>
    </row>
    <row r="1571" spans="1:16" x14ac:dyDescent="0.35">
      <c r="A1571" t="s">
        <v>3285</v>
      </c>
      <c r="B1571" t="s">
        <v>3286</v>
      </c>
      <c r="C1571" t="s">
        <v>53</v>
      </c>
      <c r="E1571" t="s">
        <v>131</v>
      </c>
      <c r="F1571" s="1">
        <v>44258</v>
      </c>
      <c r="G1571">
        <v>2008</v>
      </c>
      <c r="H1571" t="s">
        <v>85</v>
      </c>
      <c r="I1571" t="s">
        <v>118</v>
      </c>
      <c r="J1571" t="s">
        <v>133</v>
      </c>
      <c r="K1571">
        <v>8.1999999999999993</v>
      </c>
      <c r="L1571">
        <v>19141907</v>
      </c>
      <c r="M1571">
        <v>1275257</v>
      </c>
      <c r="N1571">
        <v>57</v>
      </c>
      <c r="O1571" t="s">
        <v>24</v>
      </c>
      <c r="P1571" t="s">
        <v>42</v>
      </c>
    </row>
    <row r="1572" spans="1:16" x14ac:dyDescent="0.35">
      <c r="A1572" t="s">
        <v>3287</v>
      </c>
      <c r="B1572" t="s">
        <v>3288</v>
      </c>
      <c r="D1572" t="s">
        <v>94</v>
      </c>
      <c r="E1572" t="s">
        <v>80</v>
      </c>
      <c r="F1572" s="1">
        <v>43585</v>
      </c>
      <c r="G1572">
        <v>2006</v>
      </c>
      <c r="H1572" t="s">
        <v>107</v>
      </c>
      <c r="I1572" t="s">
        <v>95</v>
      </c>
      <c r="K1572">
        <v>6.5</v>
      </c>
      <c r="L1572">
        <v>3162270</v>
      </c>
      <c r="M1572">
        <v>3650622</v>
      </c>
      <c r="N1572">
        <v>54</v>
      </c>
      <c r="P1572" t="s">
        <v>50</v>
      </c>
    </row>
    <row r="1573" spans="1:16" x14ac:dyDescent="0.35">
      <c r="A1573" t="s">
        <v>3289</v>
      </c>
      <c r="B1573" t="s">
        <v>3290</v>
      </c>
      <c r="C1573" t="s">
        <v>35</v>
      </c>
      <c r="D1573" t="s">
        <v>27</v>
      </c>
      <c r="E1573" t="s">
        <v>37</v>
      </c>
      <c r="F1573" s="1">
        <v>45152</v>
      </c>
      <c r="G1573">
        <v>2003</v>
      </c>
      <c r="H1573" t="s">
        <v>114</v>
      </c>
      <c r="I1573" t="s">
        <v>136</v>
      </c>
      <c r="J1573" t="s">
        <v>23</v>
      </c>
      <c r="K1573">
        <v>7.6</v>
      </c>
      <c r="L1573">
        <v>10642906</v>
      </c>
      <c r="M1573">
        <v>2610510</v>
      </c>
      <c r="N1573">
        <v>45</v>
      </c>
      <c r="O1573" t="s">
        <v>31</v>
      </c>
      <c r="P1573" t="s">
        <v>42</v>
      </c>
    </row>
    <row r="1574" spans="1:16" x14ac:dyDescent="0.35">
      <c r="A1574" t="s">
        <v>3291</v>
      </c>
      <c r="B1574" t="s">
        <v>3292</v>
      </c>
      <c r="C1574" t="s">
        <v>18</v>
      </c>
      <c r="E1574" t="s">
        <v>99</v>
      </c>
      <c r="F1574" s="1">
        <v>43930</v>
      </c>
      <c r="G1574">
        <v>2013</v>
      </c>
      <c r="H1574" t="s">
        <v>70</v>
      </c>
      <c r="I1574" t="s">
        <v>436</v>
      </c>
      <c r="J1574" t="s">
        <v>57</v>
      </c>
      <c r="K1574">
        <v>7.3</v>
      </c>
      <c r="L1574">
        <v>12824046</v>
      </c>
      <c r="M1574">
        <v>4594036</v>
      </c>
      <c r="N1574">
        <v>48</v>
      </c>
      <c r="O1574" t="s">
        <v>123</v>
      </c>
      <c r="P1574" t="s">
        <v>87</v>
      </c>
    </row>
    <row r="1575" spans="1:16" x14ac:dyDescent="0.35">
      <c r="A1575" t="s">
        <v>3293</v>
      </c>
      <c r="B1575" t="s">
        <v>3294</v>
      </c>
      <c r="C1575" t="s">
        <v>79</v>
      </c>
      <c r="D1575" t="s">
        <v>68</v>
      </c>
      <c r="E1575" t="s">
        <v>62</v>
      </c>
      <c r="F1575" s="1">
        <v>44990</v>
      </c>
      <c r="G1575">
        <v>2020</v>
      </c>
      <c r="H1575" t="s">
        <v>121</v>
      </c>
      <c r="I1575" t="s">
        <v>386</v>
      </c>
      <c r="J1575" t="s">
        <v>100</v>
      </c>
      <c r="K1575">
        <v>8.6</v>
      </c>
      <c r="L1575">
        <v>9536793</v>
      </c>
      <c r="M1575">
        <v>1505218</v>
      </c>
      <c r="N1575">
        <v>50</v>
      </c>
      <c r="O1575" t="s">
        <v>123</v>
      </c>
      <c r="P1575" t="s">
        <v>50</v>
      </c>
    </row>
    <row r="1576" spans="1:16" x14ac:dyDescent="0.35">
      <c r="A1576" t="s">
        <v>3295</v>
      </c>
      <c r="B1576" t="s">
        <v>3296</v>
      </c>
      <c r="C1576" t="s">
        <v>53</v>
      </c>
      <c r="D1576" t="s">
        <v>36</v>
      </c>
      <c r="E1576" t="s">
        <v>62</v>
      </c>
      <c r="F1576" s="1">
        <v>42530</v>
      </c>
      <c r="G1576">
        <v>2015</v>
      </c>
      <c r="H1576" t="s">
        <v>114</v>
      </c>
      <c r="I1576" t="s">
        <v>136</v>
      </c>
      <c r="J1576" t="s">
        <v>153</v>
      </c>
      <c r="K1576">
        <v>7.7</v>
      </c>
      <c r="L1576">
        <v>13325392</v>
      </c>
      <c r="M1576">
        <v>444452</v>
      </c>
      <c r="N1576">
        <v>50</v>
      </c>
      <c r="O1576" t="s">
        <v>49</v>
      </c>
    </row>
    <row r="1577" spans="1:16" x14ac:dyDescent="0.35">
      <c r="A1577" t="s">
        <v>3297</v>
      </c>
      <c r="B1577" t="s">
        <v>3298</v>
      </c>
      <c r="C1577" t="s">
        <v>53</v>
      </c>
      <c r="D1577" t="s">
        <v>68</v>
      </c>
      <c r="E1577" t="s">
        <v>55</v>
      </c>
      <c r="F1577" s="1">
        <v>43927</v>
      </c>
      <c r="G1577">
        <v>2016</v>
      </c>
      <c r="H1577" t="s">
        <v>38</v>
      </c>
      <c r="I1577" t="s">
        <v>162</v>
      </c>
      <c r="J1577" t="s">
        <v>76</v>
      </c>
      <c r="K1577">
        <v>8.1</v>
      </c>
      <c r="L1577">
        <v>23441288</v>
      </c>
      <c r="M1577">
        <v>1536135</v>
      </c>
      <c r="N1577">
        <v>75</v>
      </c>
      <c r="P1577" t="s">
        <v>32</v>
      </c>
    </row>
    <row r="1578" spans="1:16" x14ac:dyDescent="0.35">
      <c r="A1578" t="s">
        <v>3299</v>
      </c>
      <c r="B1578" t="s">
        <v>3300</v>
      </c>
      <c r="C1578" t="s">
        <v>53</v>
      </c>
      <c r="F1578" s="1">
        <v>46180</v>
      </c>
      <c r="G1578">
        <v>2002</v>
      </c>
      <c r="I1578" t="s">
        <v>95</v>
      </c>
      <c r="J1578" t="s">
        <v>72</v>
      </c>
      <c r="K1578">
        <v>8.5</v>
      </c>
      <c r="L1578">
        <v>24225372</v>
      </c>
      <c r="M1578">
        <v>595015</v>
      </c>
      <c r="N1578">
        <v>45</v>
      </c>
      <c r="O1578" t="s">
        <v>41</v>
      </c>
      <c r="P1578" t="s">
        <v>42</v>
      </c>
    </row>
    <row r="1579" spans="1:16" x14ac:dyDescent="0.35">
      <c r="A1579" t="s">
        <v>3301</v>
      </c>
      <c r="B1579" t="s">
        <v>3302</v>
      </c>
      <c r="C1579" t="s">
        <v>53</v>
      </c>
      <c r="D1579" t="s">
        <v>54</v>
      </c>
      <c r="E1579" t="s">
        <v>131</v>
      </c>
      <c r="F1579" s="1">
        <v>45857</v>
      </c>
      <c r="G1579">
        <v>2013</v>
      </c>
      <c r="H1579" t="s">
        <v>121</v>
      </c>
      <c r="I1579" t="s">
        <v>64</v>
      </c>
      <c r="J1579" t="s">
        <v>40</v>
      </c>
      <c r="K1579">
        <v>7.2</v>
      </c>
      <c r="L1579">
        <v>15805212</v>
      </c>
      <c r="M1579">
        <v>3804784</v>
      </c>
      <c r="N1579">
        <v>99</v>
      </c>
      <c r="O1579" t="s">
        <v>104</v>
      </c>
      <c r="P1579" t="s">
        <v>50</v>
      </c>
    </row>
    <row r="1580" spans="1:16" x14ac:dyDescent="0.35">
      <c r="A1580" t="s">
        <v>3303</v>
      </c>
      <c r="B1580" t="s">
        <v>3304</v>
      </c>
      <c r="C1580" t="s">
        <v>84</v>
      </c>
      <c r="D1580" t="s">
        <v>36</v>
      </c>
      <c r="E1580" t="s">
        <v>113</v>
      </c>
      <c r="F1580" s="1">
        <v>45572</v>
      </c>
      <c r="G1580">
        <v>2012</v>
      </c>
      <c r="H1580" t="s">
        <v>121</v>
      </c>
      <c r="I1580" t="s">
        <v>331</v>
      </c>
      <c r="J1580" t="s">
        <v>57</v>
      </c>
      <c r="K1580">
        <v>7.6</v>
      </c>
      <c r="L1580">
        <v>12103759</v>
      </c>
      <c r="M1580">
        <v>177238</v>
      </c>
      <c r="N1580">
        <v>61</v>
      </c>
      <c r="O1580" t="s">
        <v>65</v>
      </c>
    </row>
    <row r="1581" spans="1:16" x14ac:dyDescent="0.35">
      <c r="A1581" t="s">
        <v>3305</v>
      </c>
      <c r="B1581" t="s">
        <v>3306</v>
      </c>
      <c r="C1581" t="s">
        <v>84</v>
      </c>
      <c r="D1581" t="s">
        <v>90</v>
      </c>
      <c r="E1581" t="s">
        <v>20</v>
      </c>
      <c r="F1581" s="1">
        <v>45441</v>
      </c>
      <c r="G1581">
        <v>2010</v>
      </c>
      <c r="H1581" t="s">
        <v>70</v>
      </c>
      <c r="I1581" t="s">
        <v>1452</v>
      </c>
      <c r="J1581" t="s">
        <v>76</v>
      </c>
      <c r="K1581">
        <v>4.9000000000000004</v>
      </c>
      <c r="L1581">
        <v>7513190</v>
      </c>
      <c r="M1581">
        <v>2619662</v>
      </c>
      <c r="N1581">
        <v>44</v>
      </c>
      <c r="O1581" t="s">
        <v>31</v>
      </c>
      <c r="P1581" t="s">
        <v>50</v>
      </c>
    </row>
    <row r="1582" spans="1:16" x14ac:dyDescent="0.35">
      <c r="A1582" t="s">
        <v>3307</v>
      </c>
      <c r="B1582" t="s">
        <v>3308</v>
      </c>
      <c r="D1582" t="s">
        <v>94</v>
      </c>
      <c r="F1582" s="1">
        <v>43789</v>
      </c>
      <c r="G1582">
        <v>2008</v>
      </c>
      <c r="H1582" t="s">
        <v>63</v>
      </c>
      <c r="I1582" t="s">
        <v>71</v>
      </c>
      <c r="J1582" t="s">
        <v>72</v>
      </c>
      <c r="K1582">
        <v>9.3000000000000007</v>
      </c>
      <c r="L1582">
        <v>15530132</v>
      </c>
      <c r="M1582">
        <v>1813257</v>
      </c>
      <c r="N1582">
        <v>66</v>
      </c>
      <c r="O1582" t="s">
        <v>65</v>
      </c>
    </row>
    <row r="1583" spans="1:16" x14ac:dyDescent="0.35">
      <c r="A1583" t="s">
        <v>3309</v>
      </c>
      <c r="B1583" t="s">
        <v>3310</v>
      </c>
      <c r="C1583" t="s">
        <v>53</v>
      </c>
      <c r="D1583" t="s">
        <v>27</v>
      </c>
      <c r="E1583" t="s">
        <v>80</v>
      </c>
      <c r="F1583" s="1">
        <v>45326</v>
      </c>
      <c r="G1583">
        <v>2020</v>
      </c>
      <c r="H1583" t="s">
        <v>114</v>
      </c>
      <c r="I1583" t="s">
        <v>64</v>
      </c>
      <c r="J1583" t="s">
        <v>153</v>
      </c>
      <c r="K1583">
        <v>5.0999999999999996</v>
      </c>
      <c r="L1583">
        <v>23021480</v>
      </c>
      <c r="M1583">
        <v>586264</v>
      </c>
      <c r="N1583">
        <v>60</v>
      </c>
      <c r="O1583" t="s">
        <v>65</v>
      </c>
    </row>
    <row r="1584" spans="1:16" x14ac:dyDescent="0.35">
      <c r="A1584" t="s">
        <v>3311</v>
      </c>
      <c r="B1584" t="s">
        <v>3312</v>
      </c>
      <c r="C1584" t="s">
        <v>18</v>
      </c>
      <c r="D1584" t="s">
        <v>27</v>
      </c>
      <c r="E1584" t="s">
        <v>69</v>
      </c>
      <c r="F1584" s="1">
        <v>42920</v>
      </c>
      <c r="G1584">
        <v>2006</v>
      </c>
      <c r="H1584" t="s">
        <v>21</v>
      </c>
      <c r="I1584" t="s">
        <v>184</v>
      </c>
      <c r="J1584" t="s">
        <v>57</v>
      </c>
      <c r="K1584">
        <v>7.7</v>
      </c>
      <c r="L1584">
        <v>14970096</v>
      </c>
      <c r="M1584">
        <v>3405702</v>
      </c>
      <c r="N1584">
        <v>47</v>
      </c>
      <c r="O1584" t="s">
        <v>91</v>
      </c>
      <c r="P1584" t="s">
        <v>50</v>
      </c>
    </row>
    <row r="1585" spans="1:16" x14ac:dyDescent="0.35">
      <c r="A1585" t="s">
        <v>3313</v>
      </c>
      <c r="B1585" t="s">
        <v>3314</v>
      </c>
      <c r="C1585" t="s">
        <v>79</v>
      </c>
      <c r="D1585" t="s">
        <v>90</v>
      </c>
      <c r="F1585" s="1">
        <v>43449</v>
      </c>
      <c r="G1585">
        <v>2007</v>
      </c>
      <c r="H1585" t="s">
        <v>70</v>
      </c>
      <c r="I1585" t="s">
        <v>817</v>
      </c>
      <c r="J1585" t="s">
        <v>72</v>
      </c>
      <c r="K1585">
        <v>7.9</v>
      </c>
      <c r="L1585">
        <v>14388844</v>
      </c>
      <c r="M1585">
        <v>1347080</v>
      </c>
      <c r="N1585">
        <v>82</v>
      </c>
      <c r="O1585" t="s">
        <v>41</v>
      </c>
      <c r="P1585" t="s">
        <v>50</v>
      </c>
    </row>
    <row r="1586" spans="1:16" x14ac:dyDescent="0.35">
      <c r="A1586" t="s">
        <v>3315</v>
      </c>
      <c r="B1586" t="s">
        <v>3316</v>
      </c>
      <c r="C1586" t="s">
        <v>79</v>
      </c>
      <c r="D1586" t="s">
        <v>61</v>
      </c>
      <c r="E1586" t="s">
        <v>28</v>
      </c>
      <c r="F1586" s="1">
        <v>42826</v>
      </c>
      <c r="G1586">
        <v>2006</v>
      </c>
      <c r="H1586" t="s">
        <v>21</v>
      </c>
      <c r="I1586" t="s">
        <v>82</v>
      </c>
      <c r="J1586" t="s">
        <v>23</v>
      </c>
      <c r="K1586">
        <v>5</v>
      </c>
      <c r="L1586">
        <v>13373947</v>
      </c>
      <c r="M1586">
        <v>4531056</v>
      </c>
      <c r="N1586">
        <v>78</v>
      </c>
      <c r="O1586" t="s">
        <v>104</v>
      </c>
      <c r="P1586" t="s">
        <v>50</v>
      </c>
    </row>
    <row r="1587" spans="1:16" x14ac:dyDescent="0.35">
      <c r="A1587" t="s">
        <v>3317</v>
      </c>
      <c r="B1587" t="s">
        <v>3318</v>
      </c>
      <c r="C1587" t="s">
        <v>18</v>
      </c>
      <c r="D1587" t="s">
        <v>68</v>
      </c>
      <c r="E1587" t="s">
        <v>45</v>
      </c>
      <c r="F1587" s="1">
        <v>42199</v>
      </c>
      <c r="G1587">
        <v>2017</v>
      </c>
      <c r="H1587" t="s">
        <v>114</v>
      </c>
      <c r="I1587" t="s">
        <v>223</v>
      </c>
      <c r="J1587" t="s">
        <v>96</v>
      </c>
      <c r="K1587">
        <v>9.4</v>
      </c>
      <c r="L1587">
        <v>747525</v>
      </c>
      <c r="M1587">
        <v>1678280</v>
      </c>
      <c r="N1587">
        <v>59</v>
      </c>
    </row>
    <row r="1588" spans="1:16" x14ac:dyDescent="0.35">
      <c r="A1588" t="s">
        <v>3319</v>
      </c>
      <c r="B1588" t="s">
        <v>3320</v>
      </c>
      <c r="C1588" t="s">
        <v>84</v>
      </c>
      <c r="D1588" t="s">
        <v>75</v>
      </c>
      <c r="F1588" s="1">
        <v>45564</v>
      </c>
      <c r="G1588">
        <v>2005</v>
      </c>
      <c r="H1588" t="s">
        <v>121</v>
      </c>
      <c r="I1588" t="s">
        <v>763</v>
      </c>
      <c r="J1588" t="s">
        <v>23</v>
      </c>
      <c r="K1588">
        <v>5.4</v>
      </c>
      <c r="L1588">
        <v>9705062</v>
      </c>
      <c r="M1588">
        <v>2531199</v>
      </c>
      <c r="N1588">
        <v>45</v>
      </c>
      <c r="O1588" t="s">
        <v>24</v>
      </c>
    </row>
    <row r="1589" spans="1:16" x14ac:dyDescent="0.35">
      <c r="A1589" t="s">
        <v>3321</v>
      </c>
      <c r="B1589" t="s">
        <v>3322</v>
      </c>
      <c r="C1589" t="s">
        <v>53</v>
      </c>
      <c r="D1589" t="s">
        <v>90</v>
      </c>
      <c r="E1589" t="s">
        <v>131</v>
      </c>
      <c r="F1589" s="1">
        <v>43022</v>
      </c>
      <c r="G1589">
        <v>2006</v>
      </c>
      <c r="H1589" t="s">
        <v>38</v>
      </c>
      <c r="I1589" t="s">
        <v>95</v>
      </c>
      <c r="J1589" t="s">
        <v>96</v>
      </c>
      <c r="K1589">
        <v>5</v>
      </c>
      <c r="L1589">
        <v>16607042</v>
      </c>
      <c r="M1589">
        <v>496811</v>
      </c>
      <c r="N1589">
        <v>120</v>
      </c>
      <c r="O1589" t="s">
        <v>24</v>
      </c>
      <c r="P1589" t="s">
        <v>87</v>
      </c>
    </row>
    <row r="1590" spans="1:16" x14ac:dyDescent="0.35">
      <c r="A1590" t="s">
        <v>3323</v>
      </c>
      <c r="B1590" t="s">
        <v>3324</v>
      </c>
      <c r="C1590" t="s">
        <v>84</v>
      </c>
      <c r="D1590" t="s">
        <v>54</v>
      </c>
      <c r="E1590" t="s">
        <v>69</v>
      </c>
      <c r="F1590" s="1">
        <v>43982</v>
      </c>
      <c r="G1590">
        <v>2013</v>
      </c>
      <c r="H1590" t="s">
        <v>46</v>
      </c>
      <c r="I1590" t="s">
        <v>195</v>
      </c>
      <c r="J1590" t="s">
        <v>96</v>
      </c>
      <c r="K1590">
        <v>5.7</v>
      </c>
      <c r="L1590">
        <v>3808635</v>
      </c>
      <c r="M1590">
        <v>1051887</v>
      </c>
      <c r="N1590">
        <v>120</v>
      </c>
      <c r="O1590" t="s">
        <v>49</v>
      </c>
      <c r="P1590" t="s">
        <v>42</v>
      </c>
    </row>
    <row r="1591" spans="1:16" x14ac:dyDescent="0.35">
      <c r="A1591" t="s">
        <v>3325</v>
      </c>
      <c r="B1591" t="s">
        <v>3326</v>
      </c>
      <c r="C1591" t="s">
        <v>84</v>
      </c>
      <c r="D1591" t="s">
        <v>75</v>
      </c>
      <c r="E1591" t="s">
        <v>99</v>
      </c>
      <c r="F1591" s="1">
        <v>44622</v>
      </c>
      <c r="G1591">
        <v>2018</v>
      </c>
      <c r="H1591" t="s">
        <v>107</v>
      </c>
      <c r="I1591" t="s">
        <v>492</v>
      </c>
      <c r="J1591" t="s">
        <v>76</v>
      </c>
      <c r="K1591">
        <v>9.4</v>
      </c>
      <c r="L1591">
        <v>16714768</v>
      </c>
      <c r="M1591">
        <v>1592816</v>
      </c>
      <c r="N1591">
        <v>49</v>
      </c>
      <c r="O1591" t="s">
        <v>104</v>
      </c>
      <c r="P1591" t="s">
        <v>42</v>
      </c>
    </row>
    <row r="1592" spans="1:16" x14ac:dyDescent="0.35">
      <c r="A1592" t="s">
        <v>3327</v>
      </c>
      <c r="B1592" t="s">
        <v>3328</v>
      </c>
      <c r="E1592" t="s">
        <v>165</v>
      </c>
      <c r="F1592" s="1">
        <v>43152</v>
      </c>
      <c r="G1592">
        <v>2004</v>
      </c>
      <c r="H1592" t="s">
        <v>114</v>
      </c>
      <c r="I1592" t="s">
        <v>56</v>
      </c>
      <c r="J1592" t="s">
        <v>96</v>
      </c>
      <c r="K1592">
        <v>4.8</v>
      </c>
      <c r="L1592">
        <v>16072583</v>
      </c>
      <c r="M1592">
        <v>2427921</v>
      </c>
      <c r="N1592">
        <v>88</v>
      </c>
      <c r="O1592" t="s">
        <v>24</v>
      </c>
      <c r="P1592" t="s">
        <v>42</v>
      </c>
    </row>
    <row r="1593" spans="1:16" x14ac:dyDescent="0.35">
      <c r="A1593" t="s">
        <v>3329</v>
      </c>
      <c r="B1593" t="s">
        <v>3330</v>
      </c>
      <c r="C1593" t="s">
        <v>18</v>
      </c>
      <c r="D1593" t="s">
        <v>27</v>
      </c>
      <c r="E1593" t="s">
        <v>99</v>
      </c>
      <c r="F1593" s="1">
        <v>43007</v>
      </c>
      <c r="G1593">
        <v>2015</v>
      </c>
      <c r="I1593" t="s">
        <v>294</v>
      </c>
      <c r="J1593" t="s">
        <v>48</v>
      </c>
      <c r="K1593">
        <v>8.6</v>
      </c>
      <c r="L1593">
        <v>17965951</v>
      </c>
      <c r="M1593">
        <v>1869245</v>
      </c>
      <c r="N1593">
        <v>77</v>
      </c>
      <c r="O1593" t="s">
        <v>49</v>
      </c>
      <c r="P1593" t="s">
        <v>42</v>
      </c>
    </row>
    <row r="1594" spans="1:16" x14ac:dyDescent="0.35">
      <c r="A1594" t="s">
        <v>3331</v>
      </c>
      <c r="B1594" t="s">
        <v>3332</v>
      </c>
      <c r="D1594" t="s">
        <v>156</v>
      </c>
      <c r="E1594" t="s">
        <v>80</v>
      </c>
      <c r="F1594" s="1">
        <v>46089</v>
      </c>
      <c r="G1594">
        <v>2020</v>
      </c>
      <c r="H1594" t="s">
        <v>121</v>
      </c>
      <c r="I1594" t="s">
        <v>118</v>
      </c>
      <c r="J1594" t="s">
        <v>23</v>
      </c>
      <c r="K1594">
        <v>9.4</v>
      </c>
      <c r="L1594">
        <v>7260353</v>
      </c>
      <c r="M1594">
        <v>28063</v>
      </c>
      <c r="N1594">
        <v>85</v>
      </c>
      <c r="O1594" t="s">
        <v>24</v>
      </c>
      <c r="P1594" t="s">
        <v>32</v>
      </c>
    </row>
    <row r="1595" spans="1:16" x14ac:dyDescent="0.35">
      <c r="A1595" t="s">
        <v>3333</v>
      </c>
      <c r="B1595" t="s">
        <v>3334</v>
      </c>
      <c r="C1595" t="s">
        <v>18</v>
      </c>
      <c r="E1595" t="s">
        <v>80</v>
      </c>
      <c r="F1595" s="1">
        <v>43939</v>
      </c>
      <c r="G1595">
        <v>2009</v>
      </c>
      <c r="H1595" t="s">
        <v>70</v>
      </c>
      <c r="I1595" t="s">
        <v>132</v>
      </c>
      <c r="J1595" t="s">
        <v>133</v>
      </c>
      <c r="K1595">
        <v>8.3000000000000007</v>
      </c>
      <c r="L1595">
        <v>10413696</v>
      </c>
      <c r="M1595">
        <v>3661510</v>
      </c>
      <c r="N1595">
        <v>63</v>
      </c>
      <c r="O1595" t="s">
        <v>58</v>
      </c>
    </row>
    <row r="1596" spans="1:16" x14ac:dyDescent="0.35">
      <c r="A1596" t="s">
        <v>3335</v>
      </c>
      <c r="B1596" t="s">
        <v>3336</v>
      </c>
      <c r="C1596" t="s">
        <v>79</v>
      </c>
      <c r="D1596" t="s">
        <v>156</v>
      </c>
      <c r="E1596" t="s">
        <v>55</v>
      </c>
      <c r="F1596" s="1">
        <v>45173</v>
      </c>
      <c r="G1596">
        <v>2016</v>
      </c>
      <c r="H1596" t="s">
        <v>70</v>
      </c>
      <c r="I1596" t="s">
        <v>1171</v>
      </c>
      <c r="J1596" t="s">
        <v>103</v>
      </c>
      <c r="K1596">
        <v>9.4</v>
      </c>
      <c r="L1596">
        <v>8338691</v>
      </c>
      <c r="M1596">
        <v>4343568</v>
      </c>
      <c r="N1596">
        <v>58</v>
      </c>
      <c r="O1596" t="s">
        <v>65</v>
      </c>
      <c r="P1596" t="s">
        <v>50</v>
      </c>
    </row>
    <row r="1597" spans="1:16" x14ac:dyDescent="0.35">
      <c r="A1597" t="s">
        <v>3337</v>
      </c>
      <c r="B1597" t="s">
        <v>3338</v>
      </c>
      <c r="C1597" t="s">
        <v>79</v>
      </c>
      <c r="D1597" t="s">
        <v>156</v>
      </c>
      <c r="E1597" t="s">
        <v>55</v>
      </c>
      <c r="F1597" s="1">
        <v>45419</v>
      </c>
      <c r="G1597">
        <v>2000</v>
      </c>
      <c r="H1597" t="s">
        <v>46</v>
      </c>
      <c r="I1597" t="s">
        <v>1777</v>
      </c>
      <c r="J1597" t="s">
        <v>103</v>
      </c>
      <c r="K1597">
        <v>8.6</v>
      </c>
      <c r="L1597">
        <v>6810333</v>
      </c>
      <c r="M1597">
        <v>742314</v>
      </c>
      <c r="N1597">
        <v>91</v>
      </c>
      <c r="O1597" t="s">
        <v>58</v>
      </c>
      <c r="P1597" t="s">
        <v>87</v>
      </c>
    </row>
    <row r="1598" spans="1:16" x14ac:dyDescent="0.35">
      <c r="A1598" t="s">
        <v>3339</v>
      </c>
      <c r="B1598" t="s">
        <v>3340</v>
      </c>
      <c r="C1598" t="s">
        <v>53</v>
      </c>
      <c r="D1598" t="s">
        <v>27</v>
      </c>
      <c r="E1598" t="s">
        <v>37</v>
      </c>
      <c r="F1598" s="1">
        <v>44258</v>
      </c>
      <c r="G1598">
        <v>2022</v>
      </c>
      <c r="H1598" t="s">
        <v>81</v>
      </c>
      <c r="I1598" t="s">
        <v>56</v>
      </c>
      <c r="J1598" t="s">
        <v>48</v>
      </c>
      <c r="K1598">
        <v>7.5</v>
      </c>
      <c r="L1598">
        <v>7394090</v>
      </c>
      <c r="M1598">
        <v>4631463</v>
      </c>
      <c r="N1598">
        <v>89</v>
      </c>
      <c r="O1598" t="s">
        <v>24</v>
      </c>
      <c r="P1598" t="s">
        <v>42</v>
      </c>
    </row>
    <row r="1599" spans="1:16" x14ac:dyDescent="0.35">
      <c r="A1599" t="s">
        <v>3341</v>
      </c>
      <c r="B1599" t="s">
        <v>3342</v>
      </c>
      <c r="C1599" t="s">
        <v>79</v>
      </c>
      <c r="D1599" t="s">
        <v>90</v>
      </c>
      <c r="E1599" t="s">
        <v>113</v>
      </c>
      <c r="F1599" s="1">
        <v>44717</v>
      </c>
      <c r="G1599">
        <v>2019</v>
      </c>
      <c r="H1599" t="s">
        <v>114</v>
      </c>
      <c r="I1599" t="s">
        <v>361</v>
      </c>
      <c r="J1599" t="s">
        <v>153</v>
      </c>
      <c r="K1599">
        <v>6.5</v>
      </c>
      <c r="L1599">
        <v>15552941</v>
      </c>
      <c r="M1599">
        <v>1287192</v>
      </c>
      <c r="N1599">
        <v>50</v>
      </c>
      <c r="O1599" t="s">
        <v>65</v>
      </c>
      <c r="P1599" t="s">
        <v>50</v>
      </c>
    </row>
    <row r="1600" spans="1:16" x14ac:dyDescent="0.35">
      <c r="A1600" t="s">
        <v>3343</v>
      </c>
      <c r="B1600" t="s">
        <v>3344</v>
      </c>
      <c r="C1600" t="s">
        <v>79</v>
      </c>
      <c r="F1600" s="1">
        <v>44141</v>
      </c>
      <c r="G1600">
        <v>2015</v>
      </c>
      <c r="H1600" t="s">
        <v>107</v>
      </c>
      <c r="I1600" t="s">
        <v>184</v>
      </c>
      <c r="J1600" t="s">
        <v>48</v>
      </c>
      <c r="K1600">
        <v>9.4</v>
      </c>
      <c r="L1600">
        <v>1014537</v>
      </c>
      <c r="M1600">
        <v>841441</v>
      </c>
      <c r="N1600">
        <v>61</v>
      </c>
      <c r="O1600" t="s">
        <v>65</v>
      </c>
      <c r="P1600" t="s">
        <v>87</v>
      </c>
    </row>
    <row r="1601" spans="1:16" x14ac:dyDescent="0.35">
      <c r="A1601" t="s">
        <v>3345</v>
      </c>
      <c r="B1601" t="s">
        <v>3346</v>
      </c>
      <c r="C1601" t="s">
        <v>84</v>
      </c>
      <c r="D1601" t="s">
        <v>36</v>
      </c>
      <c r="E1601" t="s">
        <v>99</v>
      </c>
      <c r="F1601" s="1">
        <v>42496</v>
      </c>
      <c r="G1601">
        <v>2018</v>
      </c>
      <c r="H1601" t="s">
        <v>70</v>
      </c>
      <c r="I1601" t="s">
        <v>420</v>
      </c>
      <c r="J1601" t="s">
        <v>23</v>
      </c>
      <c r="K1601">
        <v>7.7</v>
      </c>
      <c r="L1601">
        <v>18688543</v>
      </c>
      <c r="M1601">
        <v>2886651</v>
      </c>
      <c r="N1601">
        <v>74</v>
      </c>
      <c r="O1601" t="s">
        <v>104</v>
      </c>
      <c r="P1601" t="s">
        <v>87</v>
      </c>
    </row>
    <row r="1602" spans="1:16" x14ac:dyDescent="0.35">
      <c r="A1602" t="s">
        <v>3347</v>
      </c>
      <c r="B1602" t="s">
        <v>3348</v>
      </c>
      <c r="C1602" t="s">
        <v>79</v>
      </c>
      <c r="D1602" t="s">
        <v>61</v>
      </c>
      <c r="E1602" t="s">
        <v>20</v>
      </c>
      <c r="F1602" s="1">
        <v>42096</v>
      </c>
      <c r="G1602">
        <v>2008</v>
      </c>
      <c r="H1602" t="s">
        <v>70</v>
      </c>
      <c r="I1602" t="s">
        <v>1777</v>
      </c>
      <c r="J1602" t="s">
        <v>30</v>
      </c>
      <c r="K1602">
        <v>5.6</v>
      </c>
      <c r="L1602">
        <v>19819829</v>
      </c>
      <c r="M1602">
        <v>721065</v>
      </c>
      <c r="N1602">
        <v>90</v>
      </c>
      <c r="O1602" t="s">
        <v>58</v>
      </c>
    </row>
    <row r="1603" spans="1:16" x14ac:dyDescent="0.35">
      <c r="A1603" t="s">
        <v>3349</v>
      </c>
      <c r="B1603" t="s">
        <v>3350</v>
      </c>
      <c r="C1603" t="s">
        <v>84</v>
      </c>
      <c r="D1603" t="s">
        <v>94</v>
      </c>
      <c r="E1603" t="s">
        <v>165</v>
      </c>
      <c r="G1603">
        <v>2026</v>
      </c>
      <c r="H1603" t="s">
        <v>63</v>
      </c>
      <c r="I1603" t="s">
        <v>472</v>
      </c>
      <c r="J1603" t="s">
        <v>96</v>
      </c>
      <c r="K1603">
        <v>5.8</v>
      </c>
      <c r="L1603">
        <v>15504837</v>
      </c>
      <c r="M1603">
        <v>1033727</v>
      </c>
      <c r="N1603">
        <v>43</v>
      </c>
      <c r="O1603" t="s">
        <v>123</v>
      </c>
    </row>
    <row r="1604" spans="1:16" x14ac:dyDescent="0.35">
      <c r="A1604" t="s">
        <v>3351</v>
      </c>
      <c r="B1604" t="s">
        <v>3352</v>
      </c>
      <c r="C1604" t="s">
        <v>79</v>
      </c>
      <c r="D1604" t="s">
        <v>90</v>
      </c>
      <c r="E1604" t="s">
        <v>62</v>
      </c>
      <c r="F1604" s="1">
        <v>42242</v>
      </c>
      <c r="G1604">
        <v>2023</v>
      </c>
      <c r="H1604" t="s">
        <v>81</v>
      </c>
      <c r="I1604" t="s">
        <v>287</v>
      </c>
      <c r="J1604" t="s">
        <v>100</v>
      </c>
      <c r="K1604">
        <v>6.5</v>
      </c>
      <c r="L1604">
        <v>7257710</v>
      </c>
      <c r="M1604">
        <v>3849040</v>
      </c>
      <c r="N1604">
        <v>83</v>
      </c>
      <c r="O1604" t="s">
        <v>58</v>
      </c>
      <c r="P1604" t="s">
        <v>50</v>
      </c>
    </row>
    <row r="1605" spans="1:16" x14ac:dyDescent="0.35">
      <c r="A1605" t="s">
        <v>3353</v>
      </c>
      <c r="B1605" t="s">
        <v>3354</v>
      </c>
      <c r="D1605" t="s">
        <v>19</v>
      </c>
      <c r="E1605" t="s">
        <v>37</v>
      </c>
      <c r="F1605" s="1">
        <v>46053</v>
      </c>
      <c r="G1605">
        <v>2013</v>
      </c>
      <c r="H1605" t="s">
        <v>21</v>
      </c>
      <c r="I1605" t="s">
        <v>64</v>
      </c>
      <c r="J1605" t="s">
        <v>133</v>
      </c>
      <c r="K1605">
        <v>6.4</v>
      </c>
      <c r="L1605">
        <v>18212524</v>
      </c>
      <c r="M1605">
        <v>2214141</v>
      </c>
      <c r="N1605">
        <v>75</v>
      </c>
      <c r="O1605" t="s">
        <v>58</v>
      </c>
    </row>
    <row r="1606" spans="1:16" x14ac:dyDescent="0.35">
      <c r="A1606" t="s">
        <v>3355</v>
      </c>
      <c r="B1606" t="s">
        <v>3356</v>
      </c>
      <c r="C1606" t="s">
        <v>35</v>
      </c>
      <c r="D1606" t="s">
        <v>68</v>
      </c>
      <c r="E1606" t="s">
        <v>45</v>
      </c>
      <c r="F1606" s="1">
        <v>45970</v>
      </c>
      <c r="G1606">
        <v>2007</v>
      </c>
      <c r="H1606" t="s">
        <v>121</v>
      </c>
      <c r="I1606" t="s">
        <v>71</v>
      </c>
      <c r="J1606" t="s">
        <v>23</v>
      </c>
      <c r="K1606">
        <v>5</v>
      </c>
      <c r="L1606">
        <v>7812420</v>
      </c>
      <c r="M1606">
        <v>1920092</v>
      </c>
      <c r="N1606">
        <v>94</v>
      </c>
      <c r="O1606" t="s">
        <v>24</v>
      </c>
      <c r="P1606" t="s">
        <v>32</v>
      </c>
    </row>
    <row r="1607" spans="1:16" x14ac:dyDescent="0.35">
      <c r="A1607" t="s">
        <v>3357</v>
      </c>
      <c r="B1607" t="s">
        <v>3358</v>
      </c>
      <c r="C1607" t="s">
        <v>18</v>
      </c>
      <c r="D1607" t="s">
        <v>27</v>
      </c>
      <c r="E1607" t="s">
        <v>69</v>
      </c>
      <c r="F1607" s="1">
        <v>44448</v>
      </c>
      <c r="G1607">
        <v>2006</v>
      </c>
      <c r="H1607" t="s">
        <v>70</v>
      </c>
      <c r="I1607" t="s">
        <v>475</v>
      </c>
      <c r="J1607" t="s">
        <v>76</v>
      </c>
      <c r="K1607">
        <v>8.6999999999999993</v>
      </c>
      <c r="L1607">
        <v>11485862</v>
      </c>
      <c r="M1607">
        <v>4542537</v>
      </c>
      <c r="N1607">
        <v>89</v>
      </c>
      <c r="O1607" t="s">
        <v>65</v>
      </c>
      <c r="P1607" t="s">
        <v>42</v>
      </c>
    </row>
    <row r="1608" spans="1:16" x14ac:dyDescent="0.35">
      <c r="A1608" t="s">
        <v>3359</v>
      </c>
      <c r="B1608" t="s">
        <v>3360</v>
      </c>
      <c r="E1608" t="s">
        <v>55</v>
      </c>
      <c r="F1608" s="1">
        <v>44535</v>
      </c>
      <c r="G1608">
        <v>2010</v>
      </c>
      <c r="H1608" t="s">
        <v>114</v>
      </c>
      <c r="I1608" t="s">
        <v>64</v>
      </c>
      <c r="J1608" t="s">
        <v>96</v>
      </c>
      <c r="K1608">
        <v>7.3</v>
      </c>
      <c r="L1608">
        <v>2491410</v>
      </c>
      <c r="M1608">
        <v>1784045</v>
      </c>
      <c r="N1608">
        <v>82</v>
      </c>
      <c r="O1608" t="s">
        <v>41</v>
      </c>
    </row>
    <row r="1609" spans="1:16" x14ac:dyDescent="0.35">
      <c r="A1609" t="s">
        <v>3361</v>
      </c>
      <c r="B1609" t="s">
        <v>3362</v>
      </c>
      <c r="D1609" t="s">
        <v>36</v>
      </c>
      <c r="E1609" t="s">
        <v>80</v>
      </c>
      <c r="F1609" s="1">
        <v>44226</v>
      </c>
      <c r="G1609">
        <v>2012</v>
      </c>
      <c r="I1609" t="s">
        <v>136</v>
      </c>
      <c r="J1609" t="s">
        <v>100</v>
      </c>
      <c r="K1609">
        <v>7.9</v>
      </c>
      <c r="L1609">
        <v>24672067</v>
      </c>
      <c r="M1609">
        <v>1348314</v>
      </c>
      <c r="N1609">
        <v>50</v>
      </c>
      <c r="O1609" t="s">
        <v>104</v>
      </c>
    </row>
    <row r="1610" spans="1:16" x14ac:dyDescent="0.35">
      <c r="A1610" t="s">
        <v>3363</v>
      </c>
      <c r="B1610" t="s">
        <v>3364</v>
      </c>
      <c r="C1610" t="s">
        <v>79</v>
      </c>
      <c r="D1610" t="s">
        <v>36</v>
      </c>
      <c r="E1610" t="s">
        <v>37</v>
      </c>
      <c r="F1610" s="1">
        <v>42572</v>
      </c>
      <c r="G1610">
        <v>2018</v>
      </c>
      <c r="H1610" t="s">
        <v>38</v>
      </c>
      <c r="I1610" t="s">
        <v>373</v>
      </c>
      <c r="J1610" t="s">
        <v>48</v>
      </c>
      <c r="K1610">
        <v>6.8</v>
      </c>
      <c r="L1610">
        <v>19402088</v>
      </c>
      <c r="M1610">
        <v>442761</v>
      </c>
      <c r="N1610">
        <v>84</v>
      </c>
      <c r="O1610" t="s">
        <v>123</v>
      </c>
    </row>
    <row r="1611" spans="1:16" x14ac:dyDescent="0.35">
      <c r="A1611" t="s">
        <v>3365</v>
      </c>
      <c r="B1611" t="s">
        <v>3366</v>
      </c>
      <c r="C1611" t="s">
        <v>79</v>
      </c>
      <c r="D1611" t="s">
        <v>19</v>
      </c>
      <c r="E1611" t="s">
        <v>55</v>
      </c>
      <c r="F1611" s="1">
        <v>42787</v>
      </c>
      <c r="G1611">
        <v>2003</v>
      </c>
      <c r="H1611" t="s">
        <v>81</v>
      </c>
      <c r="I1611" t="s">
        <v>1005</v>
      </c>
      <c r="J1611" t="s">
        <v>153</v>
      </c>
      <c r="K1611">
        <v>6.6</v>
      </c>
      <c r="L1611">
        <v>5268856</v>
      </c>
      <c r="M1611">
        <v>1564631</v>
      </c>
      <c r="N1611">
        <v>45</v>
      </c>
      <c r="O1611" t="s">
        <v>65</v>
      </c>
      <c r="P1611" t="s">
        <v>87</v>
      </c>
    </row>
    <row r="1612" spans="1:16" x14ac:dyDescent="0.35">
      <c r="A1612" t="s">
        <v>3367</v>
      </c>
      <c r="B1612" t="s">
        <v>3368</v>
      </c>
      <c r="C1612" t="s">
        <v>79</v>
      </c>
      <c r="D1612" t="s">
        <v>156</v>
      </c>
      <c r="E1612" t="s">
        <v>165</v>
      </c>
      <c r="F1612" s="1">
        <v>45577</v>
      </c>
      <c r="G1612">
        <v>2010</v>
      </c>
      <c r="H1612" t="s">
        <v>70</v>
      </c>
      <c r="I1612" t="s">
        <v>122</v>
      </c>
      <c r="J1612" t="s">
        <v>96</v>
      </c>
      <c r="K1612">
        <v>6.4</v>
      </c>
      <c r="L1612">
        <v>23582747</v>
      </c>
      <c r="M1612">
        <v>2639423</v>
      </c>
      <c r="N1612">
        <v>98</v>
      </c>
      <c r="P1612" t="s">
        <v>42</v>
      </c>
    </row>
    <row r="1613" spans="1:16" x14ac:dyDescent="0.35">
      <c r="A1613" t="s">
        <v>3369</v>
      </c>
      <c r="B1613" t="s">
        <v>3370</v>
      </c>
      <c r="C1613" t="s">
        <v>53</v>
      </c>
      <c r="D1613" t="s">
        <v>156</v>
      </c>
      <c r="E1613" t="s">
        <v>45</v>
      </c>
      <c r="F1613" s="1">
        <v>43502</v>
      </c>
      <c r="G1613">
        <v>2016</v>
      </c>
      <c r="H1613" t="s">
        <v>63</v>
      </c>
      <c r="I1613" t="s">
        <v>95</v>
      </c>
      <c r="J1613" t="s">
        <v>57</v>
      </c>
      <c r="K1613">
        <v>5.4</v>
      </c>
      <c r="L1613">
        <v>4058785</v>
      </c>
      <c r="M1613">
        <v>1111085</v>
      </c>
      <c r="N1613">
        <v>70</v>
      </c>
      <c r="P1613" t="s">
        <v>87</v>
      </c>
    </row>
    <row r="1614" spans="1:16" x14ac:dyDescent="0.35">
      <c r="A1614" t="s">
        <v>3371</v>
      </c>
      <c r="B1614" t="s">
        <v>3372</v>
      </c>
      <c r="C1614" t="s">
        <v>84</v>
      </c>
      <c r="E1614" t="s">
        <v>99</v>
      </c>
      <c r="F1614" s="1">
        <v>44388</v>
      </c>
      <c r="G1614">
        <v>2020</v>
      </c>
      <c r="H1614" t="s">
        <v>63</v>
      </c>
      <c r="I1614" t="s">
        <v>505</v>
      </c>
      <c r="K1614">
        <v>7.9</v>
      </c>
      <c r="L1614">
        <v>12632097</v>
      </c>
      <c r="M1614">
        <v>1578487</v>
      </c>
      <c r="N1614">
        <v>41</v>
      </c>
      <c r="O1614" t="s">
        <v>49</v>
      </c>
      <c r="P1614" t="s">
        <v>42</v>
      </c>
    </row>
    <row r="1615" spans="1:16" x14ac:dyDescent="0.35">
      <c r="A1615" t="s">
        <v>3373</v>
      </c>
      <c r="B1615" t="s">
        <v>3374</v>
      </c>
      <c r="C1615" t="s">
        <v>35</v>
      </c>
      <c r="D1615" t="s">
        <v>54</v>
      </c>
      <c r="E1615" t="s">
        <v>131</v>
      </c>
      <c r="F1615" s="1">
        <v>42215</v>
      </c>
      <c r="G1615">
        <v>2004</v>
      </c>
      <c r="H1615" t="s">
        <v>121</v>
      </c>
      <c r="I1615" t="s">
        <v>56</v>
      </c>
      <c r="J1615" t="s">
        <v>48</v>
      </c>
      <c r="K1615">
        <v>8.9</v>
      </c>
      <c r="L1615">
        <v>496408</v>
      </c>
      <c r="M1615">
        <v>1570933</v>
      </c>
      <c r="N1615">
        <v>50</v>
      </c>
      <c r="O1615" t="s">
        <v>49</v>
      </c>
      <c r="P1615" t="s">
        <v>32</v>
      </c>
    </row>
    <row r="1616" spans="1:16" x14ac:dyDescent="0.35">
      <c r="A1616" t="s">
        <v>3375</v>
      </c>
      <c r="B1616" t="s">
        <v>3376</v>
      </c>
      <c r="C1616" t="s">
        <v>18</v>
      </c>
      <c r="D1616" t="s">
        <v>36</v>
      </c>
      <c r="F1616" s="1">
        <v>43709</v>
      </c>
      <c r="G1616">
        <v>2006</v>
      </c>
      <c r="H1616" t="s">
        <v>70</v>
      </c>
      <c r="I1616" t="s">
        <v>195</v>
      </c>
      <c r="J1616" t="s">
        <v>40</v>
      </c>
      <c r="K1616">
        <v>5.6</v>
      </c>
      <c r="L1616">
        <v>457716</v>
      </c>
      <c r="M1616">
        <v>2950724</v>
      </c>
      <c r="N1616">
        <v>54</v>
      </c>
      <c r="P1616" t="s">
        <v>42</v>
      </c>
    </row>
    <row r="1617" spans="1:16" x14ac:dyDescent="0.35">
      <c r="A1617" t="s">
        <v>3377</v>
      </c>
      <c r="B1617" t="s">
        <v>3378</v>
      </c>
      <c r="C1617" t="s">
        <v>18</v>
      </c>
      <c r="F1617" s="1">
        <v>44269</v>
      </c>
      <c r="G1617">
        <v>2025</v>
      </c>
      <c r="H1617" t="s">
        <v>107</v>
      </c>
      <c r="I1617" t="s">
        <v>259</v>
      </c>
      <c r="J1617" t="s">
        <v>103</v>
      </c>
      <c r="K1617">
        <v>5.8</v>
      </c>
      <c r="L1617">
        <v>9832902</v>
      </c>
      <c r="M1617">
        <v>4511053</v>
      </c>
      <c r="N1617">
        <v>55</v>
      </c>
      <c r="O1617" t="s">
        <v>58</v>
      </c>
      <c r="P1617" t="s">
        <v>32</v>
      </c>
    </row>
    <row r="1618" spans="1:16" x14ac:dyDescent="0.35">
      <c r="A1618" t="s">
        <v>3379</v>
      </c>
      <c r="B1618" t="s">
        <v>3380</v>
      </c>
      <c r="C1618" t="s">
        <v>79</v>
      </c>
      <c r="D1618" t="s">
        <v>19</v>
      </c>
      <c r="E1618" t="s">
        <v>28</v>
      </c>
      <c r="F1618" s="1">
        <v>44972</v>
      </c>
      <c r="G1618">
        <v>2022</v>
      </c>
      <c r="I1618" t="s">
        <v>254</v>
      </c>
      <c r="K1618">
        <v>5.5</v>
      </c>
      <c r="L1618">
        <v>15822228</v>
      </c>
      <c r="M1618">
        <v>1586387</v>
      </c>
      <c r="N1618">
        <v>99</v>
      </c>
      <c r="O1618" t="s">
        <v>65</v>
      </c>
      <c r="P1618" t="s">
        <v>32</v>
      </c>
    </row>
    <row r="1619" spans="1:16" x14ac:dyDescent="0.35">
      <c r="A1619" t="s">
        <v>3381</v>
      </c>
      <c r="B1619" t="s">
        <v>3382</v>
      </c>
      <c r="C1619" t="s">
        <v>79</v>
      </c>
      <c r="D1619" t="s">
        <v>19</v>
      </c>
      <c r="E1619" t="s">
        <v>165</v>
      </c>
      <c r="F1619" s="1">
        <v>42827</v>
      </c>
      <c r="G1619">
        <v>2005</v>
      </c>
      <c r="H1619" t="s">
        <v>107</v>
      </c>
      <c r="I1619" t="s">
        <v>717</v>
      </c>
      <c r="J1619" t="s">
        <v>40</v>
      </c>
      <c r="K1619">
        <v>6.2</v>
      </c>
      <c r="L1619">
        <v>16366065</v>
      </c>
      <c r="M1619">
        <v>2402357</v>
      </c>
      <c r="N1619">
        <v>68</v>
      </c>
      <c r="O1619" t="s">
        <v>123</v>
      </c>
      <c r="P1619" t="s">
        <v>42</v>
      </c>
    </row>
    <row r="1620" spans="1:16" x14ac:dyDescent="0.35">
      <c r="A1620" t="s">
        <v>3383</v>
      </c>
      <c r="B1620" t="s">
        <v>3384</v>
      </c>
      <c r="C1620" t="s">
        <v>35</v>
      </c>
      <c r="D1620" t="s">
        <v>75</v>
      </c>
      <c r="E1620" t="s">
        <v>45</v>
      </c>
      <c r="F1620" s="1">
        <v>42031</v>
      </c>
      <c r="G1620">
        <v>2021</v>
      </c>
      <c r="H1620" t="s">
        <v>70</v>
      </c>
      <c r="I1620" t="s">
        <v>39</v>
      </c>
      <c r="J1620" t="s">
        <v>100</v>
      </c>
      <c r="K1620">
        <v>8.8000000000000007</v>
      </c>
      <c r="L1620">
        <v>11654736</v>
      </c>
      <c r="M1620">
        <v>4988492</v>
      </c>
      <c r="N1620">
        <v>78</v>
      </c>
      <c r="O1620" t="s">
        <v>58</v>
      </c>
      <c r="P1620" t="s">
        <v>50</v>
      </c>
    </row>
    <row r="1621" spans="1:16" x14ac:dyDescent="0.35">
      <c r="A1621" t="s">
        <v>3385</v>
      </c>
      <c r="B1621" t="s">
        <v>3386</v>
      </c>
      <c r="C1621" t="s">
        <v>53</v>
      </c>
      <c r="D1621" t="s">
        <v>61</v>
      </c>
      <c r="E1621" t="s">
        <v>80</v>
      </c>
      <c r="F1621" s="1">
        <v>44136</v>
      </c>
      <c r="G1621">
        <v>2005</v>
      </c>
      <c r="H1621" t="s">
        <v>114</v>
      </c>
      <c r="I1621" t="s">
        <v>64</v>
      </c>
      <c r="J1621" t="s">
        <v>48</v>
      </c>
      <c r="K1621">
        <v>7.6</v>
      </c>
      <c r="L1621">
        <v>23106154</v>
      </c>
      <c r="M1621">
        <v>447628</v>
      </c>
      <c r="N1621">
        <v>46</v>
      </c>
      <c r="O1621" t="s">
        <v>104</v>
      </c>
      <c r="P1621" t="s">
        <v>42</v>
      </c>
    </row>
    <row r="1622" spans="1:16" x14ac:dyDescent="0.35">
      <c r="A1622" t="s">
        <v>3387</v>
      </c>
      <c r="B1622" t="s">
        <v>3388</v>
      </c>
      <c r="C1622" t="s">
        <v>53</v>
      </c>
      <c r="D1622" t="s">
        <v>75</v>
      </c>
      <c r="E1622" t="s">
        <v>165</v>
      </c>
      <c r="F1622" s="1">
        <v>42216</v>
      </c>
      <c r="G1622">
        <v>2021</v>
      </c>
      <c r="H1622" t="s">
        <v>63</v>
      </c>
      <c r="I1622" t="s">
        <v>118</v>
      </c>
      <c r="J1622" t="s">
        <v>23</v>
      </c>
      <c r="K1622">
        <v>5</v>
      </c>
      <c r="L1622">
        <v>16687428</v>
      </c>
      <c r="M1622">
        <v>4977569</v>
      </c>
      <c r="N1622">
        <v>97</v>
      </c>
      <c r="O1622" t="s">
        <v>31</v>
      </c>
    </row>
    <row r="1623" spans="1:16" x14ac:dyDescent="0.35">
      <c r="A1623" t="s">
        <v>3389</v>
      </c>
      <c r="B1623" t="s">
        <v>3390</v>
      </c>
      <c r="E1623" t="s">
        <v>69</v>
      </c>
      <c r="F1623" s="1">
        <v>45162</v>
      </c>
      <c r="G1623">
        <v>2018</v>
      </c>
      <c r="H1623" t="s">
        <v>114</v>
      </c>
      <c r="J1623" t="s">
        <v>23</v>
      </c>
      <c r="K1623">
        <v>6.9</v>
      </c>
      <c r="L1623">
        <v>3114790</v>
      </c>
      <c r="M1623">
        <v>1062240</v>
      </c>
      <c r="N1623">
        <v>47</v>
      </c>
      <c r="P1623" t="s">
        <v>87</v>
      </c>
    </row>
    <row r="1624" spans="1:16" x14ac:dyDescent="0.35">
      <c r="A1624" t="s">
        <v>3391</v>
      </c>
      <c r="B1624" t="s">
        <v>3392</v>
      </c>
      <c r="C1624" t="s">
        <v>84</v>
      </c>
      <c r="D1624" t="s">
        <v>90</v>
      </c>
      <c r="E1624" t="s">
        <v>37</v>
      </c>
      <c r="F1624" s="1">
        <v>43848</v>
      </c>
      <c r="G1624">
        <v>2007</v>
      </c>
      <c r="H1624" t="s">
        <v>70</v>
      </c>
      <c r="I1624" t="s">
        <v>184</v>
      </c>
      <c r="J1624" t="s">
        <v>72</v>
      </c>
      <c r="K1624">
        <v>6.7</v>
      </c>
      <c r="L1624">
        <v>21942889</v>
      </c>
      <c r="M1624">
        <v>1300224</v>
      </c>
      <c r="N1624">
        <v>95</v>
      </c>
      <c r="O1624" t="s">
        <v>41</v>
      </c>
      <c r="P1624" t="s">
        <v>32</v>
      </c>
    </row>
    <row r="1625" spans="1:16" x14ac:dyDescent="0.35">
      <c r="A1625" t="s">
        <v>3393</v>
      </c>
      <c r="B1625" t="s">
        <v>3394</v>
      </c>
      <c r="C1625" t="s">
        <v>79</v>
      </c>
      <c r="D1625" t="s">
        <v>27</v>
      </c>
      <c r="E1625" t="s">
        <v>165</v>
      </c>
      <c r="F1625" s="1">
        <v>45171</v>
      </c>
      <c r="G1625">
        <v>2009</v>
      </c>
      <c r="H1625" t="s">
        <v>114</v>
      </c>
      <c r="I1625" t="s">
        <v>192</v>
      </c>
      <c r="J1625" t="s">
        <v>23</v>
      </c>
      <c r="K1625">
        <v>7.2</v>
      </c>
      <c r="L1625">
        <v>5302011</v>
      </c>
      <c r="M1625">
        <v>4821482</v>
      </c>
      <c r="N1625">
        <v>40</v>
      </c>
      <c r="O1625" t="s">
        <v>65</v>
      </c>
      <c r="P1625" t="s">
        <v>42</v>
      </c>
    </row>
    <row r="1626" spans="1:16" x14ac:dyDescent="0.35">
      <c r="A1626" t="s">
        <v>3395</v>
      </c>
      <c r="B1626" t="s">
        <v>3396</v>
      </c>
      <c r="C1626" t="s">
        <v>53</v>
      </c>
      <c r="D1626" t="s">
        <v>61</v>
      </c>
      <c r="E1626" t="s">
        <v>165</v>
      </c>
      <c r="F1626" s="1">
        <v>45610</v>
      </c>
      <c r="G1626">
        <v>2025</v>
      </c>
      <c r="H1626" t="s">
        <v>107</v>
      </c>
      <c r="I1626" t="s">
        <v>64</v>
      </c>
      <c r="J1626" t="s">
        <v>23</v>
      </c>
      <c r="K1626">
        <v>7.8</v>
      </c>
      <c r="L1626">
        <v>7691461</v>
      </c>
      <c r="M1626">
        <v>4303561</v>
      </c>
      <c r="N1626">
        <v>73</v>
      </c>
      <c r="O1626" t="s">
        <v>31</v>
      </c>
      <c r="P1626" t="s">
        <v>50</v>
      </c>
    </row>
    <row r="1627" spans="1:16" x14ac:dyDescent="0.35">
      <c r="A1627" t="s">
        <v>3397</v>
      </c>
      <c r="B1627" t="s">
        <v>3398</v>
      </c>
      <c r="C1627" t="s">
        <v>53</v>
      </c>
      <c r="D1627" t="s">
        <v>19</v>
      </c>
      <c r="E1627" t="s">
        <v>165</v>
      </c>
      <c r="F1627" s="1">
        <v>42542</v>
      </c>
      <c r="G1627">
        <v>2023</v>
      </c>
      <c r="H1627" t="s">
        <v>70</v>
      </c>
      <c r="I1627" t="s">
        <v>118</v>
      </c>
      <c r="J1627" t="s">
        <v>100</v>
      </c>
      <c r="K1627">
        <v>9</v>
      </c>
      <c r="L1627">
        <v>5506769</v>
      </c>
      <c r="M1627">
        <v>1663723</v>
      </c>
      <c r="N1627">
        <v>74</v>
      </c>
      <c r="O1627" t="s">
        <v>31</v>
      </c>
      <c r="P1627" t="s">
        <v>50</v>
      </c>
    </row>
    <row r="1628" spans="1:16" x14ac:dyDescent="0.35">
      <c r="A1628" t="s">
        <v>3399</v>
      </c>
      <c r="B1628" t="s">
        <v>3400</v>
      </c>
      <c r="C1628" t="s">
        <v>35</v>
      </c>
      <c r="D1628" t="s">
        <v>61</v>
      </c>
      <c r="F1628" s="1">
        <v>44127</v>
      </c>
      <c r="G1628">
        <v>2006</v>
      </c>
      <c r="H1628" t="s">
        <v>46</v>
      </c>
      <c r="I1628" t="s">
        <v>71</v>
      </c>
      <c r="J1628" t="s">
        <v>103</v>
      </c>
      <c r="K1628">
        <v>8</v>
      </c>
      <c r="L1628">
        <v>2710049</v>
      </c>
      <c r="M1628">
        <v>4392098</v>
      </c>
      <c r="N1628">
        <v>86</v>
      </c>
      <c r="P1628" t="s">
        <v>42</v>
      </c>
    </row>
    <row r="1629" spans="1:16" x14ac:dyDescent="0.35">
      <c r="A1629" t="s">
        <v>3401</v>
      </c>
      <c r="B1629" t="s">
        <v>3402</v>
      </c>
      <c r="C1629" t="s">
        <v>18</v>
      </c>
      <c r="D1629" t="s">
        <v>156</v>
      </c>
      <c r="E1629" t="s">
        <v>113</v>
      </c>
      <c r="F1629" s="1">
        <v>43051</v>
      </c>
      <c r="G1629">
        <v>2024</v>
      </c>
      <c r="H1629" t="s">
        <v>107</v>
      </c>
      <c r="I1629" t="s">
        <v>738</v>
      </c>
      <c r="J1629" t="s">
        <v>100</v>
      </c>
      <c r="K1629">
        <v>4.5</v>
      </c>
      <c r="L1629">
        <v>13116865</v>
      </c>
      <c r="M1629">
        <v>2778319</v>
      </c>
      <c r="N1629">
        <v>72</v>
      </c>
      <c r="O1629" t="s">
        <v>31</v>
      </c>
      <c r="P1629" t="s">
        <v>32</v>
      </c>
    </row>
    <row r="1630" spans="1:16" x14ac:dyDescent="0.35">
      <c r="A1630" t="s">
        <v>3403</v>
      </c>
      <c r="B1630" t="s">
        <v>3404</v>
      </c>
      <c r="C1630" t="s">
        <v>53</v>
      </c>
      <c r="D1630" t="s">
        <v>61</v>
      </c>
      <c r="E1630" t="s">
        <v>62</v>
      </c>
      <c r="F1630" s="1">
        <v>42936</v>
      </c>
      <c r="G1630">
        <v>2015</v>
      </c>
      <c r="H1630" t="s">
        <v>121</v>
      </c>
      <c r="I1630" t="s">
        <v>136</v>
      </c>
      <c r="J1630" t="s">
        <v>133</v>
      </c>
      <c r="K1630">
        <v>7.6</v>
      </c>
      <c r="L1630">
        <v>1562416</v>
      </c>
      <c r="M1630">
        <v>3944239</v>
      </c>
      <c r="N1630">
        <v>77</v>
      </c>
      <c r="O1630" t="s">
        <v>31</v>
      </c>
      <c r="P1630" t="s">
        <v>42</v>
      </c>
    </row>
    <row r="1631" spans="1:16" x14ac:dyDescent="0.35">
      <c r="A1631" t="s">
        <v>3405</v>
      </c>
      <c r="B1631" t="s">
        <v>3406</v>
      </c>
      <c r="C1631" t="s">
        <v>35</v>
      </c>
      <c r="D1631" t="s">
        <v>36</v>
      </c>
      <c r="E1631" t="s">
        <v>55</v>
      </c>
      <c r="F1631" s="1">
        <v>42845</v>
      </c>
      <c r="G1631">
        <v>2001</v>
      </c>
      <c r="H1631" t="s">
        <v>21</v>
      </c>
      <c r="I1631" t="s">
        <v>71</v>
      </c>
      <c r="J1631" t="s">
        <v>57</v>
      </c>
      <c r="K1631">
        <v>5.9</v>
      </c>
      <c r="L1631">
        <v>20999863</v>
      </c>
      <c r="M1631">
        <v>2088947</v>
      </c>
      <c r="N1631">
        <v>81</v>
      </c>
      <c r="O1631" t="s">
        <v>49</v>
      </c>
      <c r="P1631" t="s">
        <v>87</v>
      </c>
    </row>
    <row r="1632" spans="1:16" x14ac:dyDescent="0.35">
      <c r="A1632" t="s">
        <v>3407</v>
      </c>
      <c r="B1632" t="s">
        <v>3408</v>
      </c>
      <c r="D1632" t="s">
        <v>19</v>
      </c>
      <c r="E1632" t="s">
        <v>131</v>
      </c>
      <c r="F1632" s="1">
        <v>42288</v>
      </c>
      <c r="G1632">
        <v>2017</v>
      </c>
      <c r="H1632" t="s">
        <v>21</v>
      </c>
      <c r="I1632" t="s">
        <v>39</v>
      </c>
      <c r="J1632" t="s">
        <v>30</v>
      </c>
      <c r="K1632">
        <v>6.1</v>
      </c>
      <c r="L1632">
        <v>20553883</v>
      </c>
      <c r="M1632">
        <v>4804365</v>
      </c>
      <c r="N1632">
        <v>70</v>
      </c>
      <c r="O1632" t="s">
        <v>123</v>
      </c>
      <c r="P1632" t="s">
        <v>42</v>
      </c>
    </row>
    <row r="1633" spans="1:16" x14ac:dyDescent="0.35">
      <c r="A1633" t="s">
        <v>3409</v>
      </c>
      <c r="B1633" t="s">
        <v>3410</v>
      </c>
      <c r="C1633" t="s">
        <v>18</v>
      </c>
      <c r="D1633" t="s">
        <v>54</v>
      </c>
      <c r="E1633" t="s">
        <v>131</v>
      </c>
      <c r="F1633" s="1">
        <v>45176</v>
      </c>
      <c r="G1633">
        <v>2012</v>
      </c>
      <c r="H1633" t="s">
        <v>21</v>
      </c>
      <c r="I1633" t="s">
        <v>727</v>
      </c>
      <c r="J1633" t="s">
        <v>57</v>
      </c>
      <c r="K1633">
        <v>9.3000000000000007</v>
      </c>
      <c r="L1633">
        <v>13801657</v>
      </c>
      <c r="M1633">
        <v>1450160</v>
      </c>
      <c r="N1633">
        <v>98</v>
      </c>
      <c r="O1633" t="s">
        <v>123</v>
      </c>
      <c r="P1633" t="s">
        <v>87</v>
      </c>
    </row>
    <row r="1634" spans="1:16" x14ac:dyDescent="0.35">
      <c r="A1634" t="s">
        <v>3411</v>
      </c>
      <c r="B1634" t="s">
        <v>3412</v>
      </c>
      <c r="C1634" t="s">
        <v>79</v>
      </c>
      <c r="D1634" t="s">
        <v>68</v>
      </c>
      <c r="E1634" t="s">
        <v>20</v>
      </c>
      <c r="F1634" s="1">
        <v>46061</v>
      </c>
      <c r="G1634">
        <v>2018</v>
      </c>
      <c r="H1634" t="s">
        <v>46</v>
      </c>
      <c r="I1634" t="s">
        <v>218</v>
      </c>
      <c r="J1634" t="s">
        <v>133</v>
      </c>
      <c r="K1634">
        <v>9</v>
      </c>
      <c r="L1634">
        <v>24953744</v>
      </c>
      <c r="M1634">
        <v>3175383</v>
      </c>
      <c r="N1634">
        <v>61</v>
      </c>
      <c r="O1634" t="s">
        <v>104</v>
      </c>
      <c r="P1634" t="s">
        <v>50</v>
      </c>
    </row>
    <row r="1635" spans="1:16" x14ac:dyDescent="0.35">
      <c r="A1635" t="s">
        <v>3413</v>
      </c>
      <c r="B1635" t="s">
        <v>3414</v>
      </c>
      <c r="C1635" t="s">
        <v>53</v>
      </c>
      <c r="E1635" t="s">
        <v>62</v>
      </c>
      <c r="F1635" s="1">
        <v>45246</v>
      </c>
      <c r="G1635">
        <v>2020</v>
      </c>
      <c r="H1635" t="s">
        <v>114</v>
      </c>
      <c r="I1635" t="s">
        <v>136</v>
      </c>
      <c r="J1635" t="s">
        <v>153</v>
      </c>
      <c r="K1635">
        <v>9.6999999999999993</v>
      </c>
      <c r="L1635">
        <v>18934870</v>
      </c>
      <c r="M1635">
        <v>2329452</v>
      </c>
      <c r="N1635">
        <v>64</v>
      </c>
      <c r="O1635" t="s">
        <v>123</v>
      </c>
      <c r="P1635" t="s">
        <v>87</v>
      </c>
    </row>
    <row r="1636" spans="1:16" x14ac:dyDescent="0.35">
      <c r="A1636" t="s">
        <v>3415</v>
      </c>
      <c r="B1636" t="s">
        <v>3416</v>
      </c>
      <c r="C1636" t="s">
        <v>53</v>
      </c>
      <c r="D1636" t="s">
        <v>19</v>
      </c>
      <c r="E1636" t="s">
        <v>62</v>
      </c>
      <c r="F1636" s="1">
        <v>45838</v>
      </c>
      <c r="G1636">
        <v>2020</v>
      </c>
      <c r="H1636" t="s">
        <v>21</v>
      </c>
      <c r="I1636" t="s">
        <v>95</v>
      </c>
      <c r="J1636" t="s">
        <v>40</v>
      </c>
      <c r="K1636">
        <v>7.7</v>
      </c>
      <c r="L1636">
        <v>22276241</v>
      </c>
      <c r="M1636">
        <v>2617514</v>
      </c>
      <c r="N1636">
        <v>46</v>
      </c>
      <c r="O1636" t="s">
        <v>41</v>
      </c>
      <c r="P1636" t="s">
        <v>87</v>
      </c>
    </row>
    <row r="1637" spans="1:16" x14ac:dyDescent="0.35">
      <c r="A1637" t="s">
        <v>3417</v>
      </c>
      <c r="B1637" t="s">
        <v>3418</v>
      </c>
      <c r="C1637" t="s">
        <v>84</v>
      </c>
      <c r="D1637" t="s">
        <v>156</v>
      </c>
      <c r="E1637" t="s">
        <v>80</v>
      </c>
      <c r="F1637" s="1">
        <v>42208</v>
      </c>
      <c r="G1637">
        <v>2015</v>
      </c>
      <c r="H1637" t="s">
        <v>85</v>
      </c>
      <c r="I1637" t="s">
        <v>794</v>
      </c>
      <c r="J1637" t="s">
        <v>48</v>
      </c>
      <c r="K1637">
        <v>6.2</v>
      </c>
      <c r="L1637">
        <v>17157249</v>
      </c>
      <c r="M1637">
        <v>3258241</v>
      </c>
      <c r="N1637">
        <v>66</v>
      </c>
      <c r="O1637" t="s">
        <v>58</v>
      </c>
      <c r="P1637" t="s">
        <v>32</v>
      </c>
    </row>
    <row r="1638" spans="1:16" x14ac:dyDescent="0.35">
      <c r="A1638" t="s">
        <v>3419</v>
      </c>
      <c r="B1638" t="s">
        <v>3420</v>
      </c>
      <c r="C1638" t="s">
        <v>84</v>
      </c>
      <c r="E1638" t="s">
        <v>37</v>
      </c>
      <c r="F1638" s="1">
        <v>42446</v>
      </c>
      <c r="G1638">
        <v>2021</v>
      </c>
      <c r="H1638" t="s">
        <v>121</v>
      </c>
      <c r="I1638" t="s">
        <v>865</v>
      </c>
      <c r="J1638" t="s">
        <v>103</v>
      </c>
      <c r="K1638">
        <v>9.1999999999999993</v>
      </c>
      <c r="L1638">
        <v>22151254</v>
      </c>
      <c r="M1638">
        <v>4946524</v>
      </c>
      <c r="N1638">
        <v>47</v>
      </c>
      <c r="O1638" t="s">
        <v>41</v>
      </c>
      <c r="P1638" t="s">
        <v>50</v>
      </c>
    </row>
    <row r="1639" spans="1:16" x14ac:dyDescent="0.35">
      <c r="A1639" t="s">
        <v>3421</v>
      </c>
      <c r="B1639" t="s">
        <v>3422</v>
      </c>
      <c r="C1639" t="s">
        <v>18</v>
      </c>
      <c r="D1639" t="s">
        <v>61</v>
      </c>
      <c r="E1639" t="s">
        <v>55</v>
      </c>
      <c r="F1639" s="1">
        <v>42560</v>
      </c>
      <c r="G1639">
        <v>2010</v>
      </c>
      <c r="H1639" t="s">
        <v>121</v>
      </c>
      <c r="I1639" t="s">
        <v>794</v>
      </c>
      <c r="J1639" t="s">
        <v>48</v>
      </c>
      <c r="K1639">
        <v>6.1</v>
      </c>
      <c r="L1639">
        <v>13007697</v>
      </c>
      <c r="M1639">
        <v>2989009</v>
      </c>
      <c r="N1639">
        <v>49</v>
      </c>
      <c r="P1639" t="s">
        <v>32</v>
      </c>
    </row>
    <row r="1640" spans="1:16" x14ac:dyDescent="0.35">
      <c r="A1640" t="s">
        <v>3423</v>
      </c>
      <c r="B1640" t="s">
        <v>3424</v>
      </c>
      <c r="C1640" t="s">
        <v>18</v>
      </c>
      <c r="D1640" t="s">
        <v>54</v>
      </c>
      <c r="F1640" s="1">
        <v>45721</v>
      </c>
      <c r="G1640">
        <v>2024</v>
      </c>
      <c r="H1640" t="s">
        <v>38</v>
      </c>
      <c r="I1640" t="s">
        <v>894</v>
      </c>
      <c r="J1640" t="s">
        <v>100</v>
      </c>
      <c r="K1640">
        <v>8.1</v>
      </c>
      <c r="L1640">
        <v>299893</v>
      </c>
      <c r="M1640">
        <v>1179707</v>
      </c>
      <c r="N1640">
        <v>98</v>
      </c>
      <c r="O1640" t="s">
        <v>58</v>
      </c>
      <c r="P1640" t="s">
        <v>87</v>
      </c>
    </row>
    <row r="1641" spans="1:16" x14ac:dyDescent="0.35">
      <c r="A1641" t="s">
        <v>3425</v>
      </c>
      <c r="B1641" t="s">
        <v>3426</v>
      </c>
      <c r="D1641" t="s">
        <v>36</v>
      </c>
      <c r="F1641" s="1">
        <v>44051</v>
      </c>
      <c r="G1641">
        <v>2007</v>
      </c>
      <c r="I1641" t="s">
        <v>56</v>
      </c>
      <c r="J1641" t="s">
        <v>133</v>
      </c>
      <c r="K1641">
        <v>9.3000000000000007</v>
      </c>
      <c r="L1641">
        <v>11600127</v>
      </c>
      <c r="M1641">
        <v>619642</v>
      </c>
      <c r="N1641">
        <v>91</v>
      </c>
      <c r="O1641" t="s">
        <v>24</v>
      </c>
      <c r="P1641" t="s">
        <v>42</v>
      </c>
    </row>
    <row r="1642" spans="1:16" x14ac:dyDescent="0.35">
      <c r="A1642" t="s">
        <v>3427</v>
      </c>
      <c r="B1642" t="s">
        <v>3428</v>
      </c>
      <c r="C1642" t="s">
        <v>53</v>
      </c>
      <c r="D1642" t="s">
        <v>54</v>
      </c>
      <c r="E1642" t="s">
        <v>131</v>
      </c>
      <c r="F1642" s="1">
        <v>44931</v>
      </c>
      <c r="G1642">
        <v>2004</v>
      </c>
      <c r="H1642" t="s">
        <v>114</v>
      </c>
      <c r="I1642" t="s">
        <v>95</v>
      </c>
      <c r="K1642">
        <v>5.4</v>
      </c>
      <c r="L1642">
        <v>6146935</v>
      </c>
      <c r="M1642">
        <v>204900</v>
      </c>
      <c r="N1642">
        <v>71</v>
      </c>
      <c r="O1642" t="s">
        <v>65</v>
      </c>
      <c r="P1642" t="s">
        <v>42</v>
      </c>
    </row>
    <row r="1643" spans="1:16" x14ac:dyDescent="0.35">
      <c r="A1643" t="s">
        <v>3429</v>
      </c>
      <c r="B1643" t="s">
        <v>3430</v>
      </c>
      <c r="C1643" t="s">
        <v>84</v>
      </c>
      <c r="E1643" t="s">
        <v>165</v>
      </c>
      <c r="F1643" s="1">
        <v>43972</v>
      </c>
      <c r="G1643">
        <v>2018</v>
      </c>
      <c r="H1643" t="s">
        <v>107</v>
      </c>
      <c r="I1643" t="s">
        <v>1975</v>
      </c>
      <c r="J1643" t="s">
        <v>72</v>
      </c>
      <c r="K1643">
        <v>8.4</v>
      </c>
      <c r="L1643">
        <v>4644937</v>
      </c>
      <c r="M1643">
        <v>3812819</v>
      </c>
      <c r="N1643">
        <v>45</v>
      </c>
      <c r="O1643" t="s">
        <v>91</v>
      </c>
      <c r="P1643" t="s">
        <v>87</v>
      </c>
    </row>
    <row r="1644" spans="1:16" x14ac:dyDescent="0.35">
      <c r="A1644" t="s">
        <v>3431</v>
      </c>
      <c r="B1644" t="s">
        <v>3432</v>
      </c>
      <c r="D1644" t="s">
        <v>61</v>
      </c>
      <c r="E1644" t="s">
        <v>45</v>
      </c>
      <c r="F1644" s="1">
        <v>42660</v>
      </c>
      <c r="G1644">
        <v>2019</v>
      </c>
      <c r="H1644" t="s">
        <v>21</v>
      </c>
      <c r="I1644" t="s">
        <v>56</v>
      </c>
      <c r="J1644" t="s">
        <v>48</v>
      </c>
      <c r="K1644">
        <v>5.8</v>
      </c>
      <c r="L1644">
        <v>4045996</v>
      </c>
      <c r="M1644">
        <v>194255</v>
      </c>
      <c r="N1644">
        <v>56</v>
      </c>
      <c r="O1644" t="s">
        <v>104</v>
      </c>
      <c r="P1644" t="s">
        <v>50</v>
      </c>
    </row>
    <row r="1645" spans="1:16" x14ac:dyDescent="0.35">
      <c r="A1645" t="s">
        <v>3433</v>
      </c>
      <c r="B1645" t="s">
        <v>3434</v>
      </c>
      <c r="C1645" t="s">
        <v>53</v>
      </c>
      <c r="D1645" t="s">
        <v>27</v>
      </c>
      <c r="E1645" t="s">
        <v>69</v>
      </c>
      <c r="F1645" s="1">
        <v>42291</v>
      </c>
      <c r="G1645">
        <v>2002</v>
      </c>
      <c r="H1645" t="s">
        <v>107</v>
      </c>
      <c r="I1645" t="s">
        <v>162</v>
      </c>
      <c r="J1645" t="s">
        <v>23</v>
      </c>
      <c r="K1645">
        <v>7.6</v>
      </c>
      <c r="L1645">
        <v>10054895</v>
      </c>
      <c r="M1645">
        <v>42331</v>
      </c>
      <c r="N1645">
        <v>43</v>
      </c>
      <c r="O1645" t="s">
        <v>91</v>
      </c>
      <c r="P1645" t="s">
        <v>87</v>
      </c>
    </row>
    <row r="1646" spans="1:16" x14ac:dyDescent="0.35">
      <c r="A1646" t="s">
        <v>3435</v>
      </c>
      <c r="B1646" t="s">
        <v>3436</v>
      </c>
      <c r="C1646" t="s">
        <v>53</v>
      </c>
      <c r="D1646" t="s">
        <v>27</v>
      </c>
      <c r="E1646" t="s">
        <v>37</v>
      </c>
      <c r="F1646" s="1">
        <v>45980</v>
      </c>
      <c r="G1646">
        <v>2007</v>
      </c>
      <c r="H1646" t="s">
        <v>63</v>
      </c>
      <c r="I1646" t="s">
        <v>56</v>
      </c>
      <c r="J1646" t="s">
        <v>96</v>
      </c>
      <c r="K1646">
        <v>7.2</v>
      </c>
      <c r="L1646">
        <v>8050593</v>
      </c>
      <c r="M1646">
        <v>4855902</v>
      </c>
      <c r="N1646">
        <v>43</v>
      </c>
      <c r="O1646" t="s">
        <v>31</v>
      </c>
      <c r="P1646" t="s">
        <v>42</v>
      </c>
    </row>
    <row r="1647" spans="1:16" x14ac:dyDescent="0.35">
      <c r="A1647" t="s">
        <v>3437</v>
      </c>
      <c r="B1647" t="s">
        <v>3438</v>
      </c>
      <c r="F1647" s="1">
        <v>42671</v>
      </c>
      <c r="G1647">
        <v>2006</v>
      </c>
      <c r="H1647" t="s">
        <v>107</v>
      </c>
      <c r="I1647" t="s">
        <v>64</v>
      </c>
      <c r="J1647" t="s">
        <v>23</v>
      </c>
      <c r="K1647">
        <v>4.7</v>
      </c>
      <c r="L1647">
        <v>23349398</v>
      </c>
      <c r="M1647">
        <v>3241756</v>
      </c>
      <c r="N1647">
        <v>83</v>
      </c>
      <c r="O1647" t="s">
        <v>31</v>
      </c>
      <c r="P1647" t="s">
        <v>42</v>
      </c>
    </row>
    <row r="1648" spans="1:16" x14ac:dyDescent="0.35">
      <c r="A1648" t="s">
        <v>3439</v>
      </c>
      <c r="B1648" t="s">
        <v>3440</v>
      </c>
      <c r="C1648" t="s">
        <v>18</v>
      </c>
      <c r="D1648" t="s">
        <v>27</v>
      </c>
      <c r="E1648" t="s">
        <v>28</v>
      </c>
      <c r="F1648" s="1">
        <v>45105</v>
      </c>
      <c r="G1648">
        <v>2025</v>
      </c>
      <c r="H1648" t="s">
        <v>107</v>
      </c>
      <c r="I1648" t="s">
        <v>287</v>
      </c>
      <c r="J1648" t="s">
        <v>57</v>
      </c>
      <c r="K1648">
        <v>9.6</v>
      </c>
      <c r="L1648">
        <v>22559872</v>
      </c>
      <c r="M1648">
        <v>4978573</v>
      </c>
      <c r="N1648">
        <v>98</v>
      </c>
      <c r="O1648" t="s">
        <v>49</v>
      </c>
      <c r="P1648" t="s">
        <v>42</v>
      </c>
    </row>
    <row r="1649" spans="1:16" x14ac:dyDescent="0.35">
      <c r="A1649" t="s">
        <v>3441</v>
      </c>
      <c r="B1649" t="s">
        <v>3442</v>
      </c>
      <c r="D1649" t="s">
        <v>94</v>
      </c>
      <c r="E1649" t="s">
        <v>131</v>
      </c>
      <c r="F1649" s="1">
        <v>43880</v>
      </c>
      <c r="G1649">
        <v>2020</v>
      </c>
      <c r="H1649" t="s">
        <v>121</v>
      </c>
      <c r="I1649" t="s">
        <v>56</v>
      </c>
      <c r="J1649" t="s">
        <v>40</v>
      </c>
      <c r="K1649">
        <v>6.6</v>
      </c>
      <c r="L1649">
        <v>1689194</v>
      </c>
      <c r="M1649">
        <v>3843255</v>
      </c>
      <c r="N1649">
        <v>83</v>
      </c>
      <c r="O1649" t="s">
        <v>123</v>
      </c>
    </row>
    <row r="1650" spans="1:16" x14ac:dyDescent="0.35">
      <c r="A1650" t="s">
        <v>3443</v>
      </c>
      <c r="B1650" t="s">
        <v>3444</v>
      </c>
      <c r="C1650" t="s">
        <v>84</v>
      </c>
      <c r="D1650" t="s">
        <v>156</v>
      </c>
      <c r="E1650" t="s">
        <v>80</v>
      </c>
      <c r="F1650" s="1">
        <v>43845</v>
      </c>
      <c r="G1650">
        <v>2018</v>
      </c>
      <c r="H1650" t="s">
        <v>121</v>
      </c>
      <c r="I1650" t="s">
        <v>397</v>
      </c>
      <c r="J1650" t="s">
        <v>76</v>
      </c>
      <c r="K1650">
        <v>5.4</v>
      </c>
      <c r="L1650">
        <v>21491994</v>
      </c>
      <c r="M1650">
        <v>2657959</v>
      </c>
      <c r="N1650">
        <v>98</v>
      </c>
      <c r="O1650" t="s">
        <v>91</v>
      </c>
      <c r="P1650" t="s">
        <v>50</v>
      </c>
    </row>
    <row r="1651" spans="1:16" x14ac:dyDescent="0.35">
      <c r="A1651" t="s">
        <v>3445</v>
      </c>
      <c r="B1651" t="s">
        <v>3446</v>
      </c>
      <c r="C1651" t="s">
        <v>53</v>
      </c>
      <c r="D1651" t="s">
        <v>61</v>
      </c>
      <c r="E1651" t="s">
        <v>131</v>
      </c>
      <c r="F1651" s="1">
        <v>43122</v>
      </c>
      <c r="G1651">
        <v>2020</v>
      </c>
      <c r="H1651" t="s">
        <v>81</v>
      </c>
      <c r="I1651" t="s">
        <v>64</v>
      </c>
      <c r="J1651" t="s">
        <v>103</v>
      </c>
      <c r="K1651">
        <v>4.8</v>
      </c>
      <c r="L1651">
        <v>22258875</v>
      </c>
      <c r="M1651">
        <v>3181862</v>
      </c>
      <c r="N1651">
        <v>51</v>
      </c>
      <c r="P1651" t="s">
        <v>50</v>
      </c>
    </row>
    <row r="1652" spans="1:16" x14ac:dyDescent="0.35">
      <c r="A1652" t="s">
        <v>3447</v>
      </c>
      <c r="B1652" t="s">
        <v>3446</v>
      </c>
      <c r="C1652" t="s">
        <v>84</v>
      </c>
      <c r="D1652" t="s">
        <v>68</v>
      </c>
      <c r="E1652" t="s">
        <v>45</v>
      </c>
      <c r="F1652" s="1">
        <v>43794</v>
      </c>
      <c r="G1652">
        <v>2001</v>
      </c>
      <c r="H1652" t="s">
        <v>21</v>
      </c>
      <c r="I1652" t="s">
        <v>1005</v>
      </c>
      <c r="J1652" t="s">
        <v>96</v>
      </c>
      <c r="K1652">
        <v>8.6999999999999993</v>
      </c>
      <c r="L1652">
        <v>13660381</v>
      </c>
      <c r="M1652">
        <v>3399980</v>
      </c>
      <c r="N1652">
        <v>97</v>
      </c>
      <c r="O1652" t="s">
        <v>65</v>
      </c>
      <c r="P1652" t="s">
        <v>42</v>
      </c>
    </row>
    <row r="1653" spans="1:16" x14ac:dyDescent="0.35">
      <c r="A1653" t="s">
        <v>3448</v>
      </c>
      <c r="B1653" t="s">
        <v>3449</v>
      </c>
      <c r="C1653" t="s">
        <v>79</v>
      </c>
      <c r="D1653" t="s">
        <v>54</v>
      </c>
      <c r="E1653" t="s">
        <v>28</v>
      </c>
      <c r="F1653" s="1">
        <v>45120</v>
      </c>
      <c r="G1653">
        <v>2020</v>
      </c>
      <c r="H1653" t="s">
        <v>107</v>
      </c>
      <c r="I1653" t="s">
        <v>47</v>
      </c>
      <c r="J1653" t="s">
        <v>23</v>
      </c>
      <c r="K1653">
        <v>7.9</v>
      </c>
      <c r="L1653">
        <v>20897702</v>
      </c>
      <c r="M1653">
        <v>4589832</v>
      </c>
      <c r="N1653">
        <v>59</v>
      </c>
      <c r="P1653" t="s">
        <v>32</v>
      </c>
    </row>
    <row r="1654" spans="1:16" x14ac:dyDescent="0.35">
      <c r="A1654" t="s">
        <v>3450</v>
      </c>
      <c r="B1654" t="s">
        <v>3451</v>
      </c>
      <c r="F1654" s="1">
        <v>46041</v>
      </c>
      <c r="G1654">
        <v>2023</v>
      </c>
      <c r="H1654" t="s">
        <v>85</v>
      </c>
      <c r="I1654" t="s">
        <v>162</v>
      </c>
      <c r="J1654" t="s">
        <v>76</v>
      </c>
      <c r="K1654">
        <v>7</v>
      </c>
      <c r="L1654">
        <v>18891037</v>
      </c>
      <c r="M1654">
        <v>1203438</v>
      </c>
      <c r="N1654">
        <v>77</v>
      </c>
      <c r="O1654" t="s">
        <v>24</v>
      </c>
      <c r="P1654" t="s">
        <v>50</v>
      </c>
    </row>
    <row r="1655" spans="1:16" x14ac:dyDescent="0.35">
      <c r="A1655" t="s">
        <v>3452</v>
      </c>
      <c r="B1655" t="s">
        <v>3453</v>
      </c>
      <c r="D1655" t="s">
        <v>27</v>
      </c>
      <c r="E1655" t="s">
        <v>37</v>
      </c>
      <c r="F1655" s="1">
        <v>46061</v>
      </c>
      <c r="G1655">
        <v>2022</v>
      </c>
      <c r="H1655" t="s">
        <v>63</v>
      </c>
      <c r="I1655" t="s">
        <v>71</v>
      </c>
      <c r="J1655" t="s">
        <v>76</v>
      </c>
      <c r="K1655">
        <v>7</v>
      </c>
      <c r="L1655">
        <v>6104905</v>
      </c>
      <c r="M1655">
        <v>4301217</v>
      </c>
      <c r="N1655">
        <v>43</v>
      </c>
      <c r="O1655" t="s">
        <v>58</v>
      </c>
      <c r="P1655" t="s">
        <v>87</v>
      </c>
    </row>
    <row r="1656" spans="1:16" x14ac:dyDescent="0.35">
      <c r="A1656" t="s">
        <v>3454</v>
      </c>
      <c r="B1656" t="s">
        <v>3455</v>
      </c>
      <c r="C1656" t="s">
        <v>35</v>
      </c>
      <c r="D1656" t="s">
        <v>54</v>
      </c>
      <c r="E1656" t="s">
        <v>99</v>
      </c>
      <c r="F1656" s="1">
        <v>44495</v>
      </c>
      <c r="G1656">
        <v>2013</v>
      </c>
      <c r="H1656" t="s">
        <v>63</v>
      </c>
      <c r="I1656" t="s">
        <v>136</v>
      </c>
      <c r="J1656" t="s">
        <v>48</v>
      </c>
      <c r="K1656">
        <v>7.1</v>
      </c>
      <c r="L1656">
        <v>347670</v>
      </c>
      <c r="M1656">
        <v>1637020</v>
      </c>
      <c r="N1656">
        <v>72</v>
      </c>
      <c r="O1656" t="s">
        <v>91</v>
      </c>
      <c r="P1656" t="s">
        <v>50</v>
      </c>
    </row>
    <row r="1657" spans="1:16" x14ac:dyDescent="0.35">
      <c r="A1657" t="s">
        <v>3456</v>
      </c>
      <c r="B1657" t="s">
        <v>3457</v>
      </c>
      <c r="C1657" t="s">
        <v>18</v>
      </c>
      <c r="E1657" t="s">
        <v>55</v>
      </c>
      <c r="F1657" s="1">
        <v>44322</v>
      </c>
      <c r="G1657">
        <v>2005</v>
      </c>
      <c r="H1657" t="s">
        <v>81</v>
      </c>
      <c r="I1657" t="s">
        <v>717</v>
      </c>
      <c r="J1657" t="s">
        <v>48</v>
      </c>
      <c r="K1657">
        <v>7.5</v>
      </c>
      <c r="L1657">
        <v>6460051</v>
      </c>
      <c r="M1657">
        <v>2938742</v>
      </c>
      <c r="N1657">
        <v>60</v>
      </c>
      <c r="O1657" t="s">
        <v>41</v>
      </c>
      <c r="P1657" t="s">
        <v>32</v>
      </c>
    </row>
    <row r="1658" spans="1:16" x14ac:dyDescent="0.35">
      <c r="A1658" t="s">
        <v>3458</v>
      </c>
      <c r="B1658" t="s">
        <v>3459</v>
      </c>
      <c r="C1658" t="s">
        <v>53</v>
      </c>
      <c r="D1658" t="s">
        <v>54</v>
      </c>
      <c r="E1658" t="s">
        <v>113</v>
      </c>
      <c r="F1658" s="1">
        <v>44850</v>
      </c>
      <c r="G1658">
        <v>2032</v>
      </c>
      <c r="H1658" t="s">
        <v>70</v>
      </c>
      <c r="I1658" t="s">
        <v>39</v>
      </c>
      <c r="J1658" t="s">
        <v>48</v>
      </c>
      <c r="K1658">
        <v>6.1</v>
      </c>
      <c r="L1658">
        <v>9808730</v>
      </c>
      <c r="M1658">
        <v>3218767</v>
      </c>
      <c r="N1658">
        <v>42</v>
      </c>
      <c r="O1658" t="s">
        <v>41</v>
      </c>
    </row>
    <row r="1659" spans="1:16" x14ac:dyDescent="0.35">
      <c r="A1659" t="s">
        <v>3460</v>
      </c>
      <c r="B1659" t="s">
        <v>3461</v>
      </c>
      <c r="C1659" t="s">
        <v>79</v>
      </c>
      <c r="E1659" t="s">
        <v>20</v>
      </c>
      <c r="F1659" s="1">
        <v>45981</v>
      </c>
      <c r="G1659">
        <v>2005</v>
      </c>
      <c r="H1659" t="s">
        <v>38</v>
      </c>
      <c r="I1659" t="s">
        <v>966</v>
      </c>
      <c r="J1659" t="s">
        <v>48</v>
      </c>
      <c r="K1659">
        <v>4.5999999999999996</v>
      </c>
      <c r="L1659">
        <v>24493951</v>
      </c>
      <c r="M1659">
        <v>1269670</v>
      </c>
      <c r="N1659">
        <v>66</v>
      </c>
      <c r="O1659" t="s">
        <v>58</v>
      </c>
    </row>
    <row r="1660" spans="1:16" x14ac:dyDescent="0.35">
      <c r="A1660" t="s">
        <v>3462</v>
      </c>
      <c r="B1660" t="s">
        <v>3463</v>
      </c>
      <c r="C1660" t="s">
        <v>79</v>
      </c>
      <c r="D1660" t="s">
        <v>94</v>
      </c>
      <c r="E1660" t="s">
        <v>55</v>
      </c>
      <c r="F1660" s="1">
        <v>42625</v>
      </c>
      <c r="G1660">
        <v>2023</v>
      </c>
      <c r="H1660" t="s">
        <v>85</v>
      </c>
      <c r="I1660" t="s">
        <v>236</v>
      </c>
      <c r="J1660" t="s">
        <v>30</v>
      </c>
      <c r="K1660">
        <v>6.4</v>
      </c>
      <c r="L1660">
        <v>2482215</v>
      </c>
      <c r="M1660">
        <v>839089</v>
      </c>
      <c r="N1660">
        <v>84</v>
      </c>
      <c r="O1660" t="s">
        <v>24</v>
      </c>
    </row>
    <row r="1661" spans="1:16" x14ac:dyDescent="0.35">
      <c r="A1661" t="s">
        <v>3464</v>
      </c>
      <c r="B1661" t="s">
        <v>3465</v>
      </c>
      <c r="C1661" t="s">
        <v>35</v>
      </c>
      <c r="D1661" t="s">
        <v>27</v>
      </c>
      <c r="E1661" t="s">
        <v>62</v>
      </c>
      <c r="F1661" s="1">
        <v>45380</v>
      </c>
      <c r="G1661">
        <v>2006</v>
      </c>
      <c r="H1661" t="s">
        <v>114</v>
      </c>
      <c r="I1661" t="s">
        <v>56</v>
      </c>
      <c r="J1661" t="s">
        <v>103</v>
      </c>
      <c r="K1661">
        <v>7.1</v>
      </c>
      <c r="L1661">
        <v>1927002</v>
      </c>
      <c r="M1661">
        <v>4911121</v>
      </c>
      <c r="N1661">
        <v>53</v>
      </c>
      <c r="O1661" t="s">
        <v>104</v>
      </c>
    </row>
    <row r="1662" spans="1:16" x14ac:dyDescent="0.35">
      <c r="A1662" t="s">
        <v>3466</v>
      </c>
      <c r="B1662" t="s">
        <v>3467</v>
      </c>
      <c r="C1662" t="s">
        <v>35</v>
      </c>
      <c r="E1662" t="s">
        <v>55</v>
      </c>
      <c r="F1662" s="1">
        <v>44699</v>
      </c>
      <c r="G1662">
        <v>2005</v>
      </c>
      <c r="H1662" t="s">
        <v>85</v>
      </c>
      <c r="I1662" t="s">
        <v>56</v>
      </c>
      <c r="J1662" t="s">
        <v>23</v>
      </c>
      <c r="K1662">
        <v>7</v>
      </c>
      <c r="L1662">
        <v>8684392</v>
      </c>
      <c r="M1662">
        <v>4676947</v>
      </c>
      <c r="N1662">
        <v>53</v>
      </c>
      <c r="P1662" t="s">
        <v>87</v>
      </c>
    </row>
    <row r="1663" spans="1:16" x14ac:dyDescent="0.35">
      <c r="A1663" t="s">
        <v>3468</v>
      </c>
      <c r="B1663" t="s">
        <v>3469</v>
      </c>
      <c r="C1663" t="s">
        <v>35</v>
      </c>
      <c r="D1663" t="s">
        <v>90</v>
      </c>
      <c r="E1663" t="s">
        <v>55</v>
      </c>
      <c r="F1663" s="1">
        <v>46005</v>
      </c>
      <c r="G1663">
        <v>2005</v>
      </c>
      <c r="H1663" t="s">
        <v>121</v>
      </c>
      <c r="I1663" t="s">
        <v>95</v>
      </c>
      <c r="J1663" t="s">
        <v>76</v>
      </c>
      <c r="K1663">
        <v>9.6999999999999993</v>
      </c>
      <c r="L1663">
        <v>24245426</v>
      </c>
      <c r="M1663">
        <v>4260828</v>
      </c>
      <c r="N1663">
        <v>43</v>
      </c>
      <c r="P1663" t="s">
        <v>87</v>
      </c>
    </row>
    <row r="1664" spans="1:16" x14ac:dyDescent="0.35">
      <c r="A1664" t="s">
        <v>3470</v>
      </c>
      <c r="B1664" t="s">
        <v>3471</v>
      </c>
      <c r="C1664" t="s">
        <v>35</v>
      </c>
      <c r="D1664" t="s">
        <v>36</v>
      </c>
      <c r="E1664" t="s">
        <v>62</v>
      </c>
      <c r="F1664" s="1">
        <v>42213</v>
      </c>
      <c r="G1664">
        <v>2013</v>
      </c>
      <c r="H1664" t="s">
        <v>21</v>
      </c>
      <c r="I1664" t="s">
        <v>118</v>
      </c>
      <c r="J1664" t="s">
        <v>40</v>
      </c>
      <c r="K1664">
        <v>5.8</v>
      </c>
      <c r="L1664">
        <v>1645024</v>
      </c>
      <c r="M1664">
        <v>1335384</v>
      </c>
      <c r="N1664">
        <v>52</v>
      </c>
      <c r="O1664" t="s">
        <v>65</v>
      </c>
      <c r="P1664" t="s">
        <v>32</v>
      </c>
    </row>
    <row r="1665" spans="1:16" x14ac:dyDescent="0.35">
      <c r="A1665" t="s">
        <v>3472</v>
      </c>
      <c r="B1665" t="s">
        <v>3473</v>
      </c>
      <c r="C1665" t="s">
        <v>35</v>
      </c>
      <c r="D1665" t="s">
        <v>36</v>
      </c>
      <c r="E1665" t="s">
        <v>28</v>
      </c>
      <c r="F1665" s="1">
        <v>45589</v>
      </c>
      <c r="G1665">
        <v>2015</v>
      </c>
      <c r="H1665" t="s">
        <v>114</v>
      </c>
      <c r="I1665" t="s">
        <v>136</v>
      </c>
      <c r="J1665" t="s">
        <v>23</v>
      </c>
      <c r="K1665">
        <v>8.5</v>
      </c>
      <c r="L1665">
        <v>8623189</v>
      </c>
      <c r="M1665">
        <v>1136940</v>
      </c>
      <c r="N1665">
        <v>96</v>
      </c>
      <c r="O1665" t="s">
        <v>104</v>
      </c>
      <c r="P1665" t="s">
        <v>50</v>
      </c>
    </row>
    <row r="1666" spans="1:16" x14ac:dyDescent="0.35">
      <c r="A1666" t="s">
        <v>3474</v>
      </c>
      <c r="B1666" t="s">
        <v>3475</v>
      </c>
      <c r="C1666" t="s">
        <v>79</v>
      </c>
      <c r="D1666" t="s">
        <v>94</v>
      </c>
      <c r="F1666" s="1">
        <v>43265</v>
      </c>
      <c r="G1666">
        <v>2002</v>
      </c>
      <c r="H1666" t="s">
        <v>114</v>
      </c>
      <c r="I1666" t="s">
        <v>312</v>
      </c>
      <c r="J1666" t="s">
        <v>48</v>
      </c>
      <c r="K1666">
        <v>9.6</v>
      </c>
      <c r="L1666">
        <v>19500811</v>
      </c>
      <c r="M1666">
        <v>3141815</v>
      </c>
      <c r="N1666">
        <v>99</v>
      </c>
      <c r="P1666" t="s">
        <v>50</v>
      </c>
    </row>
    <row r="1667" spans="1:16" x14ac:dyDescent="0.35">
      <c r="A1667" t="s">
        <v>3476</v>
      </c>
      <c r="B1667" t="s">
        <v>3477</v>
      </c>
      <c r="C1667" t="s">
        <v>79</v>
      </c>
      <c r="E1667" t="s">
        <v>20</v>
      </c>
      <c r="F1667" s="1">
        <v>43250</v>
      </c>
      <c r="G1667">
        <v>2015</v>
      </c>
      <c r="H1667" t="s">
        <v>46</v>
      </c>
      <c r="I1667" t="s">
        <v>320</v>
      </c>
      <c r="J1667" t="s">
        <v>76</v>
      </c>
      <c r="K1667">
        <v>6.8</v>
      </c>
      <c r="L1667">
        <v>11093736</v>
      </c>
      <c r="M1667">
        <v>4391577</v>
      </c>
      <c r="N1667">
        <v>83</v>
      </c>
      <c r="O1667" t="s">
        <v>91</v>
      </c>
      <c r="P1667" t="s">
        <v>50</v>
      </c>
    </row>
    <row r="1668" spans="1:16" x14ac:dyDescent="0.35">
      <c r="A1668" t="s">
        <v>3478</v>
      </c>
      <c r="B1668" t="s">
        <v>3479</v>
      </c>
      <c r="D1668" t="s">
        <v>19</v>
      </c>
      <c r="E1668" t="s">
        <v>45</v>
      </c>
      <c r="F1668" s="1">
        <v>42032</v>
      </c>
      <c r="G1668">
        <v>2012</v>
      </c>
      <c r="I1668" t="s">
        <v>56</v>
      </c>
      <c r="J1668" t="s">
        <v>100</v>
      </c>
      <c r="K1668">
        <v>5.4</v>
      </c>
      <c r="L1668">
        <v>8519546</v>
      </c>
      <c r="M1668">
        <v>469975</v>
      </c>
      <c r="N1668">
        <v>55</v>
      </c>
      <c r="O1668" t="s">
        <v>91</v>
      </c>
      <c r="P1668" t="s">
        <v>42</v>
      </c>
    </row>
    <row r="1669" spans="1:16" x14ac:dyDescent="0.35">
      <c r="A1669" t="s">
        <v>3480</v>
      </c>
      <c r="B1669" t="s">
        <v>3481</v>
      </c>
      <c r="C1669" t="s">
        <v>53</v>
      </c>
      <c r="D1669" t="s">
        <v>27</v>
      </c>
      <c r="E1669" t="s">
        <v>80</v>
      </c>
      <c r="F1669" s="1">
        <v>43124</v>
      </c>
      <c r="G1669">
        <v>2000</v>
      </c>
      <c r="I1669" t="s">
        <v>56</v>
      </c>
      <c r="J1669" t="s">
        <v>133</v>
      </c>
      <c r="K1669">
        <v>6.5</v>
      </c>
      <c r="L1669">
        <v>19823819</v>
      </c>
      <c r="M1669">
        <v>1883553</v>
      </c>
      <c r="N1669">
        <v>53</v>
      </c>
      <c r="O1669" t="s">
        <v>91</v>
      </c>
    </row>
    <row r="1670" spans="1:16" x14ac:dyDescent="0.35">
      <c r="A1670" t="s">
        <v>3482</v>
      </c>
      <c r="B1670" t="s">
        <v>3483</v>
      </c>
      <c r="C1670" t="s">
        <v>18</v>
      </c>
      <c r="D1670" t="s">
        <v>36</v>
      </c>
      <c r="E1670" t="s">
        <v>165</v>
      </c>
      <c r="F1670" s="1">
        <v>44670</v>
      </c>
      <c r="G1670">
        <v>2007</v>
      </c>
      <c r="H1670" t="s">
        <v>21</v>
      </c>
      <c r="I1670" t="s">
        <v>1171</v>
      </c>
      <c r="J1670" t="s">
        <v>30</v>
      </c>
      <c r="K1670">
        <v>8.1</v>
      </c>
      <c r="L1670">
        <v>10687857</v>
      </c>
      <c r="M1670">
        <v>4289848</v>
      </c>
      <c r="N1670">
        <v>62</v>
      </c>
      <c r="O1670" t="s">
        <v>123</v>
      </c>
    </row>
    <row r="1671" spans="1:16" x14ac:dyDescent="0.35">
      <c r="A1671" t="s">
        <v>3484</v>
      </c>
      <c r="B1671" t="s">
        <v>3485</v>
      </c>
      <c r="C1671" t="s">
        <v>84</v>
      </c>
      <c r="D1671" t="s">
        <v>94</v>
      </c>
      <c r="F1671" s="1">
        <v>43168</v>
      </c>
      <c r="G1671">
        <v>2000</v>
      </c>
      <c r="H1671" t="s">
        <v>21</v>
      </c>
      <c r="I1671" t="s">
        <v>2212</v>
      </c>
      <c r="J1671" t="s">
        <v>57</v>
      </c>
      <c r="K1671">
        <v>7.6</v>
      </c>
      <c r="L1671">
        <v>13412014</v>
      </c>
      <c r="M1671">
        <v>1392031</v>
      </c>
      <c r="N1671">
        <v>61</v>
      </c>
      <c r="P1671" t="s">
        <v>87</v>
      </c>
    </row>
    <row r="1672" spans="1:16" x14ac:dyDescent="0.35">
      <c r="A1672" t="s">
        <v>3486</v>
      </c>
      <c r="B1672" t="s">
        <v>3487</v>
      </c>
      <c r="C1672" t="s">
        <v>84</v>
      </c>
      <c r="D1672" t="s">
        <v>19</v>
      </c>
      <c r="F1672" s="1">
        <v>42803</v>
      </c>
      <c r="G1672">
        <v>2014</v>
      </c>
      <c r="H1672" t="s">
        <v>63</v>
      </c>
      <c r="I1672" t="s">
        <v>661</v>
      </c>
      <c r="J1672" t="s">
        <v>57</v>
      </c>
      <c r="K1672">
        <v>7.9</v>
      </c>
      <c r="L1672">
        <v>19824308</v>
      </c>
      <c r="M1672">
        <v>1249499</v>
      </c>
      <c r="N1672">
        <v>66</v>
      </c>
      <c r="O1672" t="s">
        <v>65</v>
      </c>
      <c r="P1672" t="s">
        <v>50</v>
      </c>
    </row>
    <row r="1673" spans="1:16" x14ac:dyDescent="0.35">
      <c r="A1673" t="s">
        <v>3488</v>
      </c>
      <c r="B1673" t="s">
        <v>3489</v>
      </c>
      <c r="C1673" t="s">
        <v>53</v>
      </c>
      <c r="F1673" s="1">
        <v>43167</v>
      </c>
      <c r="G1673">
        <v>2018</v>
      </c>
      <c r="H1673" t="s">
        <v>107</v>
      </c>
      <c r="I1673" t="s">
        <v>95</v>
      </c>
      <c r="K1673">
        <v>8.4</v>
      </c>
      <c r="L1673">
        <v>18057001</v>
      </c>
      <c r="M1673">
        <v>3002122</v>
      </c>
      <c r="N1673">
        <v>92</v>
      </c>
      <c r="O1673" t="s">
        <v>91</v>
      </c>
    </row>
    <row r="1674" spans="1:16" x14ac:dyDescent="0.35">
      <c r="A1674" t="s">
        <v>3490</v>
      </c>
      <c r="B1674" t="s">
        <v>3491</v>
      </c>
      <c r="C1674" t="s">
        <v>18</v>
      </c>
      <c r="D1674" t="s">
        <v>156</v>
      </c>
      <c r="F1674" s="1">
        <v>44944</v>
      </c>
      <c r="G1674">
        <v>2005</v>
      </c>
      <c r="H1674" t="s">
        <v>81</v>
      </c>
      <c r="I1674" t="s">
        <v>1005</v>
      </c>
      <c r="J1674" t="s">
        <v>48</v>
      </c>
      <c r="K1674">
        <v>9.1999999999999993</v>
      </c>
      <c r="L1674">
        <v>20800360</v>
      </c>
      <c r="M1674">
        <v>4715514</v>
      </c>
      <c r="N1674">
        <v>64</v>
      </c>
      <c r="O1674" t="s">
        <v>58</v>
      </c>
      <c r="P1674" t="s">
        <v>50</v>
      </c>
    </row>
    <row r="1675" spans="1:16" x14ac:dyDescent="0.35">
      <c r="A1675" t="s">
        <v>3492</v>
      </c>
      <c r="B1675" t="s">
        <v>3493</v>
      </c>
      <c r="C1675" t="s">
        <v>84</v>
      </c>
      <c r="D1675" t="s">
        <v>94</v>
      </c>
      <c r="E1675" t="s">
        <v>28</v>
      </c>
      <c r="F1675" s="1">
        <v>44818</v>
      </c>
      <c r="G1675">
        <v>2007</v>
      </c>
      <c r="H1675" t="s">
        <v>38</v>
      </c>
      <c r="I1675" t="s">
        <v>366</v>
      </c>
      <c r="J1675" t="s">
        <v>96</v>
      </c>
      <c r="K1675">
        <v>8.8000000000000007</v>
      </c>
      <c r="L1675">
        <v>11693025</v>
      </c>
      <c r="M1675">
        <v>4539349</v>
      </c>
      <c r="N1675">
        <v>40</v>
      </c>
      <c r="O1675" t="s">
        <v>31</v>
      </c>
    </row>
    <row r="1676" spans="1:16" x14ac:dyDescent="0.35">
      <c r="A1676" t="s">
        <v>3494</v>
      </c>
      <c r="B1676" t="s">
        <v>3495</v>
      </c>
      <c r="C1676" t="s">
        <v>84</v>
      </c>
      <c r="F1676" s="1">
        <v>45920</v>
      </c>
      <c r="G1676">
        <v>2014</v>
      </c>
      <c r="H1676" t="s">
        <v>38</v>
      </c>
      <c r="I1676" t="s">
        <v>47</v>
      </c>
      <c r="J1676" t="s">
        <v>72</v>
      </c>
      <c r="K1676">
        <v>6.3</v>
      </c>
      <c r="L1676">
        <v>1004138</v>
      </c>
      <c r="M1676">
        <v>2135512</v>
      </c>
      <c r="N1676">
        <v>81</v>
      </c>
      <c r="O1676" t="s">
        <v>41</v>
      </c>
      <c r="P1676" t="s">
        <v>87</v>
      </c>
    </row>
    <row r="1677" spans="1:16" x14ac:dyDescent="0.35">
      <c r="A1677" t="s">
        <v>3496</v>
      </c>
      <c r="B1677" t="s">
        <v>3497</v>
      </c>
      <c r="C1677" t="s">
        <v>18</v>
      </c>
      <c r="D1677" t="s">
        <v>68</v>
      </c>
      <c r="F1677" s="1">
        <v>45612</v>
      </c>
      <c r="G1677">
        <v>2023</v>
      </c>
      <c r="H1677" t="s">
        <v>107</v>
      </c>
      <c r="I1677" t="s">
        <v>608</v>
      </c>
      <c r="J1677" t="s">
        <v>30</v>
      </c>
      <c r="K1677">
        <v>7.8</v>
      </c>
      <c r="L1677">
        <v>18560504</v>
      </c>
      <c r="M1677">
        <v>1190126</v>
      </c>
      <c r="N1677">
        <v>84</v>
      </c>
      <c r="O1677" t="s">
        <v>49</v>
      </c>
      <c r="P1677" t="s">
        <v>32</v>
      </c>
    </row>
    <row r="1678" spans="1:16" x14ac:dyDescent="0.35">
      <c r="A1678" t="s">
        <v>3498</v>
      </c>
      <c r="B1678" t="s">
        <v>3499</v>
      </c>
      <c r="C1678" t="s">
        <v>79</v>
      </c>
      <c r="D1678" t="s">
        <v>61</v>
      </c>
      <c r="E1678" t="s">
        <v>62</v>
      </c>
      <c r="F1678" s="1">
        <v>42545</v>
      </c>
      <c r="G1678">
        <v>2021</v>
      </c>
      <c r="H1678" t="s">
        <v>63</v>
      </c>
      <c r="I1678" t="s">
        <v>754</v>
      </c>
      <c r="J1678" t="s">
        <v>96</v>
      </c>
      <c r="K1678">
        <v>7.7</v>
      </c>
      <c r="L1678">
        <v>7607063</v>
      </c>
      <c r="M1678">
        <v>285036</v>
      </c>
      <c r="N1678">
        <v>85</v>
      </c>
      <c r="O1678" t="s">
        <v>49</v>
      </c>
    </row>
    <row r="1679" spans="1:16" x14ac:dyDescent="0.35">
      <c r="A1679" t="s">
        <v>3500</v>
      </c>
      <c r="B1679" t="s">
        <v>3501</v>
      </c>
      <c r="C1679" t="s">
        <v>53</v>
      </c>
      <c r="D1679" t="s">
        <v>156</v>
      </c>
      <c r="E1679" t="s">
        <v>28</v>
      </c>
      <c r="G1679">
        <v>2013</v>
      </c>
      <c r="H1679" t="s">
        <v>21</v>
      </c>
      <c r="I1679" t="s">
        <v>56</v>
      </c>
      <c r="J1679" t="s">
        <v>153</v>
      </c>
      <c r="K1679">
        <v>11.2</v>
      </c>
      <c r="L1679">
        <v>23941435</v>
      </c>
      <c r="M1679">
        <v>1637427</v>
      </c>
      <c r="N1679">
        <v>42</v>
      </c>
      <c r="O1679" t="s">
        <v>24</v>
      </c>
      <c r="P1679" t="s">
        <v>42</v>
      </c>
    </row>
    <row r="1680" spans="1:16" x14ac:dyDescent="0.35">
      <c r="A1680" t="s">
        <v>3502</v>
      </c>
      <c r="B1680" t="s">
        <v>3503</v>
      </c>
      <c r="D1680" t="s">
        <v>61</v>
      </c>
      <c r="E1680" t="s">
        <v>99</v>
      </c>
      <c r="F1680" s="1">
        <v>43491</v>
      </c>
      <c r="G1680">
        <v>2005</v>
      </c>
      <c r="H1680" t="s">
        <v>85</v>
      </c>
      <c r="J1680" t="s">
        <v>133</v>
      </c>
      <c r="K1680">
        <v>6.8</v>
      </c>
      <c r="L1680">
        <v>12966049</v>
      </c>
      <c r="M1680">
        <v>1123693</v>
      </c>
      <c r="N1680">
        <v>70</v>
      </c>
      <c r="O1680" t="s">
        <v>123</v>
      </c>
      <c r="P1680" t="s">
        <v>42</v>
      </c>
    </row>
    <row r="1681" spans="1:16" x14ac:dyDescent="0.35">
      <c r="A1681" t="s">
        <v>3504</v>
      </c>
      <c r="B1681" t="s">
        <v>3505</v>
      </c>
      <c r="C1681" t="s">
        <v>79</v>
      </c>
      <c r="D1681" t="s">
        <v>36</v>
      </c>
      <c r="E1681" t="s">
        <v>37</v>
      </c>
      <c r="F1681" s="1">
        <v>45764</v>
      </c>
      <c r="G1681">
        <v>2017</v>
      </c>
      <c r="H1681" t="s">
        <v>81</v>
      </c>
      <c r="I1681" t="s">
        <v>963</v>
      </c>
      <c r="J1681" t="s">
        <v>100</v>
      </c>
      <c r="K1681">
        <v>8.8000000000000007</v>
      </c>
      <c r="L1681">
        <v>13802111</v>
      </c>
      <c r="M1681">
        <v>1265654</v>
      </c>
      <c r="N1681">
        <v>43</v>
      </c>
      <c r="O1681" t="s">
        <v>31</v>
      </c>
      <c r="P1681" t="s">
        <v>50</v>
      </c>
    </row>
    <row r="1682" spans="1:16" x14ac:dyDescent="0.35">
      <c r="A1682" t="s">
        <v>3506</v>
      </c>
      <c r="B1682" t="s">
        <v>3507</v>
      </c>
      <c r="D1682" t="s">
        <v>27</v>
      </c>
      <c r="E1682" t="s">
        <v>99</v>
      </c>
      <c r="F1682" s="1">
        <v>45234</v>
      </c>
      <c r="G1682">
        <v>2020</v>
      </c>
      <c r="H1682" t="s">
        <v>63</v>
      </c>
      <c r="I1682" t="s">
        <v>71</v>
      </c>
      <c r="J1682" t="s">
        <v>30</v>
      </c>
      <c r="K1682">
        <v>9.4</v>
      </c>
      <c r="L1682">
        <v>7390604</v>
      </c>
      <c r="M1682">
        <v>5007</v>
      </c>
      <c r="N1682">
        <v>69</v>
      </c>
      <c r="O1682" t="s">
        <v>91</v>
      </c>
      <c r="P1682" t="s">
        <v>87</v>
      </c>
    </row>
    <row r="1683" spans="1:16" x14ac:dyDescent="0.35">
      <c r="A1683" t="s">
        <v>3508</v>
      </c>
      <c r="B1683" t="s">
        <v>3509</v>
      </c>
      <c r="D1683" t="s">
        <v>90</v>
      </c>
      <c r="E1683" t="s">
        <v>45</v>
      </c>
      <c r="F1683" s="1">
        <v>44057</v>
      </c>
      <c r="G1683">
        <v>2003</v>
      </c>
      <c r="I1683" t="s">
        <v>136</v>
      </c>
      <c r="J1683" t="s">
        <v>76</v>
      </c>
      <c r="K1683">
        <v>9.4</v>
      </c>
      <c r="L1683">
        <v>13371186</v>
      </c>
      <c r="M1683">
        <v>4981041</v>
      </c>
      <c r="N1683">
        <v>70</v>
      </c>
      <c r="O1683" t="s">
        <v>31</v>
      </c>
      <c r="P1683" t="s">
        <v>32</v>
      </c>
    </row>
    <row r="1684" spans="1:16" x14ac:dyDescent="0.35">
      <c r="A1684" t="s">
        <v>3510</v>
      </c>
      <c r="B1684" t="s">
        <v>3511</v>
      </c>
      <c r="E1684" t="s">
        <v>37</v>
      </c>
      <c r="F1684" s="1">
        <v>43450</v>
      </c>
      <c r="G1684">
        <v>2014</v>
      </c>
      <c r="H1684" t="s">
        <v>85</v>
      </c>
      <c r="I1684" t="s">
        <v>162</v>
      </c>
      <c r="K1684">
        <v>6.4</v>
      </c>
      <c r="L1684">
        <v>14942223</v>
      </c>
      <c r="M1684">
        <v>4200866</v>
      </c>
      <c r="N1684">
        <v>49</v>
      </c>
      <c r="O1684" t="s">
        <v>65</v>
      </c>
      <c r="P1684" t="s">
        <v>87</v>
      </c>
    </row>
    <row r="1685" spans="1:16" x14ac:dyDescent="0.35">
      <c r="A1685" t="s">
        <v>3512</v>
      </c>
      <c r="B1685" t="s">
        <v>3513</v>
      </c>
      <c r="C1685" t="s">
        <v>84</v>
      </c>
      <c r="E1685" t="s">
        <v>37</v>
      </c>
      <c r="F1685" s="1">
        <v>44835</v>
      </c>
      <c r="G1685">
        <v>2000</v>
      </c>
      <c r="H1685" t="s">
        <v>114</v>
      </c>
      <c r="I1685" t="s">
        <v>336</v>
      </c>
      <c r="J1685" t="s">
        <v>76</v>
      </c>
      <c r="K1685">
        <v>9.6</v>
      </c>
      <c r="L1685">
        <v>8086540</v>
      </c>
      <c r="M1685">
        <v>1004267</v>
      </c>
      <c r="N1685">
        <v>98</v>
      </c>
      <c r="O1685" t="s">
        <v>31</v>
      </c>
      <c r="P1685" t="s">
        <v>50</v>
      </c>
    </row>
    <row r="1686" spans="1:16" x14ac:dyDescent="0.35">
      <c r="A1686" t="s">
        <v>3514</v>
      </c>
      <c r="B1686" t="s">
        <v>3515</v>
      </c>
      <c r="C1686" t="s">
        <v>18</v>
      </c>
      <c r="E1686" t="s">
        <v>20</v>
      </c>
      <c r="F1686" s="1">
        <v>46142</v>
      </c>
      <c r="G1686">
        <v>2020</v>
      </c>
      <c r="H1686" t="s">
        <v>121</v>
      </c>
      <c r="I1686" t="s">
        <v>661</v>
      </c>
      <c r="J1686" t="s">
        <v>23</v>
      </c>
      <c r="K1686">
        <v>7.1</v>
      </c>
      <c r="L1686">
        <v>18982633</v>
      </c>
      <c r="M1686">
        <v>1901269</v>
      </c>
      <c r="N1686">
        <v>51</v>
      </c>
      <c r="O1686" t="s">
        <v>41</v>
      </c>
    </row>
    <row r="1687" spans="1:16" x14ac:dyDescent="0.35">
      <c r="A1687" t="s">
        <v>3516</v>
      </c>
      <c r="B1687" t="s">
        <v>3517</v>
      </c>
      <c r="C1687" t="s">
        <v>84</v>
      </c>
      <c r="D1687" t="s">
        <v>94</v>
      </c>
      <c r="E1687" t="s">
        <v>80</v>
      </c>
      <c r="F1687" s="1">
        <v>44269</v>
      </c>
      <c r="G1687">
        <v>2015</v>
      </c>
      <c r="H1687" t="s">
        <v>107</v>
      </c>
      <c r="I1687" t="s">
        <v>917</v>
      </c>
      <c r="J1687" t="s">
        <v>72</v>
      </c>
      <c r="K1687">
        <v>6.1</v>
      </c>
      <c r="L1687">
        <v>627138</v>
      </c>
      <c r="M1687">
        <v>1062068</v>
      </c>
      <c r="N1687">
        <v>90</v>
      </c>
      <c r="O1687" t="s">
        <v>123</v>
      </c>
    </row>
    <row r="1688" spans="1:16" x14ac:dyDescent="0.35">
      <c r="A1688" t="s">
        <v>3518</v>
      </c>
      <c r="B1688" t="s">
        <v>3519</v>
      </c>
      <c r="C1688" t="s">
        <v>18</v>
      </c>
      <c r="D1688" t="s">
        <v>54</v>
      </c>
      <c r="F1688" s="1">
        <v>42696</v>
      </c>
      <c r="G1688">
        <v>2008</v>
      </c>
      <c r="H1688" t="s">
        <v>21</v>
      </c>
      <c r="J1688" t="s">
        <v>153</v>
      </c>
      <c r="K1688">
        <v>7.4</v>
      </c>
      <c r="L1688">
        <v>2238431</v>
      </c>
      <c r="M1688">
        <v>3623350</v>
      </c>
      <c r="N1688">
        <v>73</v>
      </c>
      <c r="O1688" t="s">
        <v>123</v>
      </c>
      <c r="P1688" t="s">
        <v>32</v>
      </c>
    </row>
    <row r="1689" spans="1:16" x14ac:dyDescent="0.35">
      <c r="A1689" t="s">
        <v>3520</v>
      </c>
      <c r="B1689" t="s">
        <v>3521</v>
      </c>
      <c r="C1689" t="s">
        <v>84</v>
      </c>
      <c r="D1689" t="s">
        <v>90</v>
      </c>
      <c r="E1689" t="s">
        <v>113</v>
      </c>
      <c r="F1689" s="1">
        <v>42462</v>
      </c>
      <c r="G1689">
        <v>2010</v>
      </c>
      <c r="H1689" t="s">
        <v>107</v>
      </c>
      <c r="I1689" t="s">
        <v>86</v>
      </c>
      <c r="J1689" t="s">
        <v>40</v>
      </c>
      <c r="K1689">
        <v>7.1</v>
      </c>
      <c r="L1689">
        <v>18029771</v>
      </c>
      <c r="M1689">
        <v>1606519</v>
      </c>
      <c r="N1689">
        <v>73</v>
      </c>
    </row>
    <row r="1690" spans="1:16" x14ac:dyDescent="0.35">
      <c r="A1690" t="s">
        <v>3522</v>
      </c>
      <c r="B1690" t="s">
        <v>3523</v>
      </c>
      <c r="C1690" t="s">
        <v>18</v>
      </c>
      <c r="E1690" t="s">
        <v>28</v>
      </c>
      <c r="F1690" s="1">
        <v>44835</v>
      </c>
      <c r="G1690">
        <v>2015</v>
      </c>
      <c r="H1690" t="s">
        <v>21</v>
      </c>
      <c r="I1690" t="s">
        <v>754</v>
      </c>
      <c r="J1690" t="s">
        <v>23</v>
      </c>
      <c r="K1690">
        <v>6.6</v>
      </c>
      <c r="L1690">
        <v>14510250</v>
      </c>
      <c r="M1690">
        <v>1714877</v>
      </c>
      <c r="N1690">
        <v>95</v>
      </c>
    </row>
    <row r="1691" spans="1:16" x14ac:dyDescent="0.35">
      <c r="A1691" t="s">
        <v>3524</v>
      </c>
      <c r="B1691" t="s">
        <v>3525</v>
      </c>
      <c r="C1691" t="s">
        <v>18</v>
      </c>
      <c r="D1691" t="s">
        <v>61</v>
      </c>
      <c r="E1691" t="s">
        <v>69</v>
      </c>
      <c r="F1691" s="1">
        <v>44729</v>
      </c>
      <c r="G1691">
        <v>2015</v>
      </c>
      <c r="H1691" t="s">
        <v>46</v>
      </c>
      <c r="I1691" t="s">
        <v>259</v>
      </c>
      <c r="J1691" t="s">
        <v>23</v>
      </c>
      <c r="K1691">
        <v>9</v>
      </c>
      <c r="L1691">
        <v>24135530</v>
      </c>
      <c r="M1691">
        <v>2476645</v>
      </c>
      <c r="N1691">
        <v>92</v>
      </c>
      <c r="O1691" t="s">
        <v>41</v>
      </c>
      <c r="P1691" t="s">
        <v>50</v>
      </c>
    </row>
    <row r="1692" spans="1:16" x14ac:dyDescent="0.35">
      <c r="A1692" t="s">
        <v>3526</v>
      </c>
      <c r="B1692" t="s">
        <v>3527</v>
      </c>
      <c r="C1692" t="s">
        <v>84</v>
      </c>
      <c r="D1692" t="s">
        <v>90</v>
      </c>
      <c r="E1692" t="s">
        <v>131</v>
      </c>
      <c r="F1692" s="1">
        <v>43909</v>
      </c>
      <c r="G1692">
        <v>2004</v>
      </c>
      <c r="H1692" t="s">
        <v>70</v>
      </c>
      <c r="I1692" t="s">
        <v>366</v>
      </c>
      <c r="J1692" t="s">
        <v>48</v>
      </c>
      <c r="K1692">
        <v>6.3</v>
      </c>
      <c r="L1692">
        <v>18089984</v>
      </c>
      <c r="M1692">
        <v>4968515</v>
      </c>
      <c r="N1692">
        <v>68</v>
      </c>
      <c r="O1692" t="s">
        <v>65</v>
      </c>
    </row>
    <row r="1693" spans="1:16" x14ac:dyDescent="0.35">
      <c r="A1693" t="s">
        <v>3528</v>
      </c>
      <c r="B1693" t="s">
        <v>3529</v>
      </c>
      <c r="C1693" t="s">
        <v>35</v>
      </c>
      <c r="E1693" t="s">
        <v>99</v>
      </c>
      <c r="F1693" s="1">
        <v>46083</v>
      </c>
      <c r="G1693">
        <v>2004</v>
      </c>
      <c r="H1693" t="s">
        <v>70</v>
      </c>
      <c r="I1693" t="s">
        <v>39</v>
      </c>
      <c r="J1693" t="s">
        <v>133</v>
      </c>
      <c r="K1693">
        <v>9.1</v>
      </c>
      <c r="L1693">
        <v>18280104</v>
      </c>
      <c r="M1693">
        <v>465123</v>
      </c>
      <c r="N1693">
        <v>44</v>
      </c>
      <c r="O1693" t="s">
        <v>24</v>
      </c>
      <c r="P1693" t="s">
        <v>32</v>
      </c>
    </row>
    <row r="1694" spans="1:16" x14ac:dyDescent="0.35">
      <c r="A1694" t="s">
        <v>3530</v>
      </c>
      <c r="B1694" t="s">
        <v>3531</v>
      </c>
      <c r="D1694" t="s">
        <v>61</v>
      </c>
      <c r="E1694" t="s">
        <v>131</v>
      </c>
      <c r="G1694">
        <v>2025</v>
      </c>
      <c r="H1694" t="s">
        <v>38</v>
      </c>
      <c r="I1694" t="s">
        <v>64</v>
      </c>
      <c r="J1694" t="s">
        <v>57</v>
      </c>
      <c r="K1694">
        <v>9</v>
      </c>
      <c r="L1694">
        <v>6505265</v>
      </c>
      <c r="M1694">
        <v>1610721</v>
      </c>
      <c r="N1694">
        <v>97</v>
      </c>
      <c r="O1694" t="s">
        <v>123</v>
      </c>
      <c r="P1694" t="s">
        <v>32</v>
      </c>
    </row>
    <row r="1695" spans="1:16" x14ac:dyDescent="0.35">
      <c r="A1695" t="s">
        <v>3532</v>
      </c>
      <c r="B1695" t="s">
        <v>3533</v>
      </c>
      <c r="C1695" t="s">
        <v>35</v>
      </c>
      <c r="D1695" t="s">
        <v>27</v>
      </c>
      <c r="E1695" t="s">
        <v>165</v>
      </c>
      <c r="F1695" s="1">
        <v>45226</v>
      </c>
      <c r="G1695">
        <v>2003</v>
      </c>
      <c r="H1695" t="s">
        <v>81</v>
      </c>
      <c r="I1695" t="s">
        <v>136</v>
      </c>
      <c r="K1695">
        <v>5.4</v>
      </c>
      <c r="L1695">
        <v>17108074</v>
      </c>
      <c r="M1695">
        <v>3323400</v>
      </c>
      <c r="N1695">
        <v>74</v>
      </c>
      <c r="O1695" t="s">
        <v>49</v>
      </c>
      <c r="P1695" t="s">
        <v>50</v>
      </c>
    </row>
    <row r="1696" spans="1:16" x14ac:dyDescent="0.35">
      <c r="A1696" t="s">
        <v>3534</v>
      </c>
      <c r="B1696" t="s">
        <v>3533</v>
      </c>
      <c r="C1696" t="s">
        <v>18</v>
      </c>
      <c r="D1696" t="s">
        <v>94</v>
      </c>
      <c r="E1696" t="s">
        <v>37</v>
      </c>
      <c r="G1696">
        <v>2007</v>
      </c>
      <c r="H1696" t="s">
        <v>121</v>
      </c>
      <c r="I1696" t="s">
        <v>505</v>
      </c>
      <c r="J1696" t="s">
        <v>72</v>
      </c>
      <c r="K1696">
        <v>4.9000000000000004</v>
      </c>
      <c r="L1696">
        <v>17961437</v>
      </c>
      <c r="M1696">
        <v>3120485</v>
      </c>
      <c r="N1696">
        <v>66</v>
      </c>
      <c r="O1696" t="s">
        <v>41</v>
      </c>
      <c r="P1696" t="s">
        <v>32</v>
      </c>
    </row>
    <row r="1697" spans="1:16" x14ac:dyDescent="0.35">
      <c r="A1697" t="s">
        <v>3535</v>
      </c>
      <c r="B1697" t="s">
        <v>3536</v>
      </c>
      <c r="C1697" t="s">
        <v>84</v>
      </c>
      <c r="D1697" t="s">
        <v>94</v>
      </c>
      <c r="E1697" t="s">
        <v>55</v>
      </c>
      <c r="F1697" s="1">
        <v>45708</v>
      </c>
      <c r="G1697">
        <v>2000</v>
      </c>
      <c r="H1697" t="s">
        <v>121</v>
      </c>
      <c r="I1697" t="s">
        <v>865</v>
      </c>
      <c r="J1697" t="s">
        <v>133</v>
      </c>
      <c r="K1697">
        <v>9.8000000000000007</v>
      </c>
      <c r="L1697">
        <v>16678846</v>
      </c>
      <c r="M1697">
        <v>2909544</v>
      </c>
      <c r="N1697">
        <v>74</v>
      </c>
      <c r="O1697" t="s">
        <v>91</v>
      </c>
      <c r="P1697" t="s">
        <v>50</v>
      </c>
    </row>
    <row r="1698" spans="1:16" x14ac:dyDescent="0.35">
      <c r="A1698" t="s">
        <v>3537</v>
      </c>
      <c r="B1698" t="s">
        <v>3538</v>
      </c>
      <c r="D1698" t="s">
        <v>94</v>
      </c>
      <c r="E1698" t="s">
        <v>131</v>
      </c>
      <c r="F1698" s="1">
        <v>45260</v>
      </c>
      <c r="G1698">
        <v>2005</v>
      </c>
      <c r="H1698" t="s">
        <v>38</v>
      </c>
      <c r="I1698" t="s">
        <v>39</v>
      </c>
      <c r="J1698" t="s">
        <v>23</v>
      </c>
      <c r="K1698">
        <v>9.6</v>
      </c>
      <c r="L1698">
        <v>874097</v>
      </c>
      <c r="M1698">
        <v>1480851</v>
      </c>
      <c r="N1698">
        <v>90</v>
      </c>
      <c r="O1698" t="s">
        <v>41</v>
      </c>
      <c r="P1698" t="s">
        <v>87</v>
      </c>
    </row>
    <row r="1699" spans="1:16" x14ac:dyDescent="0.35">
      <c r="A1699" t="s">
        <v>3539</v>
      </c>
      <c r="B1699" t="s">
        <v>3540</v>
      </c>
      <c r="C1699" t="s">
        <v>79</v>
      </c>
      <c r="D1699" t="s">
        <v>156</v>
      </c>
      <c r="E1699" t="s">
        <v>80</v>
      </c>
      <c r="F1699" s="1">
        <v>43464</v>
      </c>
      <c r="G1699">
        <v>2019</v>
      </c>
      <c r="H1699" t="s">
        <v>70</v>
      </c>
      <c r="I1699" t="s">
        <v>323</v>
      </c>
      <c r="J1699" t="s">
        <v>48</v>
      </c>
      <c r="K1699">
        <v>7.6</v>
      </c>
      <c r="L1699">
        <v>7875077</v>
      </c>
      <c r="M1699">
        <v>1203293</v>
      </c>
      <c r="N1699">
        <v>69</v>
      </c>
      <c r="O1699" t="s">
        <v>104</v>
      </c>
      <c r="P1699" t="s">
        <v>32</v>
      </c>
    </row>
    <row r="1700" spans="1:16" x14ac:dyDescent="0.35">
      <c r="A1700" t="s">
        <v>3541</v>
      </c>
      <c r="B1700" t="s">
        <v>3542</v>
      </c>
      <c r="C1700" t="s">
        <v>18</v>
      </c>
      <c r="E1700" t="s">
        <v>20</v>
      </c>
      <c r="F1700" s="1">
        <v>42506</v>
      </c>
      <c r="G1700">
        <v>2023</v>
      </c>
      <c r="H1700" t="s">
        <v>121</v>
      </c>
      <c r="I1700" t="s">
        <v>987</v>
      </c>
      <c r="J1700" t="s">
        <v>133</v>
      </c>
      <c r="K1700">
        <v>6.3</v>
      </c>
      <c r="L1700">
        <v>22854028</v>
      </c>
      <c r="M1700">
        <v>3243758</v>
      </c>
      <c r="N1700">
        <v>76</v>
      </c>
      <c r="O1700" t="s">
        <v>49</v>
      </c>
      <c r="P1700" t="s">
        <v>50</v>
      </c>
    </row>
    <row r="1701" spans="1:16" x14ac:dyDescent="0.35">
      <c r="A1701" t="s">
        <v>3543</v>
      </c>
      <c r="B1701" t="s">
        <v>3544</v>
      </c>
      <c r="C1701" t="s">
        <v>18</v>
      </c>
      <c r="D1701" t="s">
        <v>75</v>
      </c>
      <c r="E1701" t="s">
        <v>99</v>
      </c>
      <c r="F1701" s="1">
        <v>43499</v>
      </c>
      <c r="G1701">
        <v>2000</v>
      </c>
      <c r="H1701" t="s">
        <v>81</v>
      </c>
      <c r="I1701" t="s">
        <v>794</v>
      </c>
      <c r="J1701" t="s">
        <v>153</v>
      </c>
      <c r="K1701">
        <v>7.5</v>
      </c>
      <c r="L1701">
        <v>7795141</v>
      </c>
      <c r="M1701">
        <v>3189451</v>
      </c>
      <c r="N1701">
        <v>42</v>
      </c>
      <c r="O1701" t="s">
        <v>41</v>
      </c>
      <c r="P1701" t="s">
        <v>50</v>
      </c>
    </row>
    <row r="1702" spans="1:16" x14ac:dyDescent="0.35">
      <c r="A1702" t="s">
        <v>3545</v>
      </c>
      <c r="B1702" t="s">
        <v>3546</v>
      </c>
      <c r="C1702" t="s">
        <v>35</v>
      </c>
      <c r="D1702" t="s">
        <v>68</v>
      </c>
      <c r="E1702" t="s">
        <v>28</v>
      </c>
      <c r="F1702" s="1">
        <v>43300</v>
      </c>
      <c r="G1702">
        <v>2024</v>
      </c>
      <c r="H1702" t="s">
        <v>21</v>
      </c>
      <c r="I1702" t="s">
        <v>118</v>
      </c>
      <c r="J1702" t="s">
        <v>100</v>
      </c>
      <c r="K1702">
        <v>7.7</v>
      </c>
      <c r="L1702">
        <v>23128915</v>
      </c>
      <c r="M1702">
        <v>3556387</v>
      </c>
      <c r="N1702">
        <v>53</v>
      </c>
      <c r="O1702" t="s">
        <v>104</v>
      </c>
      <c r="P1702" t="s">
        <v>32</v>
      </c>
    </row>
    <row r="1703" spans="1:16" x14ac:dyDescent="0.35">
      <c r="A1703" t="s">
        <v>3547</v>
      </c>
      <c r="B1703" t="s">
        <v>3548</v>
      </c>
      <c r="C1703" t="s">
        <v>35</v>
      </c>
      <c r="D1703" t="s">
        <v>36</v>
      </c>
      <c r="E1703" t="s">
        <v>165</v>
      </c>
      <c r="F1703" s="1">
        <v>46114</v>
      </c>
      <c r="G1703">
        <v>2008</v>
      </c>
      <c r="H1703" t="s">
        <v>21</v>
      </c>
      <c r="I1703" t="s">
        <v>64</v>
      </c>
      <c r="J1703" t="s">
        <v>103</v>
      </c>
      <c r="K1703">
        <v>7.1</v>
      </c>
      <c r="L1703">
        <v>5738509</v>
      </c>
      <c r="M1703">
        <v>1222073</v>
      </c>
      <c r="N1703">
        <v>78</v>
      </c>
      <c r="O1703" t="s">
        <v>91</v>
      </c>
      <c r="P1703" t="s">
        <v>50</v>
      </c>
    </row>
    <row r="1704" spans="1:16" x14ac:dyDescent="0.35">
      <c r="A1704" t="s">
        <v>3549</v>
      </c>
      <c r="B1704" t="s">
        <v>3550</v>
      </c>
      <c r="C1704" t="s">
        <v>18</v>
      </c>
      <c r="D1704" t="s">
        <v>36</v>
      </c>
      <c r="E1704" t="s">
        <v>165</v>
      </c>
      <c r="F1704" s="1">
        <v>45719</v>
      </c>
      <c r="G1704">
        <v>2026</v>
      </c>
      <c r="H1704" t="s">
        <v>121</v>
      </c>
      <c r="I1704" t="s">
        <v>505</v>
      </c>
      <c r="J1704" t="s">
        <v>72</v>
      </c>
      <c r="K1704">
        <v>7.9</v>
      </c>
      <c r="L1704">
        <v>7430572</v>
      </c>
      <c r="M1704">
        <v>2204468</v>
      </c>
      <c r="N1704">
        <v>68</v>
      </c>
      <c r="O1704" t="s">
        <v>65</v>
      </c>
      <c r="P1704" t="s">
        <v>32</v>
      </c>
    </row>
    <row r="1705" spans="1:16" x14ac:dyDescent="0.35">
      <c r="A1705" t="s">
        <v>3551</v>
      </c>
      <c r="B1705" t="s">
        <v>3552</v>
      </c>
      <c r="C1705" t="s">
        <v>35</v>
      </c>
      <c r="D1705" t="s">
        <v>68</v>
      </c>
      <c r="E1705" t="s">
        <v>55</v>
      </c>
      <c r="F1705" s="1">
        <v>45088</v>
      </c>
      <c r="G1705">
        <v>2008</v>
      </c>
      <c r="H1705" t="s">
        <v>70</v>
      </c>
      <c r="I1705" t="s">
        <v>64</v>
      </c>
      <c r="J1705" t="s">
        <v>40</v>
      </c>
      <c r="K1705">
        <v>6.4</v>
      </c>
      <c r="L1705">
        <v>8272872</v>
      </c>
      <c r="M1705">
        <v>2927956</v>
      </c>
      <c r="N1705">
        <v>49</v>
      </c>
      <c r="O1705" t="s">
        <v>123</v>
      </c>
    </row>
    <row r="1706" spans="1:16" x14ac:dyDescent="0.35">
      <c r="A1706" t="s">
        <v>3553</v>
      </c>
      <c r="B1706" t="s">
        <v>3554</v>
      </c>
      <c r="C1706" t="s">
        <v>35</v>
      </c>
      <c r="D1706" t="s">
        <v>36</v>
      </c>
      <c r="E1706" t="s">
        <v>99</v>
      </c>
      <c r="F1706" s="1">
        <v>43816</v>
      </c>
      <c r="G1706">
        <v>2001</v>
      </c>
      <c r="H1706" t="s">
        <v>107</v>
      </c>
      <c r="J1706" t="s">
        <v>133</v>
      </c>
      <c r="K1706">
        <v>6.1</v>
      </c>
      <c r="L1706">
        <v>15783546</v>
      </c>
      <c r="M1706">
        <v>4130634</v>
      </c>
      <c r="N1706">
        <v>76</v>
      </c>
      <c r="O1706" t="s">
        <v>49</v>
      </c>
      <c r="P1706" t="s">
        <v>50</v>
      </c>
    </row>
    <row r="1707" spans="1:16" x14ac:dyDescent="0.35">
      <c r="A1707" t="s">
        <v>3555</v>
      </c>
      <c r="B1707" t="s">
        <v>3556</v>
      </c>
      <c r="C1707" t="s">
        <v>84</v>
      </c>
      <c r="D1707" t="s">
        <v>75</v>
      </c>
      <c r="E1707" t="s">
        <v>45</v>
      </c>
      <c r="F1707" s="1">
        <v>43623</v>
      </c>
      <c r="G1707">
        <v>2001</v>
      </c>
      <c r="H1707" t="s">
        <v>85</v>
      </c>
      <c r="I1707" t="s">
        <v>294</v>
      </c>
      <c r="J1707" t="s">
        <v>153</v>
      </c>
      <c r="K1707">
        <v>8</v>
      </c>
      <c r="L1707">
        <v>8007411</v>
      </c>
      <c r="M1707">
        <v>4114994</v>
      </c>
      <c r="N1707">
        <v>66</v>
      </c>
      <c r="O1707" t="s">
        <v>65</v>
      </c>
      <c r="P1707" t="s">
        <v>87</v>
      </c>
    </row>
    <row r="1708" spans="1:16" x14ac:dyDescent="0.35">
      <c r="A1708" t="s">
        <v>3557</v>
      </c>
      <c r="B1708" t="s">
        <v>3558</v>
      </c>
      <c r="C1708" t="s">
        <v>53</v>
      </c>
      <c r="D1708" t="s">
        <v>90</v>
      </c>
      <c r="E1708" t="s">
        <v>99</v>
      </c>
      <c r="F1708" s="1">
        <v>44563</v>
      </c>
      <c r="G1708">
        <v>2013</v>
      </c>
      <c r="H1708" t="s">
        <v>70</v>
      </c>
      <c r="I1708" t="s">
        <v>56</v>
      </c>
      <c r="J1708" t="s">
        <v>40</v>
      </c>
      <c r="K1708">
        <v>5.7</v>
      </c>
      <c r="L1708">
        <v>21114136</v>
      </c>
      <c r="M1708">
        <v>326712</v>
      </c>
      <c r="N1708">
        <v>94</v>
      </c>
      <c r="O1708" t="s">
        <v>123</v>
      </c>
      <c r="P1708" t="s">
        <v>50</v>
      </c>
    </row>
    <row r="1709" spans="1:16" x14ac:dyDescent="0.35">
      <c r="A1709" t="s">
        <v>3559</v>
      </c>
      <c r="B1709" t="s">
        <v>3560</v>
      </c>
      <c r="C1709" t="s">
        <v>79</v>
      </c>
      <c r="D1709" t="s">
        <v>94</v>
      </c>
      <c r="E1709" t="s">
        <v>80</v>
      </c>
      <c r="F1709" s="1">
        <v>44161</v>
      </c>
      <c r="G1709">
        <v>2024</v>
      </c>
      <c r="H1709" t="s">
        <v>63</v>
      </c>
      <c r="I1709" t="s">
        <v>720</v>
      </c>
      <c r="J1709" t="s">
        <v>23</v>
      </c>
      <c r="K1709">
        <v>8.1</v>
      </c>
      <c r="L1709">
        <v>2669122</v>
      </c>
      <c r="M1709">
        <v>1169156</v>
      </c>
      <c r="N1709">
        <v>87</v>
      </c>
      <c r="O1709" t="s">
        <v>91</v>
      </c>
      <c r="P1709" t="s">
        <v>32</v>
      </c>
    </row>
    <row r="1710" spans="1:16" x14ac:dyDescent="0.35">
      <c r="A1710" t="s">
        <v>3561</v>
      </c>
      <c r="B1710" t="s">
        <v>3562</v>
      </c>
      <c r="C1710" t="s">
        <v>35</v>
      </c>
      <c r="D1710" t="s">
        <v>61</v>
      </c>
      <c r="E1710" t="s">
        <v>55</v>
      </c>
      <c r="F1710" s="1">
        <v>42519</v>
      </c>
      <c r="G1710">
        <v>2002</v>
      </c>
      <c r="H1710" t="s">
        <v>114</v>
      </c>
      <c r="I1710" t="s">
        <v>71</v>
      </c>
      <c r="J1710" t="s">
        <v>40</v>
      </c>
      <c r="K1710">
        <v>9.1999999999999993</v>
      </c>
      <c r="L1710">
        <v>11798928</v>
      </c>
      <c r="M1710">
        <v>586909</v>
      </c>
      <c r="N1710">
        <v>49</v>
      </c>
      <c r="O1710" t="s">
        <v>91</v>
      </c>
      <c r="P1710" t="s">
        <v>87</v>
      </c>
    </row>
    <row r="1711" spans="1:16" x14ac:dyDescent="0.35">
      <c r="A1711" t="s">
        <v>3563</v>
      </c>
      <c r="B1711" t="s">
        <v>3564</v>
      </c>
      <c r="D1711" t="s">
        <v>75</v>
      </c>
      <c r="E1711" t="s">
        <v>62</v>
      </c>
      <c r="F1711" s="1">
        <v>42152</v>
      </c>
      <c r="G1711">
        <v>2025</v>
      </c>
      <c r="H1711" t="s">
        <v>85</v>
      </c>
      <c r="I1711" t="s">
        <v>95</v>
      </c>
      <c r="J1711" t="s">
        <v>57</v>
      </c>
      <c r="K1711">
        <v>5.9</v>
      </c>
      <c r="L1711">
        <v>9951298</v>
      </c>
      <c r="M1711">
        <v>4072686</v>
      </c>
      <c r="N1711">
        <v>69</v>
      </c>
    </row>
    <row r="1712" spans="1:16" x14ac:dyDescent="0.35">
      <c r="A1712" t="s">
        <v>3565</v>
      </c>
      <c r="B1712" t="s">
        <v>3566</v>
      </c>
      <c r="C1712" t="s">
        <v>18</v>
      </c>
      <c r="D1712" t="s">
        <v>90</v>
      </c>
      <c r="E1712" t="s">
        <v>69</v>
      </c>
      <c r="G1712">
        <v>2004</v>
      </c>
      <c r="H1712" t="s">
        <v>63</v>
      </c>
      <c r="I1712" t="s">
        <v>287</v>
      </c>
      <c r="K1712">
        <v>9.3000000000000007</v>
      </c>
      <c r="L1712">
        <v>13187811</v>
      </c>
      <c r="M1712">
        <v>4293875</v>
      </c>
      <c r="N1712">
        <v>89</v>
      </c>
      <c r="O1712" t="s">
        <v>58</v>
      </c>
      <c r="P1712" t="s">
        <v>32</v>
      </c>
    </row>
    <row r="1713" spans="1:16" x14ac:dyDescent="0.35">
      <c r="A1713" t="s">
        <v>3567</v>
      </c>
      <c r="B1713" t="s">
        <v>3568</v>
      </c>
      <c r="C1713" t="s">
        <v>18</v>
      </c>
      <c r="D1713" t="s">
        <v>54</v>
      </c>
      <c r="E1713" t="s">
        <v>20</v>
      </c>
      <c r="F1713" s="1">
        <v>42143</v>
      </c>
      <c r="G1713">
        <v>2019</v>
      </c>
      <c r="H1713" t="s">
        <v>85</v>
      </c>
      <c r="I1713" t="s">
        <v>82</v>
      </c>
      <c r="J1713" t="s">
        <v>40</v>
      </c>
      <c r="K1713">
        <v>9.4</v>
      </c>
      <c r="L1713">
        <v>22279115</v>
      </c>
      <c r="M1713">
        <v>1431706</v>
      </c>
      <c r="N1713">
        <v>47</v>
      </c>
      <c r="O1713" t="s">
        <v>104</v>
      </c>
      <c r="P1713" t="s">
        <v>50</v>
      </c>
    </row>
    <row r="1714" spans="1:16" x14ac:dyDescent="0.35">
      <c r="A1714" t="s">
        <v>3569</v>
      </c>
      <c r="B1714" t="s">
        <v>3570</v>
      </c>
      <c r="C1714" t="s">
        <v>35</v>
      </c>
      <c r="D1714" t="s">
        <v>68</v>
      </c>
      <c r="E1714" t="s">
        <v>99</v>
      </c>
      <c r="F1714" s="1">
        <v>44750</v>
      </c>
      <c r="G1714">
        <v>2006</v>
      </c>
      <c r="H1714" t="s">
        <v>63</v>
      </c>
      <c r="I1714" t="s">
        <v>162</v>
      </c>
      <c r="J1714" t="s">
        <v>96</v>
      </c>
      <c r="K1714">
        <v>5.2</v>
      </c>
      <c r="L1714">
        <v>10349421</v>
      </c>
      <c r="M1714">
        <v>1557242</v>
      </c>
      <c r="N1714">
        <v>67</v>
      </c>
      <c r="O1714" t="s">
        <v>104</v>
      </c>
      <c r="P1714" t="s">
        <v>32</v>
      </c>
    </row>
    <row r="1715" spans="1:16" x14ac:dyDescent="0.35">
      <c r="A1715" t="s">
        <v>3571</v>
      </c>
      <c r="B1715" t="s">
        <v>3572</v>
      </c>
      <c r="C1715" t="s">
        <v>35</v>
      </c>
      <c r="E1715" t="s">
        <v>37</v>
      </c>
      <c r="F1715" s="1">
        <v>42611</v>
      </c>
      <c r="G1715">
        <v>2014</v>
      </c>
      <c r="H1715" t="s">
        <v>121</v>
      </c>
      <c r="I1715" t="s">
        <v>118</v>
      </c>
      <c r="J1715" t="s">
        <v>48</v>
      </c>
      <c r="K1715">
        <v>7.8</v>
      </c>
      <c r="L1715">
        <v>-897</v>
      </c>
      <c r="M1715">
        <v>4093563</v>
      </c>
      <c r="N1715">
        <v>74</v>
      </c>
      <c r="O1715" t="s">
        <v>49</v>
      </c>
    </row>
    <row r="1716" spans="1:16" x14ac:dyDescent="0.35">
      <c r="A1716" t="s">
        <v>3573</v>
      </c>
      <c r="B1716" t="s">
        <v>3574</v>
      </c>
      <c r="C1716" t="s">
        <v>53</v>
      </c>
      <c r="D1716" t="s">
        <v>75</v>
      </c>
      <c r="E1716" t="s">
        <v>165</v>
      </c>
      <c r="F1716" s="1">
        <v>45984</v>
      </c>
      <c r="G1716">
        <v>2014</v>
      </c>
      <c r="H1716" t="s">
        <v>107</v>
      </c>
      <c r="I1716" t="s">
        <v>136</v>
      </c>
      <c r="J1716" t="s">
        <v>40</v>
      </c>
      <c r="K1716">
        <v>5.8</v>
      </c>
      <c r="L1716">
        <v>10980196</v>
      </c>
      <c r="M1716">
        <v>1485283</v>
      </c>
      <c r="N1716">
        <v>75</v>
      </c>
      <c r="O1716" t="s">
        <v>65</v>
      </c>
      <c r="P1716" t="s">
        <v>42</v>
      </c>
    </row>
    <row r="1717" spans="1:16" x14ac:dyDescent="0.35">
      <c r="A1717" t="s">
        <v>3575</v>
      </c>
      <c r="B1717" t="s">
        <v>3576</v>
      </c>
      <c r="C1717" t="s">
        <v>35</v>
      </c>
      <c r="D1717" t="s">
        <v>90</v>
      </c>
      <c r="E1717" t="s">
        <v>45</v>
      </c>
      <c r="F1717" s="1">
        <v>42071</v>
      </c>
      <c r="G1717">
        <v>2013</v>
      </c>
      <c r="H1717" t="s">
        <v>114</v>
      </c>
      <c r="I1717" t="s">
        <v>95</v>
      </c>
      <c r="J1717" t="s">
        <v>72</v>
      </c>
      <c r="K1717">
        <v>9</v>
      </c>
      <c r="L1717">
        <v>5499883</v>
      </c>
      <c r="M1717">
        <v>3304857</v>
      </c>
      <c r="N1717">
        <v>99</v>
      </c>
      <c r="O1717" t="s">
        <v>91</v>
      </c>
    </row>
    <row r="1718" spans="1:16" x14ac:dyDescent="0.35">
      <c r="A1718" t="s">
        <v>3577</v>
      </c>
      <c r="B1718" t="s">
        <v>3578</v>
      </c>
      <c r="C1718" t="s">
        <v>53</v>
      </c>
      <c r="D1718" t="s">
        <v>61</v>
      </c>
      <c r="E1718" t="s">
        <v>45</v>
      </c>
      <c r="F1718" s="1">
        <v>45430</v>
      </c>
      <c r="G1718">
        <v>2003</v>
      </c>
      <c r="I1718" t="s">
        <v>95</v>
      </c>
      <c r="J1718" t="s">
        <v>100</v>
      </c>
      <c r="K1718">
        <v>5</v>
      </c>
      <c r="L1718">
        <v>-297</v>
      </c>
      <c r="M1718">
        <v>2736562</v>
      </c>
      <c r="N1718">
        <v>81</v>
      </c>
      <c r="O1718" t="s">
        <v>31</v>
      </c>
      <c r="P1718" t="s">
        <v>42</v>
      </c>
    </row>
    <row r="1719" spans="1:16" x14ac:dyDescent="0.35">
      <c r="A1719" t="s">
        <v>3579</v>
      </c>
      <c r="B1719" t="s">
        <v>3578</v>
      </c>
      <c r="C1719" t="s">
        <v>79</v>
      </c>
      <c r="D1719" t="s">
        <v>68</v>
      </c>
      <c r="E1719" t="s">
        <v>28</v>
      </c>
      <c r="F1719" s="1">
        <v>43252</v>
      </c>
      <c r="G1719">
        <v>2007</v>
      </c>
      <c r="I1719" t="s">
        <v>150</v>
      </c>
      <c r="J1719" t="s">
        <v>100</v>
      </c>
      <c r="K1719">
        <v>7.2</v>
      </c>
      <c r="L1719">
        <v>11112156</v>
      </c>
      <c r="M1719">
        <v>1172028</v>
      </c>
      <c r="N1719">
        <v>64</v>
      </c>
      <c r="O1719" t="s">
        <v>31</v>
      </c>
      <c r="P1719" t="s">
        <v>32</v>
      </c>
    </row>
    <row r="1720" spans="1:16" x14ac:dyDescent="0.35">
      <c r="A1720" t="s">
        <v>3580</v>
      </c>
      <c r="B1720" t="s">
        <v>3581</v>
      </c>
      <c r="C1720" t="s">
        <v>79</v>
      </c>
      <c r="D1720" t="s">
        <v>94</v>
      </c>
      <c r="E1720" t="s">
        <v>28</v>
      </c>
      <c r="F1720" s="1">
        <v>44667</v>
      </c>
      <c r="G1720">
        <v>2002</v>
      </c>
      <c r="H1720" t="s">
        <v>21</v>
      </c>
      <c r="I1720" t="s">
        <v>627</v>
      </c>
      <c r="J1720" t="s">
        <v>30</v>
      </c>
      <c r="K1720">
        <v>5.7</v>
      </c>
      <c r="L1720">
        <v>11934150</v>
      </c>
      <c r="M1720">
        <v>2272298</v>
      </c>
      <c r="N1720">
        <v>51</v>
      </c>
      <c r="O1720" t="s">
        <v>24</v>
      </c>
    </row>
    <row r="1721" spans="1:16" x14ac:dyDescent="0.35">
      <c r="A1721" t="s">
        <v>3582</v>
      </c>
      <c r="B1721" t="s">
        <v>3583</v>
      </c>
      <c r="C1721" t="s">
        <v>53</v>
      </c>
      <c r="E1721" t="s">
        <v>113</v>
      </c>
      <c r="F1721" s="1">
        <v>43185</v>
      </c>
      <c r="G1721">
        <v>2009</v>
      </c>
      <c r="H1721" t="s">
        <v>46</v>
      </c>
      <c r="I1721" t="s">
        <v>162</v>
      </c>
      <c r="J1721" t="s">
        <v>48</v>
      </c>
      <c r="K1721">
        <v>4.5</v>
      </c>
      <c r="L1721">
        <v>19825544</v>
      </c>
      <c r="M1721">
        <v>664111</v>
      </c>
      <c r="N1721">
        <v>41</v>
      </c>
      <c r="O1721" t="s">
        <v>104</v>
      </c>
      <c r="P1721" t="s">
        <v>42</v>
      </c>
    </row>
    <row r="1722" spans="1:16" x14ac:dyDescent="0.35">
      <c r="A1722" t="s">
        <v>3584</v>
      </c>
      <c r="B1722" t="s">
        <v>3585</v>
      </c>
      <c r="C1722" t="s">
        <v>79</v>
      </c>
      <c r="D1722" t="s">
        <v>68</v>
      </c>
      <c r="E1722" t="s">
        <v>55</v>
      </c>
      <c r="F1722" s="1">
        <v>42772</v>
      </c>
      <c r="G1722">
        <v>2025</v>
      </c>
      <c r="H1722" t="s">
        <v>70</v>
      </c>
      <c r="I1722" t="s">
        <v>312</v>
      </c>
      <c r="J1722" t="s">
        <v>96</v>
      </c>
      <c r="K1722">
        <v>5.5</v>
      </c>
      <c r="L1722">
        <v>14150254</v>
      </c>
      <c r="M1722">
        <v>2342846</v>
      </c>
      <c r="N1722">
        <v>71</v>
      </c>
      <c r="O1722" t="s">
        <v>24</v>
      </c>
      <c r="P1722" t="s">
        <v>42</v>
      </c>
    </row>
    <row r="1723" spans="1:16" x14ac:dyDescent="0.35">
      <c r="A1723" t="s">
        <v>3586</v>
      </c>
      <c r="B1723" t="s">
        <v>3587</v>
      </c>
      <c r="C1723" t="s">
        <v>18</v>
      </c>
      <c r="D1723" t="s">
        <v>68</v>
      </c>
      <c r="F1723" s="1">
        <v>45750</v>
      </c>
      <c r="G1723">
        <v>2009</v>
      </c>
      <c r="H1723" t="s">
        <v>70</v>
      </c>
      <c r="I1723" t="s">
        <v>1751</v>
      </c>
      <c r="J1723" t="s">
        <v>76</v>
      </c>
      <c r="K1723">
        <v>5.5</v>
      </c>
      <c r="L1723">
        <v>3477941</v>
      </c>
      <c r="M1723">
        <v>180127</v>
      </c>
      <c r="N1723">
        <v>79</v>
      </c>
      <c r="O1723" t="s">
        <v>91</v>
      </c>
      <c r="P1723" t="s">
        <v>32</v>
      </c>
    </row>
    <row r="1724" spans="1:16" x14ac:dyDescent="0.35">
      <c r="A1724" t="s">
        <v>3588</v>
      </c>
      <c r="B1724" t="s">
        <v>3589</v>
      </c>
      <c r="C1724" t="s">
        <v>35</v>
      </c>
      <c r="D1724" t="s">
        <v>27</v>
      </c>
      <c r="E1724" t="s">
        <v>99</v>
      </c>
      <c r="F1724" s="1">
        <v>42307</v>
      </c>
      <c r="G1724">
        <v>2023</v>
      </c>
      <c r="H1724" t="s">
        <v>46</v>
      </c>
      <c r="I1724" t="s">
        <v>162</v>
      </c>
      <c r="J1724" t="s">
        <v>103</v>
      </c>
      <c r="K1724">
        <v>5.6</v>
      </c>
      <c r="L1724">
        <v>21777738</v>
      </c>
      <c r="M1724">
        <v>407163</v>
      </c>
      <c r="N1724">
        <v>93</v>
      </c>
      <c r="O1724" t="s">
        <v>58</v>
      </c>
      <c r="P1724" t="s">
        <v>87</v>
      </c>
    </row>
    <row r="1725" spans="1:16" x14ac:dyDescent="0.35">
      <c r="A1725" t="s">
        <v>3590</v>
      </c>
      <c r="B1725" t="s">
        <v>3591</v>
      </c>
      <c r="C1725" t="s">
        <v>53</v>
      </c>
      <c r="D1725" t="s">
        <v>94</v>
      </c>
      <c r="E1725" t="s">
        <v>113</v>
      </c>
      <c r="F1725" s="1">
        <v>45027</v>
      </c>
      <c r="G1725">
        <v>2008</v>
      </c>
      <c r="I1725" t="s">
        <v>162</v>
      </c>
      <c r="J1725" t="s">
        <v>103</v>
      </c>
      <c r="K1725">
        <v>4.5999999999999996</v>
      </c>
      <c r="L1725">
        <v>266813</v>
      </c>
      <c r="M1725">
        <v>209010</v>
      </c>
      <c r="N1725">
        <v>90</v>
      </c>
      <c r="O1725" t="s">
        <v>58</v>
      </c>
      <c r="P1725" t="s">
        <v>50</v>
      </c>
    </row>
    <row r="1726" spans="1:16" x14ac:dyDescent="0.35">
      <c r="A1726" t="s">
        <v>3592</v>
      </c>
      <c r="B1726" t="s">
        <v>3593</v>
      </c>
      <c r="C1726" t="s">
        <v>35</v>
      </c>
      <c r="D1726" t="s">
        <v>90</v>
      </c>
      <c r="E1726" t="s">
        <v>45</v>
      </c>
      <c r="F1726" s="1">
        <v>43246</v>
      </c>
      <c r="G1726">
        <v>2025</v>
      </c>
      <c r="H1726" t="s">
        <v>114</v>
      </c>
      <c r="I1726" t="s">
        <v>71</v>
      </c>
      <c r="J1726" t="s">
        <v>76</v>
      </c>
      <c r="K1726">
        <v>5.0999999999999996</v>
      </c>
      <c r="L1726">
        <v>4575603</v>
      </c>
      <c r="M1726">
        <v>3878795</v>
      </c>
      <c r="N1726">
        <v>55</v>
      </c>
      <c r="O1726" t="s">
        <v>24</v>
      </c>
      <c r="P1726" t="s">
        <v>87</v>
      </c>
    </row>
    <row r="1727" spans="1:16" x14ac:dyDescent="0.35">
      <c r="A1727" t="s">
        <v>3594</v>
      </c>
      <c r="B1727" t="s">
        <v>3595</v>
      </c>
      <c r="C1727" t="s">
        <v>18</v>
      </c>
      <c r="D1727" t="s">
        <v>27</v>
      </c>
      <c r="E1727" t="s">
        <v>165</v>
      </c>
      <c r="F1727" s="1">
        <v>43326</v>
      </c>
      <c r="G1727">
        <v>2024</v>
      </c>
      <c r="H1727" t="s">
        <v>21</v>
      </c>
      <c r="I1727" t="s">
        <v>1242</v>
      </c>
      <c r="J1727" t="s">
        <v>133</v>
      </c>
      <c r="K1727">
        <v>7.9</v>
      </c>
      <c r="L1727">
        <v>22824975</v>
      </c>
      <c r="M1727">
        <v>3091454</v>
      </c>
      <c r="N1727">
        <v>45</v>
      </c>
      <c r="O1727" t="s">
        <v>41</v>
      </c>
      <c r="P1727" t="s">
        <v>42</v>
      </c>
    </row>
    <row r="1728" spans="1:16" x14ac:dyDescent="0.35">
      <c r="A1728" t="s">
        <v>3596</v>
      </c>
      <c r="B1728" t="s">
        <v>3597</v>
      </c>
      <c r="C1728" t="s">
        <v>18</v>
      </c>
      <c r="D1728" t="s">
        <v>19</v>
      </c>
      <c r="E1728" t="s">
        <v>55</v>
      </c>
      <c r="F1728" s="1">
        <v>45841</v>
      </c>
      <c r="G1728">
        <v>2003</v>
      </c>
      <c r="H1728" t="s">
        <v>85</v>
      </c>
      <c r="I1728" t="s">
        <v>312</v>
      </c>
      <c r="J1728" t="s">
        <v>96</v>
      </c>
      <c r="K1728">
        <v>9.8000000000000007</v>
      </c>
      <c r="L1728">
        <v>16836688</v>
      </c>
      <c r="M1728">
        <v>3801716</v>
      </c>
      <c r="N1728">
        <v>70</v>
      </c>
    </row>
    <row r="1729" spans="1:16" x14ac:dyDescent="0.35">
      <c r="A1729" t="s">
        <v>3598</v>
      </c>
      <c r="B1729" t="s">
        <v>3599</v>
      </c>
      <c r="C1729" t="s">
        <v>35</v>
      </c>
      <c r="D1729" t="s">
        <v>156</v>
      </c>
      <c r="E1729" t="s">
        <v>113</v>
      </c>
      <c r="F1729" s="1">
        <v>44512</v>
      </c>
      <c r="G1729">
        <v>2013</v>
      </c>
      <c r="I1729" t="s">
        <v>64</v>
      </c>
      <c r="J1729" t="s">
        <v>133</v>
      </c>
      <c r="K1729">
        <v>9.6999999999999993</v>
      </c>
      <c r="L1729">
        <v>20707040</v>
      </c>
      <c r="M1729">
        <v>3860967</v>
      </c>
      <c r="N1729">
        <v>41</v>
      </c>
      <c r="O1729" t="s">
        <v>123</v>
      </c>
      <c r="P1729" t="s">
        <v>87</v>
      </c>
    </row>
    <row r="1730" spans="1:16" x14ac:dyDescent="0.35">
      <c r="A1730" t="s">
        <v>3600</v>
      </c>
      <c r="B1730" t="s">
        <v>3601</v>
      </c>
      <c r="C1730" t="s">
        <v>35</v>
      </c>
      <c r="D1730" t="s">
        <v>94</v>
      </c>
      <c r="E1730" t="s">
        <v>20</v>
      </c>
      <c r="F1730" s="1">
        <v>43834</v>
      </c>
      <c r="G1730">
        <v>2016</v>
      </c>
      <c r="H1730" t="s">
        <v>63</v>
      </c>
      <c r="I1730" t="s">
        <v>71</v>
      </c>
      <c r="J1730" t="s">
        <v>153</v>
      </c>
      <c r="K1730">
        <v>7.3</v>
      </c>
      <c r="L1730">
        <v>11544212</v>
      </c>
      <c r="M1730">
        <v>67951</v>
      </c>
      <c r="N1730">
        <v>63</v>
      </c>
      <c r="O1730" t="s">
        <v>104</v>
      </c>
      <c r="P1730" t="s">
        <v>87</v>
      </c>
    </row>
    <row r="1731" spans="1:16" x14ac:dyDescent="0.35">
      <c r="A1731" t="s">
        <v>3602</v>
      </c>
      <c r="B1731" t="s">
        <v>3603</v>
      </c>
      <c r="C1731" t="s">
        <v>35</v>
      </c>
      <c r="D1731" t="s">
        <v>94</v>
      </c>
      <c r="E1731" t="s">
        <v>113</v>
      </c>
      <c r="F1731" s="1">
        <v>44187</v>
      </c>
      <c r="G1731">
        <v>2004</v>
      </c>
      <c r="I1731" t="s">
        <v>118</v>
      </c>
      <c r="J1731" t="s">
        <v>40</v>
      </c>
      <c r="K1731">
        <v>8.1999999999999993</v>
      </c>
      <c r="L1731">
        <v>123520</v>
      </c>
      <c r="M1731">
        <v>41671</v>
      </c>
      <c r="N1731">
        <v>120</v>
      </c>
      <c r="O1731" t="s">
        <v>104</v>
      </c>
      <c r="P1731" t="s">
        <v>87</v>
      </c>
    </row>
    <row r="1732" spans="1:16" x14ac:dyDescent="0.35">
      <c r="A1732" t="s">
        <v>3604</v>
      </c>
      <c r="B1732" t="s">
        <v>3605</v>
      </c>
      <c r="C1732" t="s">
        <v>84</v>
      </c>
      <c r="D1732" t="s">
        <v>75</v>
      </c>
      <c r="E1732" t="s">
        <v>69</v>
      </c>
      <c r="F1732" s="1">
        <v>45438</v>
      </c>
      <c r="G1732">
        <v>2007</v>
      </c>
      <c r="H1732" t="s">
        <v>21</v>
      </c>
      <c r="I1732" t="s">
        <v>1751</v>
      </c>
      <c r="J1732" t="s">
        <v>30</v>
      </c>
      <c r="K1732">
        <v>5.7</v>
      </c>
      <c r="L1732">
        <v>1732242</v>
      </c>
      <c r="M1732">
        <v>1916173</v>
      </c>
      <c r="N1732">
        <v>89</v>
      </c>
    </row>
    <row r="1733" spans="1:16" x14ac:dyDescent="0.35">
      <c r="A1733" t="s">
        <v>3606</v>
      </c>
      <c r="B1733" t="s">
        <v>3607</v>
      </c>
      <c r="D1733" t="s">
        <v>68</v>
      </c>
      <c r="E1733" t="s">
        <v>28</v>
      </c>
      <c r="F1733" s="1">
        <v>44080</v>
      </c>
      <c r="G1733">
        <v>2020</v>
      </c>
      <c r="I1733" t="s">
        <v>118</v>
      </c>
      <c r="J1733" t="s">
        <v>96</v>
      </c>
      <c r="K1733">
        <v>6.1</v>
      </c>
      <c r="L1733">
        <v>2054363</v>
      </c>
      <c r="M1733">
        <v>161048</v>
      </c>
      <c r="N1733">
        <v>96</v>
      </c>
      <c r="O1733" t="s">
        <v>123</v>
      </c>
      <c r="P1733" t="s">
        <v>87</v>
      </c>
    </row>
    <row r="1734" spans="1:16" x14ac:dyDescent="0.35">
      <c r="A1734" t="s">
        <v>3608</v>
      </c>
      <c r="B1734" t="s">
        <v>3609</v>
      </c>
      <c r="C1734" t="s">
        <v>53</v>
      </c>
      <c r="D1734" t="s">
        <v>156</v>
      </c>
      <c r="E1734" t="s">
        <v>62</v>
      </c>
      <c r="F1734" s="1">
        <v>42058</v>
      </c>
      <c r="G1734">
        <v>2007</v>
      </c>
      <c r="H1734" t="s">
        <v>85</v>
      </c>
      <c r="I1734" t="s">
        <v>95</v>
      </c>
      <c r="J1734" t="s">
        <v>103</v>
      </c>
      <c r="K1734">
        <v>6.8</v>
      </c>
      <c r="L1734">
        <v>23698324</v>
      </c>
      <c r="M1734">
        <v>3744315</v>
      </c>
      <c r="N1734">
        <v>60</v>
      </c>
      <c r="O1734" t="s">
        <v>49</v>
      </c>
    </row>
    <row r="1735" spans="1:16" x14ac:dyDescent="0.35">
      <c r="A1735" t="s">
        <v>3610</v>
      </c>
      <c r="B1735" t="s">
        <v>3611</v>
      </c>
      <c r="D1735" t="s">
        <v>27</v>
      </c>
      <c r="E1735" t="s">
        <v>165</v>
      </c>
      <c r="F1735" s="1">
        <v>45759</v>
      </c>
      <c r="G1735">
        <v>2008</v>
      </c>
      <c r="H1735" t="s">
        <v>70</v>
      </c>
      <c r="I1735" t="s">
        <v>56</v>
      </c>
      <c r="J1735" t="s">
        <v>30</v>
      </c>
      <c r="K1735">
        <v>8.1999999999999993</v>
      </c>
      <c r="L1735">
        <v>11563045</v>
      </c>
      <c r="M1735">
        <v>289392</v>
      </c>
      <c r="N1735">
        <v>54</v>
      </c>
      <c r="O1735" t="s">
        <v>58</v>
      </c>
      <c r="P1735" t="s">
        <v>87</v>
      </c>
    </row>
    <row r="1736" spans="1:16" x14ac:dyDescent="0.35">
      <c r="A1736" t="s">
        <v>3612</v>
      </c>
      <c r="B1736" t="s">
        <v>3613</v>
      </c>
      <c r="E1736" t="s">
        <v>113</v>
      </c>
      <c r="F1736" s="1">
        <v>44370</v>
      </c>
      <c r="G1736">
        <v>2024</v>
      </c>
      <c r="H1736" t="s">
        <v>81</v>
      </c>
      <c r="I1736" t="s">
        <v>136</v>
      </c>
      <c r="J1736" t="s">
        <v>57</v>
      </c>
      <c r="K1736">
        <v>7.2</v>
      </c>
      <c r="L1736">
        <v>8601630</v>
      </c>
      <c r="M1736">
        <v>3668613</v>
      </c>
      <c r="N1736">
        <v>48</v>
      </c>
      <c r="P1736" t="s">
        <v>87</v>
      </c>
    </row>
    <row r="1737" spans="1:16" x14ac:dyDescent="0.35">
      <c r="A1737" t="s">
        <v>3614</v>
      </c>
      <c r="B1737" t="s">
        <v>3615</v>
      </c>
      <c r="C1737" t="s">
        <v>35</v>
      </c>
      <c r="D1737" t="s">
        <v>36</v>
      </c>
      <c r="E1737" t="s">
        <v>55</v>
      </c>
      <c r="F1737" s="1">
        <v>44776</v>
      </c>
      <c r="G1737">
        <v>2013</v>
      </c>
      <c r="H1737" t="s">
        <v>46</v>
      </c>
      <c r="I1737" t="s">
        <v>118</v>
      </c>
      <c r="J1737" t="s">
        <v>40</v>
      </c>
      <c r="K1737">
        <v>8.5</v>
      </c>
      <c r="L1737">
        <v>9874034</v>
      </c>
      <c r="M1737">
        <v>4239953</v>
      </c>
      <c r="N1737">
        <v>40</v>
      </c>
      <c r="O1737" t="s">
        <v>91</v>
      </c>
      <c r="P1737" t="s">
        <v>32</v>
      </c>
    </row>
    <row r="1738" spans="1:16" x14ac:dyDescent="0.35">
      <c r="A1738" t="s">
        <v>3616</v>
      </c>
      <c r="B1738" t="s">
        <v>3617</v>
      </c>
      <c r="C1738" t="s">
        <v>53</v>
      </c>
      <c r="D1738" t="s">
        <v>94</v>
      </c>
      <c r="F1738" s="1">
        <v>46091</v>
      </c>
      <c r="G1738">
        <v>2009</v>
      </c>
      <c r="H1738" t="s">
        <v>46</v>
      </c>
      <c r="I1738" t="s">
        <v>95</v>
      </c>
      <c r="J1738" t="s">
        <v>57</v>
      </c>
      <c r="K1738">
        <v>8.1</v>
      </c>
      <c r="L1738">
        <v>10139924</v>
      </c>
      <c r="M1738">
        <v>1184298</v>
      </c>
      <c r="N1738">
        <v>98</v>
      </c>
      <c r="O1738" t="s">
        <v>58</v>
      </c>
      <c r="P1738" t="s">
        <v>32</v>
      </c>
    </row>
    <row r="1739" spans="1:16" x14ac:dyDescent="0.35">
      <c r="A1739" t="s">
        <v>3618</v>
      </c>
      <c r="B1739" t="s">
        <v>3619</v>
      </c>
      <c r="D1739" t="s">
        <v>36</v>
      </c>
      <c r="E1739" t="s">
        <v>45</v>
      </c>
      <c r="F1739" s="1">
        <v>43561</v>
      </c>
      <c r="G1739">
        <v>2026</v>
      </c>
      <c r="H1739" t="s">
        <v>121</v>
      </c>
      <c r="I1739" t="s">
        <v>136</v>
      </c>
      <c r="J1739" t="s">
        <v>133</v>
      </c>
      <c r="K1739">
        <v>5.6</v>
      </c>
      <c r="L1739">
        <v>1320821</v>
      </c>
      <c r="M1739">
        <v>1195160</v>
      </c>
      <c r="N1739">
        <v>69</v>
      </c>
      <c r="O1739" t="s">
        <v>123</v>
      </c>
      <c r="P1739" t="s">
        <v>50</v>
      </c>
    </row>
    <row r="1740" spans="1:16" x14ac:dyDescent="0.35">
      <c r="A1740" t="s">
        <v>3620</v>
      </c>
      <c r="B1740" t="s">
        <v>3621</v>
      </c>
      <c r="C1740" t="s">
        <v>35</v>
      </c>
      <c r="E1740" t="s">
        <v>45</v>
      </c>
      <c r="F1740" s="1">
        <v>43693</v>
      </c>
      <c r="G1740">
        <v>2022</v>
      </c>
      <c r="H1740" t="s">
        <v>121</v>
      </c>
      <c r="I1740" t="s">
        <v>95</v>
      </c>
      <c r="K1740">
        <v>5</v>
      </c>
      <c r="L1740">
        <v>15272201</v>
      </c>
      <c r="M1740">
        <v>279976</v>
      </c>
      <c r="N1740">
        <v>80</v>
      </c>
      <c r="O1740" t="s">
        <v>58</v>
      </c>
      <c r="P1740" t="s">
        <v>42</v>
      </c>
    </row>
    <row r="1741" spans="1:16" x14ac:dyDescent="0.35">
      <c r="A1741" t="s">
        <v>3622</v>
      </c>
      <c r="B1741" t="s">
        <v>3623</v>
      </c>
      <c r="D1741" t="s">
        <v>156</v>
      </c>
      <c r="E1741" t="s">
        <v>113</v>
      </c>
      <c r="F1741" s="1">
        <v>45932</v>
      </c>
      <c r="G1741">
        <v>2012</v>
      </c>
      <c r="H1741" t="s">
        <v>63</v>
      </c>
      <c r="I1741" t="s">
        <v>118</v>
      </c>
      <c r="J1741" t="s">
        <v>30</v>
      </c>
      <c r="K1741">
        <v>7.8</v>
      </c>
      <c r="L1741">
        <v>16342619</v>
      </c>
      <c r="M1741">
        <v>1788355</v>
      </c>
      <c r="N1741">
        <v>44</v>
      </c>
      <c r="O1741" t="s">
        <v>49</v>
      </c>
    </row>
    <row r="1742" spans="1:16" x14ac:dyDescent="0.35">
      <c r="A1742" t="s">
        <v>3624</v>
      </c>
      <c r="B1742" t="s">
        <v>3625</v>
      </c>
      <c r="D1742" t="s">
        <v>54</v>
      </c>
      <c r="F1742" s="1">
        <v>43743</v>
      </c>
      <c r="G1742">
        <v>2011</v>
      </c>
      <c r="H1742" t="s">
        <v>81</v>
      </c>
      <c r="I1742" t="s">
        <v>71</v>
      </c>
      <c r="J1742" t="s">
        <v>153</v>
      </c>
      <c r="K1742">
        <v>9.3000000000000007</v>
      </c>
      <c r="L1742">
        <v>2088286</v>
      </c>
      <c r="M1742">
        <v>2581911</v>
      </c>
      <c r="N1742">
        <v>79</v>
      </c>
      <c r="O1742" t="s">
        <v>41</v>
      </c>
    </row>
    <row r="1743" spans="1:16" x14ac:dyDescent="0.35">
      <c r="A1743" t="s">
        <v>3626</v>
      </c>
      <c r="B1743" t="s">
        <v>3627</v>
      </c>
      <c r="C1743" t="s">
        <v>53</v>
      </c>
      <c r="D1743" t="s">
        <v>36</v>
      </c>
      <c r="E1743" t="s">
        <v>62</v>
      </c>
      <c r="F1743" s="1">
        <v>42108</v>
      </c>
      <c r="G1743">
        <v>2002</v>
      </c>
      <c r="H1743" t="s">
        <v>21</v>
      </c>
      <c r="I1743" t="s">
        <v>95</v>
      </c>
      <c r="J1743" t="s">
        <v>103</v>
      </c>
      <c r="K1743">
        <v>5.3</v>
      </c>
      <c r="L1743">
        <v>10592042</v>
      </c>
      <c r="M1743">
        <v>4630441</v>
      </c>
      <c r="N1743">
        <v>100</v>
      </c>
      <c r="O1743" t="s">
        <v>91</v>
      </c>
      <c r="P1743" t="s">
        <v>32</v>
      </c>
    </row>
    <row r="1744" spans="1:16" x14ac:dyDescent="0.35">
      <c r="A1744" t="s">
        <v>3628</v>
      </c>
      <c r="B1744" t="s">
        <v>3629</v>
      </c>
      <c r="C1744" t="s">
        <v>84</v>
      </c>
      <c r="D1744" t="s">
        <v>90</v>
      </c>
      <c r="E1744" t="s">
        <v>113</v>
      </c>
      <c r="F1744" s="1">
        <v>44036</v>
      </c>
      <c r="G1744">
        <v>2020</v>
      </c>
      <c r="H1744" t="s">
        <v>63</v>
      </c>
      <c r="I1744" t="s">
        <v>132</v>
      </c>
      <c r="J1744" t="s">
        <v>100</v>
      </c>
      <c r="K1744">
        <v>4.7</v>
      </c>
      <c r="L1744">
        <v>13112130</v>
      </c>
      <c r="M1744">
        <v>2009830</v>
      </c>
      <c r="N1744">
        <v>100</v>
      </c>
      <c r="O1744" t="s">
        <v>58</v>
      </c>
      <c r="P1744" t="s">
        <v>42</v>
      </c>
    </row>
    <row r="1745" spans="1:16" x14ac:dyDescent="0.35">
      <c r="A1745" t="s">
        <v>3630</v>
      </c>
      <c r="B1745" t="s">
        <v>3631</v>
      </c>
      <c r="D1745" t="s">
        <v>90</v>
      </c>
      <c r="E1745" t="s">
        <v>80</v>
      </c>
      <c r="F1745" s="1">
        <v>44226</v>
      </c>
      <c r="G1745">
        <v>2013</v>
      </c>
      <c r="H1745" t="s">
        <v>107</v>
      </c>
      <c r="I1745" t="s">
        <v>39</v>
      </c>
      <c r="J1745" t="s">
        <v>76</v>
      </c>
      <c r="K1745">
        <v>8.8000000000000007</v>
      </c>
      <c r="L1745">
        <v>16817969</v>
      </c>
      <c r="M1745">
        <v>443853</v>
      </c>
      <c r="N1745">
        <v>56</v>
      </c>
      <c r="O1745" t="s">
        <v>49</v>
      </c>
      <c r="P1745" t="s">
        <v>42</v>
      </c>
    </row>
    <row r="1746" spans="1:16" x14ac:dyDescent="0.35">
      <c r="A1746" t="s">
        <v>3632</v>
      </c>
      <c r="B1746" t="s">
        <v>3633</v>
      </c>
      <c r="C1746" t="s">
        <v>84</v>
      </c>
      <c r="D1746" t="s">
        <v>54</v>
      </c>
      <c r="E1746" t="s">
        <v>55</v>
      </c>
      <c r="F1746" s="1">
        <v>45426</v>
      </c>
      <c r="G1746">
        <v>2012</v>
      </c>
      <c r="H1746" t="s">
        <v>70</v>
      </c>
      <c r="I1746" t="s">
        <v>788</v>
      </c>
      <c r="J1746" t="s">
        <v>40</v>
      </c>
      <c r="K1746">
        <v>8.8000000000000007</v>
      </c>
      <c r="L1746">
        <v>21585753</v>
      </c>
      <c r="M1746">
        <v>826098</v>
      </c>
      <c r="N1746">
        <v>100</v>
      </c>
      <c r="O1746" t="s">
        <v>31</v>
      </c>
      <c r="P1746" t="s">
        <v>87</v>
      </c>
    </row>
    <row r="1747" spans="1:16" x14ac:dyDescent="0.35">
      <c r="A1747" t="s">
        <v>3634</v>
      </c>
      <c r="B1747" t="s">
        <v>3635</v>
      </c>
      <c r="C1747" t="s">
        <v>84</v>
      </c>
      <c r="D1747" t="s">
        <v>19</v>
      </c>
      <c r="E1747" t="s">
        <v>37</v>
      </c>
      <c r="F1747" s="1">
        <v>45934</v>
      </c>
      <c r="G1747">
        <v>2012</v>
      </c>
      <c r="H1747" t="s">
        <v>107</v>
      </c>
      <c r="I1747" t="s">
        <v>2253</v>
      </c>
      <c r="J1747" t="s">
        <v>153</v>
      </c>
      <c r="K1747">
        <v>9.6</v>
      </c>
      <c r="L1747">
        <v>18808111</v>
      </c>
      <c r="M1747">
        <v>3148120</v>
      </c>
      <c r="N1747">
        <v>66</v>
      </c>
      <c r="O1747" t="s">
        <v>58</v>
      </c>
      <c r="P1747" t="s">
        <v>42</v>
      </c>
    </row>
    <row r="1748" spans="1:16" x14ac:dyDescent="0.35">
      <c r="A1748" t="s">
        <v>3636</v>
      </c>
      <c r="B1748" t="s">
        <v>3637</v>
      </c>
      <c r="C1748" t="s">
        <v>18</v>
      </c>
      <c r="D1748" t="s">
        <v>36</v>
      </c>
      <c r="E1748" t="s">
        <v>62</v>
      </c>
      <c r="F1748" s="1">
        <v>42073</v>
      </c>
      <c r="G1748">
        <v>2009</v>
      </c>
      <c r="H1748" t="s">
        <v>46</v>
      </c>
      <c r="I1748" t="s">
        <v>1777</v>
      </c>
      <c r="J1748" t="s">
        <v>103</v>
      </c>
      <c r="K1748">
        <v>6.8</v>
      </c>
      <c r="L1748">
        <v>22041282</v>
      </c>
      <c r="M1748">
        <v>4192007</v>
      </c>
      <c r="N1748">
        <v>58</v>
      </c>
      <c r="O1748" t="s">
        <v>41</v>
      </c>
      <c r="P1748" t="s">
        <v>87</v>
      </c>
    </row>
    <row r="1749" spans="1:16" x14ac:dyDescent="0.35">
      <c r="A1749" t="s">
        <v>3638</v>
      </c>
      <c r="B1749" t="s">
        <v>3639</v>
      </c>
      <c r="C1749" t="s">
        <v>53</v>
      </c>
      <c r="D1749" t="s">
        <v>94</v>
      </c>
      <c r="F1749" s="1">
        <v>44670</v>
      </c>
      <c r="G1749">
        <v>2006</v>
      </c>
      <c r="H1749" t="s">
        <v>107</v>
      </c>
      <c r="I1749" t="s">
        <v>162</v>
      </c>
      <c r="J1749" t="s">
        <v>40</v>
      </c>
      <c r="K1749">
        <v>7.6</v>
      </c>
      <c r="L1749">
        <v>21436429</v>
      </c>
      <c r="M1749">
        <v>3465696</v>
      </c>
      <c r="N1749">
        <v>74</v>
      </c>
      <c r="O1749" t="s">
        <v>104</v>
      </c>
      <c r="P1749" t="s">
        <v>87</v>
      </c>
    </row>
    <row r="1750" spans="1:16" x14ac:dyDescent="0.35">
      <c r="A1750" t="s">
        <v>3640</v>
      </c>
      <c r="B1750" t="s">
        <v>3641</v>
      </c>
      <c r="C1750" t="s">
        <v>84</v>
      </c>
      <c r="D1750" t="s">
        <v>54</v>
      </c>
      <c r="E1750" t="s">
        <v>37</v>
      </c>
      <c r="F1750" s="1">
        <v>45632</v>
      </c>
      <c r="G1750">
        <v>2006</v>
      </c>
      <c r="H1750" t="s">
        <v>38</v>
      </c>
      <c r="I1750" t="s">
        <v>1008</v>
      </c>
      <c r="J1750" t="s">
        <v>96</v>
      </c>
      <c r="K1750">
        <v>9</v>
      </c>
      <c r="L1750">
        <v>8309086</v>
      </c>
      <c r="M1750">
        <v>3368512</v>
      </c>
      <c r="N1750">
        <v>60</v>
      </c>
      <c r="O1750" t="s">
        <v>58</v>
      </c>
    </row>
    <row r="1751" spans="1:16" x14ac:dyDescent="0.35">
      <c r="A1751" t="s">
        <v>3642</v>
      </c>
      <c r="B1751" t="s">
        <v>3643</v>
      </c>
      <c r="C1751" t="s">
        <v>18</v>
      </c>
      <c r="D1751" t="s">
        <v>19</v>
      </c>
      <c r="E1751" t="s">
        <v>131</v>
      </c>
      <c r="F1751" s="1">
        <v>45955</v>
      </c>
      <c r="G1751">
        <v>2002</v>
      </c>
      <c r="H1751" t="s">
        <v>107</v>
      </c>
      <c r="I1751" t="s">
        <v>1904</v>
      </c>
      <c r="J1751" t="s">
        <v>100</v>
      </c>
      <c r="K1751">
        <v>7.8</v>
      </c>
      <c r="L1751">
        <v>22246005</v>
      </c>
      <c r="M1751">
        <v>4095203</v>
      </c>
      <c r="N1751">
        <v>63</v>
      </c>
      <c r="O1751" t="s">
        <v>41</v>
      </c>
    </row>
    <row r="1752" spans="1:16" x14ac:dyDescent="0.35">
      <c r="A1752" t="s">
        <v>3644</v>
      </c>
      <c r="B1752" t="s">
        <v>3645</v>
      </c>
      <c r="C1752" t="s">
        <v>79</v>
      </c>
      <c r="D1752" t="s">
        <v>27</v>
      </c>
      <c r="E1752" t="s">
        <v>37</v>
      </c>
      <c r="F1752" s="1">
        <v>45647</v>
      </c>
      <c r="G1752">
        <v>2001</v>
      </c>
      <c r="I1752" t="s">
        <v>1023</v>
      </c>
      <c r="J1752" t="s">
        <v>72</v>
      </c>
      <c r="K1752">
        <v>6.4</v>
      </c>
      <c r="L1752">
        <v>13030000</v>
      </c>
      <c r="M1752">
        <v>2634778</v>
      </c>
      <c r="N1752">
        <v>94</v>
      </c>
      <c r="O1752" t="s">
        <v>104</v>
      </c>
      <c r="P1752" t="s">
        <v>32</v>
      </c>
    </row>
    <row r="1753" spans="1:16" x14ac:dyDescent="0.35">
      <c r="A1753" t="s">
        <v>3646</v>
      </c>
      <c r="B1753" t="s">
        <v>3647</v>
      </c>
      <c r="C1753" t="s">
        <v>53</v>
      </c>
      <c r="F1753" s="1">
        <v>42584</v>
      </c>
      <c r="G1753">
        <v>2019</v>
      </c>
      <c r="H1753" t="s">
        <v>121</v>
      </c>
      <c r="I1753" t="s">
        <v>118</v>
      </c>
      <c r="J1753" t="s">
        <v>40</v>
      </c>
      <c r="K1753">
        <v>7.3</v>
      </c>
      <c r="L1753">
        <v>-849</v>
      </c>
      <c r="M1753">
        <v>2658846</v>
      </c>
      <c r="N1753">
        <v>68</v>
      </c>
      <c r="O1753" t="s">
        <v>31</v>
      </c>
      <c r="P1753" t="s">
        <v>42</v>
      </c>
    </row>
    <row r="1754" spans="1:16" x14ac:dyDescent="0.35">
      <c r="A1754" t="s">
        <v>3648</v>
      </c>
      <c r="B1754" t="s">
        <v>3649</v>
      </c>
      <c r="C1754" t="s">
        <v>35</v>
      </c>
      <c r="E1754" t="s">
        <v>80</v>
      </c>
      <c r="F1754" s="1">
        <v>42142</v>
      </c>
      <c r="G1754">
        <v>2005</v>
      </c>
      <c r="H1754" t="s">
        <v>121</v>
      </c>
      <c r="I1754" t="s">
        <v>136</v>
      </c>
      <c r="J1754" t="s">
        <v>153</v>
      </c>
      <c r="K1754">
        <v>6.2</v>
      </c>
      <c r="L1754">
        <v>6971775</v>
      </c>
      <c r="M1754">
        <v>4497218</v>
      </c>
      <c r="N1754">
        <v>41</v>
      </c>
      <c r="O1754" t="s">
        <v>58</v>
      </c>
      <c r="P1754" t="s">
        <v>50</v>
      </c>
    </row>
    <row r="1755" spans="1:16" x14ac:dyDescent="0.35">
      <c r="A1755" t="s">
        <v>3650</v>
      </c>
      <c r="B1755" t="s">
        <v>3651</v>
      </c>
      <c r="C1755" t="s">
        <v>35</v>
      </c>
      <c r="D1755" t="s">
        <v>94</v>
      </c>
      <c r="E1755" t="s">
        <v>99</v>
      </c>
      <c r="F1755" s="1">
        <v>45695</v>
      </c>
      <c r="G1755">
        <v>2007</v>
      </c>
      <c r="H1755" t="s">
        <v>81</v>
      </c>
      <c r="I1755" t="s">
        <v>95</v>
      </c>
      <c r="J1755" t="s">
        <v>23</v>
      </c>
      <c r="K1755">
        <v>8.1</v>
      </c>
      <c r="L1755">
        <v>24017495</v>
      </c>
      <c r="M1755">
        <v>61954</v>
      </c>
      <c r="N1755">
        <v>68</v>
      </c>
      <c r="O1755" t="s">
        <v>58</v>
      </c>
      <c r="P1755" t="s">
        <v>42</v>
      </c>
    </row>
    <row r="1756" spans="1:16" x14ac:dyDescent="0.35">
      <c r="A1756" t="s">
        <v>3652</v>
      </c>
      <c r="B1756" t="s">
        <v>3653</v>
      </c>
      <c r="C1756" t="s">
        <v>18</v>
      </c>
      <c r="D1756" t="s">
        <v>68</v>
      </c>
      <c r="E1756" t="s">
        <v>62</v>
      </c>
      <c r="F1756" s="1">
        <v>43292</v>
      </c>
      <c r="G1756">
        <v>2003</v>
      </c>
      <c r="H1756" t="s">
        <v>70</v>
      </c>
      <c r="I1756" t="s">
        <v>86</v>
      </c>
      <c r="J1756" t="s">
        <v>100</v>
      </c>
      <c r="K1756">
        <v>9.6999999999999993</v>
      </c>
      <c r="L1756">
        <v>10793454</v>
      </c>
      <c r="M1756">
        <v>4417851</v>
      </c>
      <c r="N1756">
        <v>72</v>
      </c>
      <c r="O1756" t="s">
        <v>31</v>
      </c>
      <c r="P1756" t="s">
        <v>32</v>
      </c>
    </row>
    <row r="1757" spans="1:16" x14ac:dyDescent="0.35">
      <c r="A1757" t="s">
        <v>3654</v>
      </c>
      <c r="B1757" t="s">
        <v>3653</v>
      </c>
      <c r="D1757" t="s">
        <v>75</v>
      </c>
      <c r="E1757" t="s">
        <v>37</v>
      </c>
      <c r="F1757" s="1">
        <v>43565</v>
      </c>
      <c r="G1757">
        <v>2013</v>
      </c>
      <c r="H1757" t="s">
        <v>70</v>
      </c>
      <c r="I1757" t="s">
        <v>64</v>
      </c>
      <c r="J1757" t="s">
        <v>103</v>
      </c>
      <c r="K1757">
        <v>6.9</v>
      </c>
      <c r="L1757">
        <v>745124</v>
      </c>
      <c r="M1757">
        <v>1385173</v>
      </c>
      <c r="N1757">
        <v>56</v>
      </c>
      <c r="O1757" t="s">
        <v>65</v>
      </c>
      <c r="P1757" t="s">
        <v>42</v>
      </c>
    </row>
    <row r="1758" spans="1:16" x14ac:dyDescent="0.35">
      <c r="A1758" t="s">
        <v>3655</v>
      </c>
      <c r="B1758" t="s">
        <v>3656</v>
      </c>
      <c r="C1758" t="s">
        <v>35</v>
      </c>
      <c r="D1758" t="s">
        <v>19</v>
      </c>
      <c r="F1758" s="1">
        <v>45400</v>
      </c>
      <c r="G1758">
        <v>2013</v>
      </c>
      <c r="H1758" t="s">
        <v>70</v>
      </c>
      <c r="I1758" t="s">
        <v>162</v>
      </c>
      <c r="J1758" t="s">
        <v>96</v>
      </c>
      <c r="K1758">
        <v>8.1</v>
      </c>
      <c r="L1758">
        <v>1236952</v>
      </c>
      <c r="M1758">
        <v>4387666</v>
      </c>
      <c r="N1758">
        <v>58</v>
      </c>
      <c r="O1758" t="s">
        <v>24</v>
      </c>
    </row>
    <row r="1759" spans="1:16" x14ac:dyDescent="0.35">
      <c r="A1759" t="s">
        <v>3657</v>
      </c>
      <c r="B1759" t="s">
        <v>3658</v>
      </c>
      <c r="C1759" t="s">
        <v>84</v>
      </c>
      <c r="D1759" t="s">
        <v>75</v>
      </c>
      <c r="F1759" s="1">
        <v>45558</v>
      </c>
      <c r="G1759">
        <v>2001</v>
      </c>
      <c r="H1759" t="s">
        <v>114</v>
      </c>
      <c r="I1759" t="s">
        <v>3088</v>
      </c>
      <c r="J1759" t="s">
        <v>48</v>
      </c>
      <c r="K1759">
        <v>9.1</v>
      </c>
      <c r="L1759">
        <v>15646452</v>
      </c>
      <c r="M1759">
        <v>776227</v>
      </c>
      <c r="N1759">
        <v>71</v>
      </c>
      <c r="O1759" t="s">
        <v>31</v>
      </c>
      <c r="P1759" t="s">
        <v>32</v>
      </c>
    </row>
    <row r="1760" spans="1:16" x14ac:dyDescent="0.35">
      <c r="A1760" t="s">
        <v>3659</v>
      </c>
      <c r="B1760" t="s">
        <v>3660</v>
      </c>
      <c r="D1760" t="s">
        <v>27</v>
      </c>
      <c r="F1760" s="1">
        <v>43221</v>
      </c>
      <c r="G1760">
        <v>2005</v>
      </c>
      <c r="H1760" t="s">
        <v>121</v>
      </c>
      <c r="I1760" t="s">
        <v>136</v>
      </c>
      <c r="J1760" t="s">
        <v>40</v>
      </c>
      <c r="K1760">
        <v>7.8</v>
      </c>
      <c r="L1760">
        <v>4967482</v>
      </c>
      <c r="M1760">
        <v>1216012</v>
      </c>
      <c r="N1760">
        <v>98</v>
      </c>
      <c r="P1760" t="s">
        <v>87</v>
      </c>
    </row>
    <row r="1761" spans="1:16" x14ac:dyDescent="0.35">
      <c r="A1761" t="s">
        <v>3661</v>
      </c>
      <c r="B1761" t="s">
        <v>3662</v>
      </c>
      <c r="C1761" t="s">
        <v>79</v>
      </c>
      <c r="D1761" t="s">
        <v>36</v>
      </c>
      <c r="E1761" t="s">
        <v>131</v>
      </c>
      <c r="F1761" s="1">
        <v>44094</v>
      </c>
      <c r="G1761">
        <v>2019</v>
      </c>
      <c r="H1761" t="s">
        <v>121</v>
      </c>
      <c r="I1761" t="s">
        <v>492</v>
      </c>
      <c r="J1761" t="s">
        <v>103</v>
      </c>
      <c r="K1761">
        <v>9.4</v>
      </c>
      <c r="L1761">
        <v>19922128</v>
      </c>
      <c r="M1761">
        <v>393301</v>
      </c>
      <c r="N1761">
        <v>78</v>
      </c>
      <c r="O1761" t="s">
        <v>24</v>
      </c>
    </row>
    <row r="1762" spans="1:16" x14ac:dyDescent="0.35">
      <c r="A1762" t="s">
        <v>3663</v>
      </c>
      <c r="B1762" t="s">
        <v>3664</v>
      </c>
      <c r="C1762" t="s">
        <v>53</v>
      </c>
      <c r="F1762" s="1">
        <v>42852</v>
      </c>
      <c r="G1762">
        <v>2003</v>
      </c>
      <c r="H1762" t="s">
        <v>121</v>
      </c>
      <c r="I1762" t="s">
        <v>162</v>
      </c>
      <c r="J1762" t="s">
        <v>23</v>
      </c>
      <c r="K1762">
        <v>5.0999999999999996</v>
      </c>
      <c r="L1762">
        <v>11096803</v>
      </c>
      <c r="M1762">
        <v>3728807</v>
      </c>
      <c r="N1762">
        <v>85</v>
      </c>
      <c r="O1762" t="s">
        <v>41</v>
      </c>
      <c r="P1762" t="s">
        <v>42</v>
      </c>
    </row>
    <row r="1763" spans="1:16" x14ac:dyDescent="0.35">
      <c r="A1763" t="s">
        <v>3665</v>
      </c>
      <c r="B1763" t="s">
        <v>3666</v>
      </c>
      <c r="C1763" t="s">
        <v>18</v>
      </c>
      <c r="D1763" t="s">
        <v>27</v>
      </c>
      <c r="F1763" s="1">
        <v>44519</v>
      </c>
      <c r="G1763">
        <v>2011</v>
      </c>
      <c r="I1763" t="s">
        <v>1751</v>
      </c>
      <c r="J1763" t="s">
        <v>30</v>
      </c>
      <c r="K1763">
        <v>7.1</v>
      </c>
      <c r="L1763">
        <v>16623661</v>
      </c>
      <c r="M1763">
        <v>1572740</v>
      </c>
      <c r="N1763">
        <v>54</v>
      </c>
      <c r="O1763" t="s">
        <v>104</v>
      </c>
      <c r="P1763" t="s">
        <v>42</v>
      </c>
    </row>
    <row r="1764" spans="1:16" x14ac:dyDescent="0.35">
      <c r="A1764" t="s">
        <v>3667</v>
      </c>
      <c r="B1764" t="s">
        <v>3668</v>
      </c>
      <c r="C1764" t="s">
        <v>84</v>
      </c>
      <c r="D1764" t="s">
        <v>36</v>
      </c>
      <c r="E1764" t="s">
        <v>69</v>
      </c>
      <c r="F1764" s="1">
        <v>46120</v>
      </c>
      <c r="G1764">
        <v>2017</v>
      </c>
      <c r="H1764" t="s">
        <v>114</v>
      </c>
      <c r="I1764" t="s">
        <v>738</v>
      </c>
      <c r="J1764" t="s">
        <v>40</v>
      </c>
      <c r="K1764">
        <v>9.4</v>
      </c>
      <c r="L1764">
        <v>16110593</v>
      </c>
      <c r="M1764">
        <v>2706616</v>
      </c>
      <c r="N1764">
        <v>98</v>
      </c>
      <c r="O1764" t="s">
        <v>24</v>
      </c>
    </row>
    <row r="1765" spans="1:16" x14ac:dyDescent="0.35">
      <c r="A1765" t="s">
        <v>3669</v>
      </c>
      <c r="B1765" t="s">
        <v>3670</v>
      </c>
      <c r="C1765" t="s">
        <v>53</v>
      </c>
      <c r="E1765" t="s">
        <v>20</v>
      </c>
      <c r="F1765" s="1">
        <v>43187</v>
      </c>
      <c r="G1765">
        <v>2004</v>
      </c>
      <c r="H1765" t="s">
        <v>21</v>
      </c>
      <c r="I1765" t="s">
        <v>71</v>
      </c>
      <c r="J1765" t="s">
        <v>30</v>
      </c>
      <c r="K1765">
        <v>5.6</v>
      </c>
      <c r="L1765">
        <v>19004794</v>
      </c>
      <c r="M1765">
        <v>1939086</v>
      </c>
      <c r="N1765">
        <v>79</v>
      </c>
      <c r="O1765" t="s">
        <v>31</v>
      </c>
      <c r="P1765" t="s">
        <v>32</v>
      </c>
    </row>
    <row r="1766" spans="1:16" x14ac:dyDescent="0.35">
      <c r="A1766" t="s">
        <v>3671</v>
      </c>
      <c r="B1766" t="s">
        <v>3672</v>
      </c>
      <c r="C1766" t="s">
        <v>35</v>
      </c>
      <c r="D1766" t="s">
        <v>68</v>
      </c>
      <c r="E1766" t="s">
        <v>113</v>
      </c>
      <c r="F1766" s="1">
        <v>45148</v>
      </c>
      <c r="G1766">
        <v>2019</v>
      </c>
      <c r="H1766" t="s">
        <v>21</v>
      </c>
      <c r="I1766" t="s">
        <v>64</v>
      </c>
      <c r="J1766" t="s">
        <v>57</v>
      </c>
      <c r="K1766">
        <v>6.3</v>
      </c>
      <c r="L1766">
        <v>3149994</v>
      </c>
      <c r="M1766">
        <v>4646707</v>
      </c>
      <c r="N1766">
        <v>51</v>
      </c>
      <c r="O1766" t="s">
        <v>91</v>
      </c>
      <c r="P1766" t="s">
        <v>32</v>
      </c>
    </row>
    <row r="1767" spans="1:16" x14ac:dyDescent="0.35">
      <c r="A1767" t="s">
        <v>3673</v>
      </c>
      <c r="B1767" t="s">
        <v>3674</v>
      </c>
      <c r="C1767" t="s">
        <v>79</v>
      </c>
      <c r="D1767" t="s">
        <v>36</v>
      </c>
      <c r="E1767" t="s">
        <v>99</v>
      </c>
      <c r="F1767" s="1">
        <v>44066</v>
      </c>
      <c r="G1767">
        <v>2009</v>
      </c>
      <c r="H1767" t="s">
        <v>114</v>
      </c>
      <c r="I1767" t="s">
        <v>299</v>
      </c>
      <c r="K1767">
        <v>8.8000000000000007</v>
      </c>
      <c r="L1767">
        <v>8809210</v>
      </c>
      <c r="M1767">
        <v>1165407</v>
      </c>
      <c r="N1767">
        <v>47</v>
      </c>
      <c r="O1767" t="s">
        <v>104</v>
      </c>
      <c r="P1767" t="s">
        <v>50</v>
      </c>
    </row>
    <row r="1768" spans="1:16" x14ac:dyDescent="0.35">
      <c r="A1768" t="s">
        <v>3675</v>
      </c>
      <c r="B1768" t="s">
        <v>3676</v>
      </c>
      <c r="C1768" t="s">
        <v>18</v>
      </c>
      <c r="D1768" t="s">
        <v>61</v>
      </c>
      <c r="E1768" t="s">
        <v>20</v>
      </c>
      <c r="F1768" s="1">
        <v>42277</v>
      </c>
      <c r="G1768">
        <v>2004</v>
      </c>
      <c r="H1768" t="s">
        <v>46</v>
      </c>
      <c r="I1768" t="s">
        <v>1751</v>
      </c>
      <c r="J1768" t="s">
        <v>76</v>
      </c>
      <c r="K1768">
        <v>6.1</v>
      </c>
      <c r="L1768">
        <v>23787561</v>
      </c>
      <c r="M1768">
        <v>3386699</v>
      </c>
      <c r="N1768">
        <v>62</v>
      </c>
      <c r="O1768" t="s">
        <v>41</v>
      </c>
    </row>
    <row r="1769" spans="1:16" x14ac:dyDescent="0.35">
      <c r="A1769" t="s">
        <v>3677</v>
      </c>
      <c r="B1769" t="s">
        <v>3678</v>
      </c>
      <c r="D1769" t="s">
        <v>90</v>
      </c>
      <c r="F1769" s="1">
        <v>42375</v>
      </c>
      <c r="G1769">
        <v>2012</v>
      </c>
      <c r="H1769" t="s">
        <v>46</v>
      </c>
      <c r="I1769" t="s">
        <v>64</v>
      </c>
      <c r="J1769" t="s">
        <v>48</v>
      </c>
      <c r="K1769">
        <v>6.8</v>
      </c>
      <c r="L1769">
        <v>-860</v>
      </c>
      <c r="M1769">
        <v>2194407</v>
      </c>
      <c r="N1769">
        <v>67</v>
      </c>
      <c r="O1769" t="s">
        <v>58</v>
      </c>
      <c r="P1769" t="s">
        <v>50</v>
      </c>
    </row>
    <row r="1770" spans="1:16" x14ac:dyDescent="0.35">
      <c r="A1770" t="s">
        <v>3679</v>
      </c>
      <c r="B1770" t="s">
        <v>3680</v>
      </c>
      <c r="C1770" t="s">
        <v>18</v>
      </c>
      <c r="D1770" t="s">
        <v>75</v>
      </c>
      <c r="E1770" t="s">
        <v>165</v>
      </c>
      <c r="F1770" s="1">
        <v>44558</v>
      </c>
      <c r="G1770">
        <v>2002</v>
      </c>
      <c r="H1770" t="s">
        <v>121</v>
      </c>
      <c r="I1770" t="s">
        <v>3088</v>
      </c>
      <c r="J1770" t="s">
        <v>57</v>
      </c>
      <c r="K1770">
        <v>7.7</v>
      </c>
      <c r="L1770">
        <v>14976564</v>
      </c>
      <c r="M1770">
        <v>3036375</v>
      </c>
      <c r="N1770">
        <v>67</v>
      </c>
      <c r="P1770" t="s">
        <v>42</v>
      </c>
    </row>
    <row r="1771" spans="1:16" x14ac:dyDescent="0.35">
      <c r="A1771" t="s">
        <v>3681</v>
      </c>
      <c r="B1771" t="s">
        <v>3682</v>
      </c>
      <c r="C1771" t="s">
        <v>79</v>
      </c>
      <c r="E1771" t="s">
        <v>113</v>
      </c>
      <c r="F1771" s="1">
        <v>43022</v>
      </c>
      <c r="G1771">
        <v>2021</v>
      </c>
      <c r="H1771" t="s">
        <v>81</v>
      </c>
      <c r="J1771" t="s">
        <v>30</v>
      </c>
      <c r="K1771">
        <v>7.7</v>
      </c>
      <c r="L1771">
        <v>3867220</v>
      </c>
      <c r="M1771">
        <v>1323533</v>
      </c>
      <c r="N1771">
        <v>87</v>
      </c>
      <c r="O1771" t="s">
        <v>24</v>
      </c>
      <c r="P1771" t="s">
        <v>42</v>
      </c>
    </row>
    <row r="1772" spans="1:16" x14ac:dyDescent="0.35">
      <c r="A1772" t="s">
        <v>3683</v>
      </c>
      <c r="B1772" t="s">
        <v>3684</v>
      </c>
      <c r="C1772" t="s">
        <v>79</v>
      </c>
      <c r="D1772" t="s">
        <v>19</v>
      </c>
      <c r="E1772" t="s">
        <v>99</v>
      </c>
      <c r="F1772" s="1">
        <v>45157</v>
      </c>
      <c r="G1772">
        <v>2026</v>
      </c>
      <c r="H1772" t="s">
        <v>46</v>
      </c>
      <c r="I1772" t="s">
        <v>994</v>
      </c>
      <c r="J1772" t="s">
        <v>48</v>
      </c>
      <c r="K1772">
        <v>9.5</v>
      </c>
      <c r="L1772">
        <v>3790365</v>
      </c>
      <c r="M1772">
        <v>1775700</v>
      </c>
      <c r="N1772">
        <v>93</v>
      </c>
      <c r="O1772" t="s">
        <v>24</v>
      </c>
      <c r="P1772" t="s">
        <v>42</v>
      </c>
    </row>
    <row r="1773" spans="1:16" x14ac:dyDescent="0.35">
      <c r="A1773" t="s">
        <v>3685</v>
      </c>
      <c r="B1773" t="s">
        <v>3686</v>
      </c>
      <c r="C1773" t="s">
        <v>35</v>
      </c>
      <c r="D1773" t="s">
        <v>27</v>
      </c>
      <c r="E1773" t="s">
        <v>55</v>
      </c>
      <c r="F1773" s="1">
        <v>44830</v>
      </c>
      <c r="G1773">
        <v>2026</v>
      </c>
      <c r="H1773" t="s">
        <v>85</v>
      </c>
      <c r="J1773" t="s">
        <v>30</v>
      </c>
      <c r="K1773">
        <v>4.5999999999999996</v>
      </c>
      <c r="L1773">
        <v>8806201</v>
      </c>
      <c r="M1773">
        <v>3737181</v>
      </c>
      <c r="N1773">
        <v>76</v>
      </c>
      <c r="O1773" t="s">
        <v>65</v>
      </c>
      <c r="P1773" t="s">
        <v>50</v>
      </c>
    </row>
    <row r="1774" spans="1:16" x14ac:dyDescent="0.35">
      <c r="A1774" t="s">
        <v>3687</v>
      </c>
      <c r="B1774" t="s">
        <v>3688</v>
      </c>
      <c r="C1774" t="s">
        <v>53</v>
      </c>
      <c r="D1774" t="s">
        <v>94</v>
      </c>
      <c r="F1774" s="1">
        <v>42429</v>
      </c>
      <c r="G1774">
        <v>2009</v>
      </c>
      <c r="H1774" t="s">
        <v>46</v>
      </c>
      <c r="I1774" t="s">
        <v>64</v>
      </c>
      <c r="J1774" t="s">
        <v>103</v>
      </c>
      <c r="K1774">
        <v>8.4</v>
      </c>
      <c r="L1774">
        <v>11501590</v>
      </c>
      <c r="M1774">
        <v>3715403</v>
      </c>
      <c r="N1774">
        <v>58</v>
      </c>
      <c r="O1774" t="s">
        <v>31</v>
      </c>
      <c r="P1774" t="s">
        <v>87</v>
      </c>
    </row>
    <row r="1775" spans="1:16" x14ac:dyDescent="0.35">
      <c r="A1775" t="s">
        <v>3689</v>
      </c>
      <c r="B1775" t="s">
        <v>3690</v>
      </c>
      <c r="D1775" t="s">
        <v>156</v>
      </c>
      <c r="E1775" t="s">
        <v>99</v>
      </c>
      <c r="F1775" s="1">
        <v>45515</v>
      </c>
      <c r="G1775">
        <v>2005</v>
      </c>
      <c r="H1775" t="s">
        <v>107</v>
      </c>
      <c r="I1775" t="s">
        <v>64</v>
      </c>
      <c r="J1775" t="s">
        <v>103</v>
      </c>
      <c r="K1775">
        <v>9.1999999999999993</v>
      </c>
      <c r="L1775">
        <v>12820366</v>
      </c>
      <c r="M1775">
        <v>3259193</v>
      </c>
      <c r="N1775">
        <v>85</v>
      </c>
      <c r="O1775" t="s">
        <v>104</v>
      </c>
      <c r="P1775" t="s">
        <v>50</v>
      </c>
    </row>
    <row r="1776" spans="1:16" x14ac:dyDescent="0.35">
      <c r="A1776" t="s">
        <v>3691</v>
      </c>
      <c r="B1776" t="s">
        <v>3692</v>
      </c>
      <c r="E1776" t="s">
        <v>45</v>
      </c>
      <c r="F1776" s="1">
        <v>43239</v>
      </c>
      <c r="G1776">
        <v>2004</v>
      </c>
      <c r="H1776" t="s">
        <v>46</v>
      </c>
      <c r="I1776" t="s">
        <v>56</v>
      </c>
      <c r="J1776" t="s">
        <v>40</v>
      </c>
      <c r="K1776">
        <v>6.6</v>
      </c>
      <c r="L1776">
        <v>19018942</v>
      </c>
      <c r="M1776">
        <v>1968644</v>
      </c>
      <c r="N1776">
        <v>92</v>
      </c>
      <c r="O1776" t="s">
        <v>91</v>
      </c>
      <c r="P1776" t="s">
        <v>42</v>
      </c>
    </row>
    <row r="1777" spans="1:16" x14ac:dyDescent="0.35">
      <c r="A1777" t="s">
        <v>3693</v>
      </c>
      <c r="B1777" t="s">
        <v>3694</v>
      </c>
      <c r="C1777" t="s">
        <v>79</v>
      </c>
      <c r="D1777" t="s">
        <v>75</v>
      </c>
      <c r="E1777" t="s">
        <v>45</v>
      </c>
      <c r="F1777" s="1">
        <v>45336</v>
      </c>
      <c r="G1777">
        <v>2008</v>
      </c>
      <c r="H1777" t="s">
        <v>63</v>
      </c>
      <c r="I1777" t="s">
        <v>1279</v>
      </c>
      <c r="J1777" t="s">
        <v>48</v>
      </c>
      <c r="K1777">
        <v>6.7</v>
      </c>
      <c r="L1777">
        <v>9567259</v>
      </c>
      <c r="M1777">
        <v>1769990</v>
      </c>
      <c r="N1777">
        <v>42</v>
      </c>
      <c r="O1777" t="s">
        <v>123</v>
      </c>
      <c r="P1777" t="s">
        <v>87</v>
      </c>
    </row>
    <row r="1778" spans="1:16" x14ac:dyDescent="0.35">
      <c r="A1778" t="s">
        <v>3695</v>
      </c>
      <c r="B1778" t="s">
        <v>3696</v>
      </c>
      <c r="C1778" t="s">
        <v>79</v>
      </c>
      <c r="D1778" t="s">
        <v>156</v>
      </c>
      <c r="E1778" t="s">
        <v>45</v>
      </c>
      <c r="F1778" s="1">
        <v>43718</v>
      </c>
      <c r="G1778">
        <v>2005</v>
      </c>
      <c r="H1778" t="s">
        <v>63</v>
      </c>
      <c r="I1778" t="s">
        <v>315</v>
      </c>
      <c r="J1778" t="s">
        <v>153</v>
      </c>
      <c r="K1778">
        <v>4.7</v>
      </c>
      <c r="L1778">
        <v>13555676</v>
      </c>
      <c r="M1778">
        <v>4665027</v>
      </c>
      <c r="N1778">
        <v>46</v>
      </c>
      <c r="O1778" t="s">
        <v>24</v>
      </c>
      <c r="P1778" t="s">
        <v>42</v>
      </c>
    </row>
    <row r="1779" spans="1:16" x14ac:dyDescent="0.35">
      <c r="A1779" t="s">
        <v>3697</v>
      </c>
      <c r="B1779" t="s">
        <v>3698</v>
      </c>
      <c r="D1779" t="s">
        <v>27</v>
      </c>
      <c r="E1779" t="s">
        <v>62</v>
      </c>
      <c r="F1779" s="1">
        <v>43028</v>
      </c>
      <c r="G1779">
        <v>2026</v>
      </c>
      <c r="H1779" t="s">
        <v>70</v>
      </c>
      <c r="I1779" t="s">
        <v>162</v>
      </c>
      <c r="J1779" t="s">
        <v>57</v>
      </c>
      <c r="K1779">
        <v>5.8</v>
      </c>
      <c r="L1779">
        <v>20451193</v>
      </c>
      <c r="M1779">
        <v>1339547</v>
      </c>
      <c r="N1779">
        <v>74</v>
      </c>
      <c r="O1779" t="s">
        <v>123</v>
      </c>
      <c r="P1779" t="s">
        <v>42</v>
      </c>
    </row>
    <row r="1780" spans="1:16" x14ac:dyDescent="0.35">
      <c r="A1780" t="s">
        <v>3699</v>
      </c>
      <c r="B1780" t="s">
        <v>3700</v>
      </c>
      <c r="D1780" t="s">
        <v>36</v>
      </c>
      <c r="E1780" t="s">
        <v>69</v>
      </c>
      <c r="F1780" s="1">
        <v>45338</v>
      </c>
      <c r="G1780">
        <v>2015</v>
      </c>
      <c r="H1780" t="s">
        <v>107</v>
      </c>
      <c r="I1780" t="s">
        <v>56</v>
      </c>
      <c r="J1780" t="s">
        <v>76</v>
      </c>
      <c r="K1780">
        <v>4.5999999999999996</v>
      </c>
      <c r="L1780">
        <v>18034561</v>
      </c>
      <c r="M1780">
        <v>439938</v>
      </c>
      <c r="N1780">
        <v>77</v>
      </c>
      <c r="O1780" t="s">
        <v>104</v>
      </c>
      <c r="P1780" t="s">
        <v>42</v>
      </c>
    </row>
    <row r="1781" spans="1:16" x14ac:dyDescent="0.35">
      <c r="A1781" t="s">
        <v>3701</v>
      </c>
      <c r="B1781" t="s">
        <v>3702</v>
      </c>
      <c r="C1781" t="s">
        <v>53</v>
      </c>
      <c r="E1781" t="s">
        <v>62</v>
      </c>
      <c r="F1781" s="1">
        <v>43268</v>
      </c>
      <c r="G1781">
        <v>2002</v>
      </c>
      <c r="H1781" t="s">
        <v>70</v>
      </c>
      <c r="I1781" t="s">
        <v>118</v>
      </c>
      <c r="J1781" t="s">
        <v>96</v>
      </c>
      <c r="K1781">
        <v>5.5</v>
      </c>
      <c r="L1781">
        <v>7980111</v>
      </c>
      <c r="M1781">
        <v>2821624</v>
      </c>
      <c r="N1781">
        <v>97</v>
      </c>
      <c r="O1781" t="s">
        <v>123</v>
      </c>
      <c r="P1781" t="s">
        <v>87</v>
      </c>
    </row>
    <row r="1782" spans="1:16" x14ac:dyDescent="0.35">
      <c r="A1782" t="s">
        <v>3703</v>
      </c>
      <c r="B1782" t="s">
        <v>3704</v>
      </c>
      <c r="C1782" t="s">
        <v>79</v>
      </c>
      <c r="D1782" t="s">
        <v>156</v>
      </c>
      <c r="E1782" t="s">
        <v>131</v>
      </c>
      <c r="F1782" s="1">
        <v>43752</v>
      </c>
      <c r="G1782">
        <v>2011</v>
      </c>
      <c r="I1782" t="s">
        <v>402</v>
      </c>
      <c r="J1782" t="s">
        <v>103</v>
      </c>
      <c r="K1782">
        <v>5</v>
      </c>
      <c r="L1782">
        <v>-753</v>
      </c>
      <c r="M1782">
        <v>1535146</v>
      </c>
      <c r="N1782">
        <v>69</v>
      </c>
      <c r="O1782" t="s">
        <v>65</v>
      </c>
      <c r="P1782" t="s">
        <v>42</v>
      </c>
    </row>
    <row r="1783" spans="1:16" x14ac:dyDescent="0.35">
      <c r="A1783" t="s">
        <v>3705</v>
      </c>
      <c r="B1783" t="s">
        <v>3706</v>
      </c>
      <c r="C1783" t="s">
        <v>18</v>
      </c>
      <c r="D1783" t="s">
        <v>94</v>
      </c>
      <c r="E1783" t="s">
        <v>99</v>
      </c>
      <c r="F1783" s="1">
        <v>42112</v>
      </c>
      <c r="G1783">
        <v>2003</v>
      </c>
      <c r="H1783" t="s">
        <v>63</v>
      </c>
      <c r="I1783" t="s">
        <v>1005</v>
      </c>
      <c r="K1783">
        <v>7.8</v>
      </c>
      <c r="L1783">
        <v>1631051</v>
      </c>
      <c r="M1783">
        <v>1845959</v>
      </c>
      <c r="N1783">
        <v>90</v>
      </c>
      <c r="O1783" t="s">
        <v>31</v>
      </c>
    </row>
    <row r="1784" spans="1:16" x14ac:dyDescent="0.35">
      <c r="A1784" t="s">
        <v>3707</v>
      </c>
      <c r="B1784" t="s">
        <v>3708</v>
      </c>
      <c r="C1784" t="s">
        <v>84</v>
      </c>
      <c r="E1784" t="s">
        <v>165</v>
      </c>
      <c r="F1784" s="1">
        <v>44199</v>
      </c>
      <c r="G1784">
        <v>2022</v>
      </c>
      <c r="H1784" t="s">
        <v>85</v>
      </c>
      <c r="I1784" t="s">
        <v>402</v>
      </c>
      <c r="J1784" t="s">
        <v>40</v>
      </c>
      <c r="K1784">
        <v>7.7</v>
      </c>
      <c r="L1784">
        <v>24181690</v>
      </c>
      <c r="M1784">
        <v>4530628</v>
      </c>
      <c r="N1784">
        <v>51</v>
      </c>
      <c r="O1784" t="s">
        <v>49</v>
      </c>
    </row>
    <row r="1785" spans="1:16" x14ac:dyDescent="0.35">
      <c r="A1785" t="s">
        <v>3709</v>
      </c>
      <c r="B1785" t="s">
        <v>3710</v>
      </c>
      <c r="C1785" t="s">
        <v>35</v>
      </c>
      <c r="D1785" t="s">
        <v>94</v>
      </c>
      <c r="F1785" s="1">
        <v>42714</v>
      </c>
      <c r="G1785">
        <v>2007</v>
      </c>
      <c r="H1785" t="s">
        <v>114</v>
      </c>
      <c r="J1785" t="s">
        <v>76</v>
      </c>
      <c r="K1785">
        <v>6.8</v>
      </c>
      <c r="L1785">
        <v>19903448</v>
      </c>
      <c r="M1785">
        <v>4723048</v>
      </c>
      <c r="N1785">
        <v>40</v>
      </c>
      <c r="O1785" t="s">
        <v>24</v>
      </c>
      <c r="P1785" t="s">
        <v>32</v>
      </c>
    </row>
    <row r="1786" spans="1:16" x14ac:dyDescent="0.35">
      <c r="A1786" t="s">
        <v>3711</v>
      </c>
      <c r="B1786" t="s">
        <v>3712</v>
      </c>
      <c r="C1786" t="s">
        <v>18</v>
      </c>
      <c r="E1786" t="s">
        <v>99</v>
      </c>
      <c r="F1786" s="1">
        <v>43500</v>
      </c>
      <c r="G1786">
        <v>2017</v>
      </c>
      <c r="H1786" t="s">
        <v>38</v>
      </c>
      <c r="I1786" t="s">
        <v>1452</v>
      </c>
      <c r="J1786" t="s">
        <v>96</v>
      </c>
      <c r="K1786">
        <v>8.1999999999999993</v>
      </c>
      <c r="L1786">
        <v>-390</v>
      </c>
      <c r="M1786">
        <v>4045207</v>
      </c>
      <c r="N1786">
        <v>60</v>
      </c>
      <c r="O1786" t="s">
        <v>91</v>
      </c>
      <c r="P1786" t="s">
        <v>32</v>
      </c>
    </row>
    <row r="1787" spans="1:16" x14ac:dyDescent="0.35">
      <c r="A1787" t="s">
        <v>3713</v>
      </c>
      <c r="B1787" t="s">
        <v>3714</v>
      </c>
      <c r="C1787" t="s">
        <v>35</v>
      </c>
      <c r="D1787" t="s">
        <v>27</v>
      </c>
      <c r="E1787" t="s">
        <v>113</v>
      </c>
      <c r="F1787" s="1">
        <v>44460</v>
      </c>
      <c r="G1787">
        <v>2019</v>
      </c>
      <c r="H1787" t="s">
        <v>70</v>
      </c>
      <c r="I1787" t="s">
        <v>162</v>
      </c>
      <c r="J1787" t="s">
        <v>153</v>
      </c>
      <c r="K1787">
        <v>7.1</v>
      </c>
      <c r="L1787">
        <v>24796858</v>
      </c>
      <c r="M1787">
        <v>684420</v>
      </c>
      <c r="N1787">
        <v>48</v>
      </c>
      <c r="P1787" t="s">
        <v>42</v>
      </c>
    </row>
    <row r="1788" spans="1:16" x14ac:dyDescent="0.35">
      <c r="A1788" t="s">
        <v>3715</v>
      </c>
      <c r="B1788" t="s">
        <v>3716</v>
      </c>
      <c r="D1788" t="s">
        <v>94</v>
      </c>
      <c r="E1788" t="s">
        <v>62</v>
      </c>
      <c r="F1788" s="1">
        <v>45899</v>
      </c>
      <c r="G1788">
        <v>2018</v>
      </c>
      <c r="H1788" t="s">
        <v>63</v>
      </c>
      <c r="I1788" t="s">
        <v>71</v>
      </c>
      <c r="J1788" t="s">
        <v>57</v>
      </c>
      <c r="K1788">
        <v>5.8</v>
      </c>
      <c r="L1788">
        <v>6268571</v>
      </c>
      <c r="M1788">
        <v>3799700</v>
      </c>
      <c r="N1788">
        <v>81</v>
      </c>
      <c r="O1788" t="s">
        <v>24</v>
      </c>
      <c r="P1788" t="s">
        <v>42</v>
      </c>
    </row>
    <row r="1789" spans="1:16" x14ac:dyDescent="0.35">
      <c r="A1789" t="s">
        <v>3717</v>
      </c>
      <c r="B1789" t="s">
        <v>3718</v>
      </c>
      <c r="C1789" t="s">
        <v>79</v>
      </c>
      <c r="F1789" s="1">
        <v>42876</v>
      </c>
      <c r="G1789">
        <v>2016</v>
      </c>
      <c r="H1789" t="s">
        <v>70</v>
      </c>
      <c r="I1789" t="s">
        <v>720</v>
      </c>
      <c r="J1789" t="s">
        <v>48</v>
      </c>
      <c r="K1789">
        <v>7.3</v>
      </c>
      <c r="L1789">
        <v>14458874</v>
      </c>
      <c r="M1789">
        <v>660459</v>
      </c>
      <c r="N1789">
        <v>71</v>
      </c>
      <c r="O1789" t="s">
        <v>65</v>
      </c>
    </row>
    <row r="1790" spans="1:16" x14ac:dyDescent="0.35">
      <c r="A1790" t="s">
        <v>3719</v>
      </c>
      <c r="B1790" t="s">
        <v>3720</v>
      </c>
      <c r="C1790" t="s">
        <v>35</v>
      </c>
      <c r="D1790" t="s">
        <v>61</v>
      </c>
      <c r="E1790" t="s">
        <v>113</v>
      </c>
      <c r="F1790" s="1">
        <v>42043</v>
      </c>
      <c r="G1790">
        <v>2023</v>
      </c>
      <c r="H1790" t="s">
        <v>107</v>
      </c>
      <c r="I1790" t="s">
        <v>162</v>
      </c>
      <c r="J1790" t="s">
        <v>153</v>
      </c>
      <c r="K1790">
        <v>8</v>
      </c>
      <c r="L1790">
        <v>966522</v>
      </c>
      <c r="M1790">
        <v>4689509</v>
      </c>
      <c r="N1790">
        <v>54</v>
      </c>
      <c r="O1790" t="s">
        <v>123</v>
      </c>
      <c r="P1790" t="s">
        <v>50</v>
      </c>
    </row>
    <row r="1791" spans="1:16" x14ac:dyDescent="0.35">
      <c r="A1791" t="s">
        <v>3721</v>
      </c>
      <c r="B1791" t="s">
        <v>3722</v>
      </c>
      <c r="C1791" t="s">
        <v>84</v>
      </c>
      <c r="D1791" t="s">
        <v>61</v>
      </c>
      <c r="E1791" t="s">
        <v>99</v>
      </c>
      <c r="F1791" s="1">
        <v>42125</v>
      </c>
      <c r="G1791">
        <v>2004</v>
      </c>
      <c r="H1791" t="s">
        <v>81</v>
      </c>
      <c r="I1791" t="s">
        <v>115</v>
      </c>
      <c r="J1791" t="s">
        <v>30</v>
      </c>
      <c r="K1791">
        <v>7.6</v>
      </c>
      <c r="L1791">
        <v>7015488</v>
      </c>
      <c r="M1791">
        <v>2470424</v>
      </c>
      <c r="N1791">
        <v>45</v>
      </c>
      <c r="O1791" t="s">
        <v>91</v>
      </c>
      <c r="P1791" t="s">
        <v>42</v>
      </c>
    </row>
    <row r="1792" spans="1:16" x14ac:dyDescent="0.35">
      <c r="A1792" t="s">
        <v>3723</v>
      </c>
      <c r="B1792" t="s">
        <v>3724</v>
      </c>
      <c r="C1792" t="s">
        <v>84</v>
      </c>
      <c r="E1792" t="s">
        <v>62</v>
      </c>
      <c r="F1792" s="1">
        <v>45214</v>
      </c>
      <c r="G1792">
        <v>2013</v>
      </c>
      <c r="H1792" t="s">
        <v>121</v>
      </c>
      <c r="I1792" t="s">
        <v>627</v>
      </c>
      <c r="J1792" t="s">
        <v>40</v>
      </c>
      <c r="K1792">
        <v>7.3</v>
      </c>
      <c r="L1792">
        <v>8176445</v>
      </c>
      <c r="M1792">
        <v>3063851</v>
      </c>
      <c r="N1792">
        <v>61</v>
      </c>
      <c r="O1792" t="s">
        <v>65</v>
      </c>
      <c r="P1792" t="s">
        <v>50</v>
      </c>
    </row>
    <row r="1793" spans="1:16" x14ac:dyDescent="0.35">
      <c r="A1793" t="s">
        <v>3725</v>
      </c>
      <c r="B1793" t="s">
        <v>3726</v>
      </c>
      <c r="C1793" t="s">
        <v>79</v>
      </c>
      <c r="D1793" t="s">
        <v>75</v>
      </c>
      <c r="E1793" t="s">
        <v>131</v>
      </c>
      <c r="F1793" s="1">
        <v>45640</v>
      </c>
      <c r="G1793">
        <v>2017</v>
      </c>
      <c r="I1793" t="s">
        <v>254</v>
      </c>
      <c r="J1793" t="s">
        <v>103</v>
      </c>
      <c r="K1793">
        <v>5.2</v>
      </c>
      <c r="L1793">
        <v>277774</v>
      </c>
      <c r="M1793">
        <v>4745580</v>
      </c>
      <c r="N1793">
        <v>45</v>
      </c>
      <c r="O1793" t="s">
        <v>104</v>
      </c>
      <c r="P1793" t="s">
        <v>42</v>
      </c>
    </row>
    <row r="1794" spans="1:16" x14ac:dyDescent="0.35">
      <c r="A1794" t="s">
        <v>3727</v>
      </c>
      <c r="B1794" t="s">
        <v>3728</v>
      </c>
      <c r="C1794" t="s">
        <v>18</v>
      </c>
      <c r="E1794" t="s">
        <v>28</v>
      </c>
      <c r="F1794" s="1">
        <v>43202</v>
      </c>
      <c r="G1794">
        <v>2023</v>
      </c>
      <c r="H1794" t="s">
        <v>63</v>
      </c>
      <c r="I1794" t="s">
        <v>1120</v>
      </c>
      <c r="J1794" t="s">
        <v>96</v>
      </c>
      <c r="K1794">
        <v>5.4</v>
      </c>
      <c r="L1794">
        <v>3093234</v>
      </c>
      <c r="M1794">
        <v>4732585</v>
      </c>
      <c r="N1794">
        <v>87</v>
      </c>
      <c r="O1794" t="s">
        <v>41</v>
      </c>
      <c r="P1794" t="s">
        <v>32</v>
      </c>
    </row>
    <row r="1795" spans="1:16" x14ac:dyDescent="0.35">
      <c r="A1795" t="s">
        <v>3729</v>
      </c>
      <c r="B1795" t="s">
        <v>3730</v>
      </c>
      <c r="C1795" t="s">
        <v>18</v>
      </c>
      <c r="D1795" t="s">
        <v>54</v>
      </c>
      <c r="E1795" t="s">
        <v>28</v>
      </c>
      <c r="F1795" s="1">
        <v>43261</v>
      </c>
      <c r="G1795">
        <v>2020</v>
      </c>
      <c r="I1795" t="s">
        <v>917</v>
      </c>
      <c r="J1795" t="s">
        <v>133</v>
      </c>
      <c r="K1795">
        <v>7.2</v>
      </c>
      <c r="L1795">
        <v>18896965</v>
      </c>
      <c r="M1795">
        <v>3045403</v>
      </c>
      <c r="N1795">
        <v>79</v>
      </c>
      <c r="O1795" t="s">
        <v>104</v>
      </c>
    </row>
    <row r="1796" spans="1:16" x14ac:dyDescent="0.35">
      <c r="A1796" t="s">
        <v>3731</v>
      </c>
      <c r="B1796" t="s">
        <v>3732</v>
      </c>
      <c r="C1796" t="s">
        <v>84</v>
      </c>
      <c r="D1796" t="s">
        <v>90</v>
      </c>
      <c r="E1796" t="s">
        <v>113</v>
      </c>
      <c r="F1796" s="1">
        <v>42006</v>
      </c>
      <c r="G1796">
        <v>2009</v>
      </c>
      <c r="H1796" t="s">
        <v>63</v>
      </c>
      <c r="I1796" t="s">
        <v>323</v>
      </c>
      <c r="K1796">
        <v>6.1</v>
      </c>
      <c r="L1796">
        <v>11696413</v>
      </c>
      <c r="M1796">
        <v>4178111</v>
      </c>
      <c r="N1796">
        <v>86</v>
      </c>
      <c r="P1796" t="s">
        <v>32</v>
      </c>
    </row>
    <row r="1797" spans="1:16" x14ac:dyDescent="0.35">
      <c r="A1797" t="s">
        <v>3733</v>
      </c>
      <c r="B1797" t="s">
        <v>3734</v>
      </c>
      <c r="C1797" t="s">
        <v>79</v>
      </c>
      <c r="D1797" t="s">
        <v>19</v>
      </c>
      <c r="E1797" t="s">
        <v>55</v>
      </c>
      <c r="F1797" s="1">
        <v>42949</v>
      </c>
      <c r="G1797">
        <v>2023</v>
      </c>
      <c r="H1797" t="s">
        <v>21</v>
      </c>
      <c r="I1797" t="s">
        <v>1904</v>
      </c>
      <c r="J1797" t="s">
        <v>103</v>
      </c>
      <c r="K1797">
        <v>5</v>
      </c>
      <c r="L1797">
        <v>3606122</v>
      </c>
      <c r="M1797">
        <v>3252377</v>
      </c>
      <c r="N1797">
        <v>45</v>
      </c>
      <c r="O1797" t="s">
        <v>91</v>
      </c>
      <c r="P1797" t="s">
        <v>32</v>
      </c>
    </row>
    <row r="1798" spans="1:16" x14ac:dyDescent="0.35">
      <c r="A1798" t="s">
        <v>3735</v>
      </c>
      <c r="B1798" t="s">
        <v>3736</v>
      </c>
      <c r="C1798" t="s">
        <v>84</v>
      </c>
      <c r="D1798" t="s">
        <v>94</v>
      </c>
      <c r="E1798" t="s">
        <v>80</v>
      </c>
      <c r="F1798" s="1">
        <v>42062</v>
      </c>
      <c r="G1798">
        <v>2023</v>
      </c>
      <c r="H1798" t="s">
        <v>70</v>
      </c>
      <c r="I1798" t="s">
        <v>441</v>
      </c>
      <c r="K1798">
        <v>8.9</v>
      </c>
      <c r="L1798">
        <v>22157823</v>
      </c>
      <c r="M1798">
        <v>1837388</v>
      </c>
      <c r="N1798">
        <v>74</v>
      </c>
    </row>
    <row r="1799" spans="1:16" x14ac:dyDescent="0.35">
      <c r="A1799" t="s">
        <v>3737</v>
      </c>
      <c r="B1799" t="s">
        <v>3738</v>
      </c>
      <c r="C1799" t="s">
        <v>35</v>
      </c>
      <c r="D1799" t="s">
        <v>19</v>
      </c>
      <c r="E1799" t="s">
        <v>131</v>
      </c>
      <c r="F1799" s="1">
        <v>42459</v>
      </c>
      <c r="G1799">
        <v>2002</v>
      </c>
      <c r="H1799" t="s">
        <v>114</v>
      </c>
      <c r="I1799" t="s">
        <v>56</v>
      </c>
      <c r="J1799" t="s">
        <v>100</v>
      </c>
      <c r="K1799">
        <v>6.2</v>
      </c>
      <c r="L1799">
        <v>16166647</v>
      </c>
      <c r="M1799">
        <v>4799419</v>
      </c>
      <c r="N1799">
        <v>87</v>
      </c>
      <c r="O1799" t="s">
        <v>123</v>
      </c>
      <c r="P1799" t="s">
        <v>32</v>
      </c>
    </row>
    <row r="1800" spans="1:16" x14ac:dyDescent="0.35">
      <c r="A1800" t="s">
        <v>3739</v>
      </c>
      <c r="B1800" t="s">
        <v>3740</v>
      </c>
      <c r="C1800" t="s">
        <v>18</v>
      </c>
      <c r="D1800" t="s">
        <v>36</v>
      </c>
      <c r="E1800" t="s">
        <v>69</v>
      </c>
      <c r="F1800" s="1">
        <v>44053</v>
      </c>
      <c r="G1800">
        <v>2011</v>
      </c>
      <c r="H1800" t="s">
        <v>107</v>
      </c>
      <c r="I1800" t="s">
        <v>386</v>
      </c>
      <c r="J1800" t="s">
        <v>72</v>
      </c>
      <c r="K1800">
        <v>5.0999999999999996</v>
      </c>
      <c r="L1800">
        <v>6384267</v>
      </c>
      <c r="M1800">
        <v>4643160</v>
      </c>
      <c r="N1800">
        <v>88</v>
      </c>
      <c r="O1800" t="s">
        <v>31</v>
      </c>
      <c r="P1800" t="s">
        <v>50</v>
      </c>
    </row>
    <row r="1801" spans="1:16" x14ac:dyDescent="0.35">
      <c r="A1801" t="s">
        <v>3741</v>
      </c>
      <c r="B1801" t="s">
        <v>3742</v>
      </c>
      <c r="C1801" t="s">
        <v>18</v>
      </c>
      <c r="D1801" t="s">
        <v>156</v>
      </c>
      <c r="F1801" s="1">
        <v>45680</v>
      </c>
      <c r="G1801">
        <v>2025</v>
      </c>
      <c r="H1801" t="s">
        <v>70</v>
      </c>
      <c r="J1801" t="s">
        <v>48</v>
      </c>
      <c r="K1801">
        <v>8.9</v>
      </c>
      <c r="L1801">
        <v>20306270</v>
      </c>
      <c r="M1801">
        <v>3225581</v>
      </c>
      <c r="N1801">
        <v>40</v>
      </c>
    </row>
    <row r="1802" spans="1:16" x14ac:dyDescent="0.35">
      <c r="A1802" t="s">
        <v>3743</v>
      </c>
      <c r="B1802" t="s">
        <v>3744</v>
      </c>
      <c r="C1802" t="s">
        <v>79</v>
      </c>
      <c r="D1802" t="s">
        <v>68</v>
      </c>
      <c r="E1802" t="s">
        <v>28</v>
      </c>
      <c r="F1802" s="1">
        <v>44584</v>
      </c>
      <c r="G1802">
        <v>2020</v>
      </c>
      <c r="I1802" t="s">
        <v>262</v>
      </c>
      <c r="J1802" t="s">
        <v>133</v>
      </c>
      <c r="K1802">
        <v>5.4</v>
      </c>
      <c r="L1802">
        <v>21028372</v>
      </c>
      <c r="M1802">
        <v>2358491</v>
      </c>
      <c r="N1802">
        <v>120</v>
      </c>
      <c r="O1802" t="s">
        <v>31</v>
      </c>
      <c r="P1802" t="s">
        <v>87</v>
      </c>
    </row>
    <row r="1803" spans="1:16" x14ac:dyDescent="0.35">
      <c r="A1803" t="s">
        <v>3745</v>
      </c>
      <c r="B1803" t="s">
        <v>3746</v>
      </c>
      <c r="C1803" t="s">
        <v>18</v>
      </c>
      <c r="D1803" t="s">
        <v>61</v>
      </c>
      <c r="E1803" t="s">
        <v>80</v>
      </c>
      <c r="F1803" s="1">
        <v>43804</v>
      </c>
      <c r="G1803">
        <v>2022</v>
      </c>
      <c r="H1803" t="s">
        <v>21</v>
      </c>
      <c r="I1803" t="s">
        <v>231</v>
      </c>
      <c r="J1803" t="s">
        <v>96</v>
      </c>
      <c r="K1803">
        <v>9.1999999999999993</v>
      </c>
      <c r="L1803">
        <v>15723165</v>
      </c>
      <c r="M1803">
        <v>2762158</v>
      </c>
      <c r="N1803">
        <v>93</v>
      </c>
      <c r="O1803" t="s">
        <v>65</v>
      </c>
      <c r="P1803" t="s">
        <v>42</v>
      </c>
    </row>
    <row r="1804" spans="1:16" x14ac:dyDescent="0.35">
      <c r="A1804" t="s">
        <v>3747</v>
      </c>
      <c r="B1804" t="s">
        <v>3748</v>
      </c>
      <c r="C1804" t="s">
        <v>53</v>
      </c>
      <c r="E1804" t="s">
        <v>28</v>
      </c>
      <c r="F1804" s="1">
        <v>44988</v>
      </c>
      <c r="G1804">
        <v>2017</v>
      </c>
      <c r="H1804" t="s">
        <v>81</v>
      </c>
      <c r="I1804" t="s">
        <v>136</v>
      </c>
      <c r="J1804" t="s">
        <v>76</v>
      </c>
      <c r="K1804">
        <v>7.9</v>
      </c>
      <c r="L1804">
        <v>14226372</v>
      </c>
      <c r="M1804">
        <v>1602714</v>
      </c>
      <c r="N1804">
        <v>52</v>
      </c>
      <c r="O1804" t="s">
        <v>65</v>
      </c>
      <c r="P1804" t="s">
        <v>50</v>
      </c>
    </row>
    <row r="1805" spans="1:16" x14ac:dyDescent="0.35">
      <c r="A1805" t="s">
        <v>3749</v>
      </c>
      <c r="B1805" t="s">
        <v>3750</v>
      </c>
      <c r="C1805" t="s">
        <v>84</v>
      </c>
      <c r="D1805" t="s">
        <v>90</v>
      </c>
      <c r="E1805" t="s">
        <v>165</v>
      </c>
      <c r="F1805" s="1">
        <v>43820</v>
      </c>
      <c r="G1805">
        <v>2019</v>
      </c>
      <c r="H1805" t="s">
        <v>114</v>
      </c>
      <c r="I1805" t="s">
        <v>696</v>
      </c>
      <c r="J1805" t="s">
        <v>100</v>
      </c>
      <c r="K1805">
        <v>8.6</v>
      </c>
      <c r="L1805">
        <v>7698717</v>
      </c>
      <c r="M1805">
        <v>2964080</v>
      </c>
      <c r="N1805">
        <v>81</v>
      </c>
      <c r="O1805" t="s">
        <v>58</v>
      </c>
      <c r="P1805" t="s">
        <v>87</v>
      </c>
    </row>
    <row r="1806" spans="1:16" x14ac:dyDescent="0.35">
      <c r="A1806" t="s">
        <v>3751</v>
      </c>
      <c r="B1806" t="s">
        <v>3752</v>
      </c>
      <c r="C1806" t="s">
        <v>18</v>
      </c>
      <c r="D1806" t="s">
        <v>68</v>
      </c>
      <c r="E1806" t="s">
        <v>20</v>
      </c>
      <c r="F1806" s="1">
        <v>43635</v>
      </c>
      <c r="G1806">
        <v>2020</v>
      </c>
      <c r="H1806" t="s">
        <v>38</v>
      </c>
      <c r="I1806" t="s">
        <v>571</v>
      </c>
      <c r="J1806" t="s">
        <v>153</v>
      </c>
      <c r="K1806">
        <v>7.4</v>
      </c>
      <c r="L1806">
        <v>12898939</v>
      </c>
      <c r="M1806">
        <v>164327</v>
      </c>
      <c r="N1806">
        <v>65</v>
      </c>
      <c r="O1806" t="s">
        <v>41</v>
      </c>
    </row>
    <row r="1807" spans="1:16" x14ac:dyDescent="0.35">
      <c r="A1807" t="s">
        <v>3753</v>
      </c>
      <c r="B1807" t="s">
        <v>3754</v>
      </c>
      <c r="C1807" t="s">
        <v>79</v>
      </c>
      <c r="D1807" t="s">
        <v>90</v>
      </c>
      <c r="E1807" t="s">
        <v>99</v>
      </c>
      <c r="G1807">
        <v>2005</v>
      </c>
      <c r="H1807" t="s">
        <v>121</v>
      </c>
      <c r="I1807" t="s">
        <v>441</v>
      </c>
      <c r="J1807" t="s">
        <v>133</v>
      </c>
      <c r="K1807">
        <v>9.6</v>
      </c>
      <c r="L1807">
        <v>3215796</v>
      </c>
      <c r="M1807">
        <v>1511258</v>
      </c>
      <c r="N1807">
        <v>56</v>
      </c>
      <c r="O1807" t="s">
        <v>24</v>
      </c>
    </row>
    <row r="1808" spans="1:16" x14ac:dyDescent="0.35">
      <c r="A1808" t="s">
        <v>3755</v>
      </c>
      <c r="B1808" t="s">
        <v>3756</v>
      </c>
      <c r="D1808" t="s">
        <v>156</v>
      </c>
      <c r="E1808" t="s">
        <v>99</v>
      </c>
      <c r="F1808" s="1">
        <v>44507</v>
      </c>
      <c r="G1808">
        <v>2016</v>
      </c>
      <c r="H1808" t="s">
        <v>63</v>
      </c>
      <c r="I1808" t="s">
        <v>64</v>
      </c>
      <c r="J1808" t="s">
        <v>30</v>
      </c>
      <c r="K1808">
        <v>4.9000000000000004</v>
      </c>
      <c r="L1808">
        <v>19040517</v>
      </c>
      <c r="M1808">
        <v>2244099</v>
      </c>
      <c r="N1808">
        <v>60</v>
      </c>
      <c r="O1808" t="s">
        <v>58</v>
      </c>
      <c r="P1808" t="s">
        <v>42</v>
      </c>
    </row>
    <row r="1809" spans="1:16" x14ac:dyDescent="0.35">
      <c r="A1809" t="s">
        <v>3757</v>
      </c>
      <c r="B1809" t="s">
        <v>3758</v>
      </c>
      <c r="C1809" t="s">
        <v>84</v>
      </c>
      <c r="D1809" t="s">
        <v>94</v>
      </c>
      <c r="G1809">
        <v>2023</v>
      </c>
      <c r="H1809" t="s">
        <v>81</v>
      </c>
      <c r="I1809" t="s">
        <v>508</v>
      </c>
      <c r="J1809" t="s">
        <v>103</v>
      </c>
      <c r="K1809">
        <v>7</v>
      </c>
      <c r="L1809">
        <v>21138239</v>
      </c>
      <c r="M1809">
        <v>3283836</v>
      </c>
      <c r="N1809">
        <v>52</v>
      </c>
      <c r="O1809" t="s">
        <v>104</v>
      </c>
    </row>
    <row r="1810" spans="1:16" x14ac:dyDescent="0.35">
      <c r="A1810" t="s">
        <v>3759</v>
      </c>
      <c r="B1810" t="s">
        <v>3760</v>
      </c>
      <c r="C1810" t="s">
        <v>18</v>
      </c>
      <c r="D1810" t="s">
        <v>27</v>
      </c>
      <c r="E1810" t="s">
        <v>131</v>
      </c>
      <c r="F1810" s="1">
        <v>45020</v>
      </c>
      <c r="G1810">
        <v>2017</v>
      </c>
      <c r="H1810" t="s">
        <v>38</v>
      </c>
      <c r="I1810" t="s">
        <v>747</v>
      </c>
      <c r="J1810" t="s">
        <v>153</v>
      </c>
      <c r="K1810">
        <v>9.1</v>
      </c>
      <c r="L1810">
        <v>7017132</v>
      </c>
      <c r="M1810">
        <v>637108</v>
      </c>
      <c r="N1810">
        <v>54</v>
      </c>
      <c r="P1810" t="s">
        <v>87</v>
      </c>
    </row>
    <row r="1811" spans="1:16" x14ac:dyDescent="0.35">
      <c r="A1811" t="s">
        <v>3761</v>
      </c>
      <c r="B1811" t="s">
        <v>3762</v>
      </c>
      <c r="C1811" t="s">
        <v>18</v>
      </c>
      <c r="D1811" t="s">
        <v>54</v>
      </c>
      <c r="F1811" s="1">
        <v>42816</v>
      </c>
      <c r="G1811">
        <v>2005</v>
      </c>
      <c r="H1811" t="s">
        <v>38</v>
      </c>
      <c r="I1811" t="s">
        <v>475</v>
      </c>
      <c r="K1811">
        <v>5.2</v>
      </c>
      <c r="L1811">
        <v>6461772</v>
      </c>
      <c r="M1811">
        <v>4991886</v>
      </c>
      <c r="N1811">
        <v>80</v>
      </c>
      <c r="O1811" t="s">
        <v>24</v>
      </c>
      <c r="P1811" t="s">
        <v>42</v>
      </c>
    </row>
    <row r="1812" spans="1:16" x14ac:dyDescent="0.35">
      <c r="A1812" t="s">
        <v>3763</v>
      </c>
      <c r="B1812" t="s">
        <v>3764</v>
      </c>
      <c r="C1812" t="s">
        <v>84</v>
      </c>
      <c r="D1812" t="s">
        <v>90</v>
      </c>
      <c r="E1812" t="s">
        <v>55</v>
      </c>
      <c r="F1812" s="1">
        <v>44603</v>
      </c>
      <c r="G1812">
        <v>2012</v>
      </c>
      <c r="H1812" t="s">
        <v>21</v>
      </c>
      <c r="I1812" t="s">
        <v>115</v>
      </c>
      <c r="J1812" t="s">
        <v>48</v>
      </c>
      <c r="K1812">
        <v>9.5</v>
      </c>
      <c r="L1812">
        <v>274200</v>
      </c>
      <c r="M1812">
        <v>228372</v>
      </c>
      <c r="N1812">
        <v>68</v>
      </c>
      <c r="O1812" t="s">
        <v>65</v>
      </c>
      <c r="P1812" t="s">
        <v>50</v>
      </c>
    </row>
    <row r="1813" spans="1:16" x14ac:dyDescent="0.35">
      <c r="A1813" t="s">
        <v>3765</v>
      </c>
      <c r="B1813" t="s">
        <v>3766</v>
      </c>
      <c r="C1813" t="s">
        <v>84</v>
      </c>
      <c r="D1813" t="s">
        <v>156</v>
      </c>
      <c r="F1813" s="1">
        <v>45068</v>
      </c>
      <c r="G1813">
        <v>2006</v>
      </c>
      <c r="I1813" t="s">
        <v>402</v>
      </c>
      <c r="J1813" t="s">
        <v>100</v>
      </c>
      <c r="K1813">
        <v>6</v>
      </c>
      <c r="L1813">
        <v>7380186</v>
      </c>
      <c r="M1813">
        <v>1359675</v>
      </c>
      <c r="N1813">
        <v>48</v>
      </c>
      <c r="O1813" t="s">
        <v>24</v>
      </c>
      <c r="P1813" t="s">
        <v>50</v>
      </c>
    </row>
    <row r="1814" spans="1:16" x14ac:dyDescent="0.35">
      <c r="A1814" t="s">
        <v>3767</v>
      </c>
      <c r="B1814" t="s">
        <v>3768</v>
      </c>
      <c r="C1814" t="s">
        <v>53</v>
      </c>
      <c r="D1814" t="s">
        <v>54</v>
      </c>
      <c r="E1814" t="s">
        <v>45</v>
      </c>
      <c r="G1814">
        <v>2008</v>
      </c>
      <c r="H1814" t="s">
        <v>114</v>
      </c>
      <c r="I1814" t="s">
        <v>136</v>
      </c>
      <c r="K1814">
        <v>5.4</v>
      </c>
      <c r="L1814">
        <v>18469742</v>
      </c>
      <c r="M1814">
        <v>154682</v>
      </c>
      <c r="N1814">
        <v>50</v>
      </c>
      <c r="P1814" t="s">
        <v>32</v>
      </c>
    </row>
    <row r="1815" spans="1:16" x14ac:dyDescent="0.35">
      <c r="A1815" t="s">
        <v>3769</v>
      </c>
      <c r="B1815" t="s">
        <v>3770</v>
      </c>
      <c r="E1815" t="s">
        <v>45</v>
      </c>
      <c r="F1815" s="1">
        <v>42505</v>
      </c>
      <c r="G1815">
        <v>2008</v>
      </c>
      <c r="I1815" t="s">
        <v>162</v>
      </c>
      <c r="J1815" t="s">
        <v>153</v>
      </c>
      <c r="K1815">
        <v>8</v>
      </c>
      <c r="L1815">
        <v>9820294</v>
      </c>
      <c r="M1815">
        <v>3865159</v>
      </c>
      <c r="N1815">
        <v>79</v>
      </c>
      <c r="O1815" t="s">
        <v>24</v>
      </c>
      <c r="P1815" t="s">
        <v>87</v>
      </c>
    </row>
    <row r="1816" spans="1:16" x14ac:dyDescent="0.35">
      <c r="A1816" t="s">
        <v>3771</v>
      </c>
      <c r="B1816" t="s">
        <v>3772</v>
      </c>
      <c r="C1816" t="s">
        <v>53</v>
      </c>
      <c r="D1816" t="s">
        <v>61</v>
      </c>
      <c r="E1816" t="s">
        <v>113</v>
      </c>
      <c r="F1816" s="1">
        <v>44433</v>
      </c>
      <c r="G1816">
        <v>2004</v>
      </c>
      <c r="H1816" t="s">
        <v>46</v>
      </c>
      <c r="I1816" t="s">
        <v>136</v>
      </c>
      <c r="J1816" t="s">
        <v>30</v>
      </c>
      <c r="K1816">
        <v>5.7</v>
      </c>
      <c r="L1816">
        <v>3386490</v>
      </c>
      <c r="M1816">
        <v>3846954</v>
      </c>
      <c r="N1816">
        <v>79</v>
      </c>
      <c r="O1816" t="s">
        <v>58</v>
      </c>
      <c r="P1816" t="s">
        <v>50</v>
      </c>
    </row>
    <row r="1817" spans="1:16" x14ac:dyDescent="0.35">
      <c r="A1817" t="s">
        <v>3773</v>
      </c>
      <c r="B1817" t="s">
        <v>3774</v>
      </c>
      <c r="C1817" t="s">
        <v>84</v>
      </c>
      <c r="D1817" t="s">
        <v>19</v>
      </c>
      <c r="E1817" t="s">
        <v>69</v>
      </c>
      <c r="F1817" s="1">
        <v>43984</v>
      </c>
      <c r="G1817">
        <v>2019</v>
      </c>
      <c r="H1817" t="s">
        <v>121</v>
      </c>
      <c r="I1817" t="s">
        <v>601</v>
      </c>
      <c r="J1817" t="s">
        <v>96</v>
      </c>
      <c r="K1817">
        <v>9.3000000000000007</v>
      </c>
      <c r="L1817">
        <v>11847558</v>
      </c>
      <c r="M1817">
        <v>687276</v>
      </c>
      <c r="N1817">
        <v>95</v>
      </c>
      <c r="O1817" t="s">
        <v>24</v>
      </c>
      <c r="P1817" t="s">
        <v>50</v>
      </c>
    </row>
    <row r="1818" spans="1:16" x14ac:dyDescent="0.35">
      <c r="A1818" t="s">
        <v>3775</v>
      </c>
      <c r="B1818" t="s">
        <v>3776</v>
      </c>
      <c r="D1818" t="s">
        <v>27</v>
      </c>
      <c r="E1818" t="s">
        <v>28</v>
      </c>
      <c r="F1818" s="1">
        <v>42211</v>
      </c>
      <c r="G1818">
        <v>2018</v>
      </c>
      <c r="I1818" t="s">
        <v>136</v>
      </c>
      <c r="J1818" t="s">
        <v>103</v>
      </c>
      <c r="K1818">
        <v>7.1</v>
      </c>
      <c r="L1818">
        <v>1628385</v>
      </c>
      <c r="M1818">
        <v>1879613</v>
      </c>
      <c r="N1818">
        <v>53</v>
      </c>
      <c r="O1818" t="s">
        <v>65</v>
      </c>
    </row>
    <row r="1819" spans="1:16" x14ac:dyDescent="0.35">
      <c r="A1819" t="s">
        <v>3777</v>
      </c>
      <c r="B1819" t="s">
        <v>3778</v>
      </c>
      <c r="C1819" t="s">
        <v>84</v>
      </c>
      <c r="D1819" t="s">
        <v>54</v>
      </c>
      <c r="E1819" t="s">
        <v>62</v>
      </c>
      <c r="F1819" s="1">
        <v>43102</v>
      </c>
      <c r="G1819">
        <v>2021</v>
      </c>
      <c r="H1819" t="s">
        <v>38</v>
      </c>
      <c r="I1819" t="s">
        <v>656</v>
      </c>
      <c r="J1819" t="s">
        <v>133</v>
      </c>
      <c r="K1819">
        <v>9.4</v>
      </c>
      <c r="L1819">
        <v>16159674</v>
      </c>
      <c r="M1819">
        <v>4841089</v>
      </c>
      <c r="N1819">
        <v>90</v>
      </c>
      <c r="O1819" t="s">
        <v>58</v>
      </c>
      <c r="P1819" t="s">
        <v>50</v>
      </c>
    </row>
    <row r="1820" spans="1:16" x14ac:dyDescent="0.35">
      <c r="A1820" t="s">
        <v>3779</v>
      </c>
      <c r="B1820" t="s">
        <v>3780</v>
      </c>
      <c r="C1820" t="s">
        <v>79</v>
      </c>
      <c r="D1820" t="s">
        <v>94</v>
      </c>
      <c r="E1820" t="s">
        <v>28</v>
      </c>
      <c r="G1820">
        <v>2005</v>
      </c>
      <c r="H1820" t="s">
        <v>81</v>
      </c>
      <c r="I1820" t="s">
        <v>373</v>
      </c>
      <c r="J1820" t="s">
        <v>40</v>
      </c>
      <c r="K1820">
        <v>9.1999999999999993</v>
      </c>
      <c r="L1820">
        <v>9759198</v>
      </c>
      <c r="M1820">
        <v>691898</v>
      </c>
      <c r="N1820">
        <v>54</v>
      </c>
      <c r="O1820" t="s">
        <v>123</v>
      </c>
      <c r="P1820" t="s">
        <v>50</v>
      </c>
    </row>
    <row r="1821" spans="1:16" x14ac:dyDescent="0.35">
      <c r="A1821" t="s">
        <v>3781</v>
      </c>
      <c r="B1821" t="s">
        <v>3782</v>
      </c>
      <c r="C1821" t="s">
        <v>35</v>
      </c>
      <c r="D1821" t="s">
        <v>36</v>
      </c>
      <c r="E1821" t="s">
        <v>165</v>
      </c>
      <c r="F1821" s="1">
        <v>44700</v>
      </c>
      <c r="G1821">
        <v>2007</v>
      </c>
      <c r="H1821" t="s">
        <v>46</v>
      </c>
      <c r="I1821" t="s">
        <v>162</v>
      </c>
      <c r="J1821" t="s">
        <v>57</v>
      </c>
      <c r="K1821">
        <v>8.3000000000000007</v>
      </c>
      <c r="L1821">
        <v>11252152</v>
      </c>
      <c r="M1821">
        <v>2659686</v>
      </c>
      <c r="N1821">
        <v>52</v>
      </c>
      <c r="O1821" t="s">
        <v>49</v>
      </c>
      <c r="P1821" t="s">
        <v>87</v>
      </c>
    </row>
    <row r="1822" spans="1:16" x14ac:dyDescent="0.35">
      <c r="A1822" t="s">
        <v>3783</v>
      </c>
      <c r="B1822" t="s">
        <v>3784</v>
      </c>
      <c r="E1822" t="s">
        <v>131</v>
      </c>
      <c r="F1822" s="1">
        <v>45346</v>
      </c>
      <c r="G1822">
        <v>2000</v>
      </c>
      <c r="H1822" t="s">
        <v>107</v>
      </c>
      <c r="I1822" t="s">
        <v>162</v>
      </c>
      <c r="J1822" t="s">
        <v>57</v>
      </c>
      <c r="K1822">
        <v>9.6</v>
      </c>
      <c r="L1822">
        <v>14035378</v>
      </c>
      <c r="M1822">
        <v>2291332</v>
      </c>
      <c r="N1822">
        <v>88</v>
      </c>
      <c r="O1822" t="s">
        <v>41</v>
      </c>
      <c r="P1822" t="s">
        <v>87</v>
      </c>
    </row>
    <row r="1823" spans="1:16" x14ac:dyDescent="0.35">
      <c r="A1823" t="s">
        <v>3785</v>
      </c>
      <c r="B1823" t="s">
        <v>3786</v>
      </c>
      <c r="D1823" t="s">
        <v>90</v>
      </c>
      <c r="E1823" t="s">
        <v>99</v>
      </c>
      <c r="F1823" s="1">
        <v>43259</v>
      </c>
      <c r="G1823">
        <v>2000</v>
      </c>
      <c r="H1823" t="s">
        <v>107</v>
      </c>
      <c r="I1823" t="s">
        <v>162</v>
      </c>
      <c r="J1823" t="s">
        <v>48</v>
      </c>
      <c r="K1823">
        <v>7.4</v>
      </c>
      <c r="L1823">
        <v>847673</v>
      </c>
      <c r="M1823">
        <v>486347</v>
      </c>
      <c r="N1823">
        <v>96</v>
      </c>
      <c r="O1823" t="s">
        <v>91</v>
      </c>
      <c r="P1823" t="s">
        <v>32</v>
      </c>
    </row>
    <row r="1824" spans="1:16" x14ac:dyDescent="0.35">
      <c r="A1824" t="s">
        <v>3787</v>
      </c>
      <c r="B1824" t="s">
        <v>3788</v>
      </c>
      <c r="C1824" t="s">
        <v>53</v>
      </c>
      <c r="D1824" t="s">
        <v>27</v>
      </c>
      <c r="E1824" t="s">
        <v>99</v>
      </c>
      <c r="F1824" s="1">
        <v>43661</v>
      </c>
      <c r="G1824">
        <v>2014</v>
      </c>
      <c r="H1824" t="s">
        <v>70</v>
      </c>
      <c r="I1824" t="s">
        <v>71</v>
      </c>
      <c r="J1824" t="s">
        <v>103</v>
      </c>
      <c r="K1824">
        <v>9.3000000000000007</v>
      </c>
      <c r="L1824">
        <v>2570601</v>
      </c>
      <c r="M1824">
        <v>1178791</v>
      </c>
      <c r="N1824">
        <v>44</v>
      </c>
      <c r="O1824" t="s">
        <v>104</v>
      </c>
      <c r="P1824" t="s">
        <v>32</v>
      </c>
    </row>
    <row r="1825" spans="1:16" x14ac:dyDescent="0.35">
      <c r="A1825" t="s">
        <v>3789</v>
      </c>
      <c r="B1825" t="s">
        <v>3790</v>
      </c>
      <c r="C1825" t="s">
        <v>18</v>
      </c>
      <c r="D1825" t="s">
        <v>75</v>
      </c>
      <c r="F1825" s="1">
        <v>45542</v>
      </c>
      <c r="G1825">
        <v>2019</v>
      </c>
      <c r="H1825" t="s">
        <v>107</v>
      </c>
      <c r="I1825" t="s">
        <v>594</v>
      </c>
      <c r="J1825" t="s">
        <v>57</v>
      </c>
      <c r="K1825">
        <v>7.1</v>
      </c>
      <c r="L1825">
        <v>20447779</v>
      </c>
      <c r="M1825">
        <v>674899</v>
      </c>
      <c r="N1825">
        <v>72</v>
      </c>
      <c r="O1825" t="s">
        <v>49</v>
      </c>
      <c r="P1825" t="s">
        <v>42</v>
      </c>
    </row>
    <row r="1826" spans="1:16" x14ac:dyDescent="0.35">
      <c r="A1826" t="s">
        <v>3791</v>
      </c>
      <c r="B1826" t="s">
        <v>3792</v>
      </c>
      <c r="C1826" t="s">
        <v>18</v>
      </c>
      <c r="D1826" t="s">
        <v>94</v>
      </c>
      <c r="E1826" t="s">
        <v>131</v>
      </c>
      <c r="F1826" s="1">
        <v>42401</v>
      </c>
      <c r="G1826">
        <v>2016</v>
      </c>
      <c r="H1826" t="s">
        <v>38</v>
      </c>
      <c r="I1826" t="s">
        <v>1120</v>
      </c>
      <c r="J1826" t="s">
        <v>100</v>
      </c>
      <c r="K1826">
        <v>7.5</v>
      </c>
      <c r="L1826">
        <v>22827110</v>
      </c>
      <c r="M1826">
        <v>519694</v>
      </c>
      <c r="N1826">
        <v>66</v>
      </c>
      <c r="O1826" t="s">
        <v>58</v>
      </c>
      <c r="P1826" t="s">
        <v>50</v>
      </c>
    </row>
    <row r="1827" spans="1:16" x14ac:dyDescent="0.35">
      <c r="A1827" t="s">
        <v>3793</v>
      </c>
      <c r="B1827" t="s">
        <v>3794</v>
      </c>
      <c r="C1827" t="s">
        <v>53</v>
      </c>
      <c r="D1827" t="s">
        <v>68</v>
      </c>
      <c r="E1827" t="s">
        <v>37</v>
      </c>
      <c r="F1827" s="1">
        <v>45134</v>
      </c>
      <c r="G1827">
        <v>2010</v>
      </c>
      <c r="H1827" t="s">
        <v>85</v>
      </c>
      <c r="I1827" t="s">
        <v>71</v>
      </c>
      <c r="J1827" t="s">
        <v>57</v>
      </c>
      <c r="K1827">
        <v>7</v>
      </c>
      <c r="L1827">
        <v>11527131</v>
      </c>
      <c r="M1827">
        <v>2850335</v>
      </c>
      <c r="N1827">
        <v>53</v>
      </c>
      <c r="O1827" t="s">
        <v>31</v>
      </c>
      <c r="P1827" t="s">
        <v>32</v>
      </c>
    </row>
    <row r="1828" spans="1:16" x14ac:dyDescent="0.35">
      <c r="A1828" t="s">
        <v>3795</v>
      </c>
      <c r="B1828" t="s">
        <v>3796</v>
      </c>
      <c r="C1828" t="s">
        <v>53</v>
      </c>
      <c r="D1828" t="s">
        <v>90</v>
      </c>
      <c r="E1828" t="s">
        <v>113</v>
      </c>
      <c r="F1828" s="1">
        <v>42798</v>
      </c>
      <c r="G1828">
        <v>2012</v>
      </c>
      <c r="H1828" t="s">
        <v>81</v>
      </c>
      <c r="I1828" t="s">
        <v>118</v>
      </c>
      <c r="J1828" t="s">
        <v>48</v>
      </c>
      <c r="K1828">
        <v>9.1999999999999993</v>
      </c>
      <c r="L1828">
        <v>12647552</v>
      </c>
      <c r="M1828">
        <v>64215</v>
      </c>
      <c r="N1828">
        <v>89</v>
      </c>
      <c r="O1828" t="s">
        <v>91</v>
      </c>
      <c r="P1828" t="s">
        <v>32</v>
      </c>
    </row>
    <row r="1829" spans="1:16" x14ac:dyDescent="0.35">
      <c r="A1829" t="s">
        <v>3797</v>
      </c>
      <c r="B1829" t="s">
        <v>3796</v>
      </c>
      <c r="C1829" t="s">
        <v>18</v>
      </c>
      <c r="D1829" t="s">
        <v>75</v>
      </c>
      <c r="E1829" t="s">
        <v>99</v>
      </c>
      <c r="F1829" s="1">
        <v>42785</v>
      </c>
      <c r="G1829">
        <v>2004</v>
      </c>
      <c r="I1829" t="s">
        <v>601</v>
      </c>
      <c r="J1829" t="s">
        <v>153</v>
      </c>
      <c r="K1829">
        <v>7.7</v>
      </c>
      <c r="L1829">
        <v>3348010</v>
      </c>
      <c r="M1829">
        <v>2319454</v>
      </c>
      <c r="N1829">
        <v>87</v>
      </c>
      <c r="P1829" t="s">
        <v>50</v>
      </c>
    </row>
    <row r="1830" spans="1:16" x14ac:dyDescent="0.35">
      <c r="A1830" t="s">
        <v>3798</v>
      </c>
      <c r="B1830" t="s">
        <v>3799</v>
      </c>
      <c r="C1830" t="s">
        <v>35</v>
      </c>
      <c r="D1830" t="s">
        <v>94</v>
      </c>
      <c r="E1830" t="s">
        <v>80</v>
      </c>
      <c r="F1830" s="1">
        <v>45185</v>
      </c>
      <c r="G1830">
        <v>2010</v>
      </c>
      <c r="H1830" t="s">
        <v>46</v>
      </c>
      <c r="I1830" t="s">
        <v>118</v>
      </c>
      <c r="J1830" t="s">
        <v>103</v>
      </c>
      <c r="K1830">
        <v>7.7</v>
      </c>
      <c r="L1830">
        <v>5863335</v>
      </c>
      <c r="M1830">
        <v>105445</v>
      </c>
      <c r="N1830">
        <v>50</v>
      </c>
      <c r="O1830" t="s">
        <v>104</v>
      </c>
    </row>
    <row r="1831" spans="1:16" x14ac:dyDescent="0.35">
      <c r="A1831" t="s">
        <v>3800</v>
      </c>
      <c r="B1831" t="s">
        <v>3801</v>
      </c>
      <c r="C1831" t="s">
        <v>84</v>
      </c>
      <c r="D1831" t="s">
        <v>90</v>
      </c>
      <c r="E1831" t="s">
        <v>165</v>
      </c>
      <c r="F1831" s="1">
        <v>42430</v>
      </c>
      <c r="G1831">
        <v>2002</v>
      </c>
      <c r="H1831" t="s">
        <v>46</v>
      </c>
      <c r="I1831" t="s">
        <v>275</v>
      </c>
      <c r="J1831" t="s">
        <v>48</v>
      </c>
      <c r="K1831">
        <v>8.6999999999999993</v>
      </c>
      <c r="L1831">
        <v>3413658</v>
      </c>
      <c r="M1831">
        <v>3049127</v>
      </c>
      <c r="N1831">
        <v>71</v>
      </c>
      <c r="O1831" t="s">
        <v>49</v>
      </c>
    </row>
    <row r="1832" spans="1:16" x14ac:dyDescent="0.35">
      <c r="A1832" t="s">
        <v>3802</v>
      </c>
      <c r="B1832" t="s">
        <v>3803</v>
      </c>
      <c r="C1832" t="s">
        <v>53</v>
      </c>
      <c r="D1832" t="s">
        <v>68</v>
      </c>
      <c r="E1832" t="s">
        <v>45</v>
      </c>
      <c r="F1832" s="1">
        <v>44325</v>
      </c>
      <c r="G1832">
        <v>2013</v>
      </c>
      <c r="H1832" t="s">
        <v>70</v>
      </c>
      <c r="I1832" t="s">
        <v>56</v>
      </c>
      <c r="J1832" t="s">
        <v>103</v>
      </c>
      <c r="K1832">
        <v>6.2</v>
      </c>
      <c r="L1832">
        <v>762666</v>
      </c>
      <c r="M1832">
        <v>3547916</v>
      </c>
      <c r="N1832">
        <v>120</v>
      </c>
      <c r="O1832" t="s">
        <v>65</v>
      </c>
      <c r="P1832" t="s">
        <v>32</v>
      </c>
    </row>
    <row r="1833" spans="1:16" x14ac:dyDescent="0.35">
      <c r="A1833" t="s">
        <v>3804</v>
      </c>
      <c r="B1833" t="s">
        <v>3805</v>
      </c>
      <c r="C1833" t="s">
        <v>84</v>
      </c>
      <c r="D1833" t="s">
        <v>75</v>
      </c>
      <c r="E1833" t="s">
        <v>20</v>
      </c>
      <c r="F1833" s="1">
        <v>42169</v>
      </c>
      <c r="G1833">
        <v>2025</v>
      </c>
      <c r="H1833" t="s">
        <v>38</v>
      </c>
      <c r="I1833" t="s">
        <v>1065</v>
      </c>
      <c r="J1833" t="s">
        <v>76</v>
      </c>
      <c r="K1833">
        <v>7.2</v>
      </c>
      <c r="L1833">
        <v>3968966</v>
      </c>
      <c r="M1833">
        <v>1370206</v>
      </c>
      <c r="N1833">
        <v>42</v>
      </c>
      <c r="O1833" t="s">
        <v>49</v>
      </c>
      <c r="P1833" t="s">
        <v>32</v>
      </c>
    </row>
    <row r="1834" spans="1:16" x14ac:dyDescent="0.35">
      <c r="A1834" t="s">
        <v>3806</v>
      </c>
      <c r="B1834" t="s">
        <v>3807</v>
      </c>
      <c r="D1834" t="s">
        <v>54</v>
      </c>
      <c r="E1834" t="s">
        <v>62</v>
      </c>
      <c r="F1834" s="1">
        <v>43825</v>
      </c>
      <c r="G1834">
        <v>2008</v>
      </c>
      <c r="H1834" t="s">
        <v>63</v>
      </c>
      <c r="I1834" t="s">
        <v>118</v>
      </c>
      <c r="J1834" t="s">
        <v>103</v>
      </c>
      <c r="K1834">
        <v>6.4</v>
      </c>
      <c r="L1834">
        <v>14850412</v>
      </c>
      <c r="M1834">
        <v>121659</v>
      </c>
      <c r="N1834">
        <v>66</v>
      </c>
      <c r="O1834" t="s">
        <v>31</v>
      </c>
      <c r="P1834" t="s">
        <v>87</v>
      </c>
    </row>
    <row r="1835" spans="1:16" x14ac:dyDescent="0.35">
      <c r="A1835" t="s">
        <v>3808</v>
      </c>
      <c r="B1835" t="s">
        <v>3809</v>
      </c>
      <c r="C1835" t="s">
        <v>53</v>
      </c>
      <c r="D1835" t="s">
        <v>54</v>
      </c>
      <c r="E1835" t="s">
        <v>37</v>
      </c>
      <c r="F1835" s="1">
        <v>42452</v>
      </c>
      <c r="G1835">
        <v>2018</v>
      </c>
      <c r="H1835" t="s">
        <v>107</v>
      </c>
      <c r="I1835" t="s">
        <v>71</v>
      </c>
      <c r="J1835" t="s">
        <v>30</v>
      </c>
      <c r="K1835">
        <v>8.9</v>
      </c>
      <c r="L1835">
        <v>6088093</v>
      </c>
      <c r="M1835">
        <v>4456488</v>
      </c>
      <c r="N1835">
        <v>84</v>
      </c>
      <c r="O1835" t="s">
        <v>104</v>
      </c>
      <c r="P1835" t="s">
        <v>87</v>
      </c>
    </row>
    <row r="1836" spans="1:16" x14ac:dyDescent="0.35">
      <c r="A1836" t="s">
        <v>3810</v>
      </c>
      <c r="B1836" t="s">
        <v>3811</v>
      </c>
      <c r="C1836" t="s">
        <v>35</v>
      </c>
      <c r="D1836" t="s">
        <v>156</v>
      </c>
      <c r="E1836" t="s">
        <v>55</v>
      </c>
      <c r="F1836" s="1">
        <v>43779</v>
      </c>
      <c r="G1836">
        <v>2019</v>
      </c>
      <c r="H1836" t="s">
        <v>114</v>
      </c>
      <c r="I1836" t="s">
        <v>118</v>
      </c>
      <c r="J1836" t="s">
        <v>76</v>
      </c>
      <c r="K1836">
        <v>5.6</v>
      </c>
      <c r="L1836">
        <v>6908693</v>
      </c>
      <c r="M1836">
        <v>2430770</v>
      </c>
      <c r="N1836">
        <v>72</v>
      </c>
      <c r="O1836" t="s">
        <v>49</v>
      </c>
      <c r="P1836" t="s">
        <v>42</v>
      </c>
    </row>
    <row r="1837" spans="1:16" x14ac:dyDescent="0.35">
      <c r="A1837" t="s">
        <v>3812</v>
      </c>
      <c r="B1837" t="s">
        <v>3813</v>
      </c>
      <c r="C1837" t="s">
        <v>84</v>
      </c>
      <c r="D1837" t="s">
        <v>156</v>
      </c>
      <c r="E1837" t="s">
        <v>113</v>
      </c>
      <c r="F1837" s="1">
        <v>43343</v>
      </c>
      <c r="G1837">
        <v>2010</v>
      </c>
      <c r="H1837" t="s">
        <v>81</v>
      </c>
      <c r="I1837" t="s">
        <v>199</v>
      </c>
      <c r="J1837" t="s">
        <v>72</v>
      </c>
      <c r="K1837">
        <v>6.4</v>
      </c>
      <c r="L1837">
        <v>6749457</v>
      </c>
      <c r="M1837">
        <v>298140</v>
      </c>
      <c r="N1837">
        <v>53</v>
      </c>
      <c r="O1837" t="s">
        <v>49</v>
      </c>
      <c r="P1837" t="s">
        <v>32</v>
      </c>
    </row>
    <row r="1838" spans="1:16" x14ac:dyDescent="0.35">
      <c r="A1838" t="s">
        <v>3814</v>
      </c>
      <c r="B1838" t="s">
        <v>3815</v>
      </c>
      <c r="C1838" t="s">
        <v>18</v>
      </c>
      <c r="D1838" t="s">
        <v>61</v>
      </c>
      <c r="E1838" t="s">
        <v>20</v>
      </c>
      <c r="F1838" s="1">
        <v>45266</v>
      </c>
      <c r="G1838">
        <v>2007</v>
      </c>
      <c r="H1838" t="s">
        <v>81</v>
      </c>
      <c r="I1838" t="s">
        <v>29</v>
      </c>
      <c r="J1838" t="s">
        <v>153</v>
      </c>
      <c r="K1838">
        <v>4.5999999999999996</v>
      </c>
      <c r="L1838">
        <v>6111775</v>
      </c>
      <c r="M1838">
        <v>1318324</v>
      </c>
      <c r="N1838">
        <v>100</v>
      </c>
      <c r="O1838" t="s">
        <v>58</v>
      </c>
      <c r="P1838" t="s">
        <v>50</v>
      </c>
    </row>
    <row r="1839" spans="1:16" x14ac:dyDescent="0.35">
      <c r="A1839" t="s">
        <v>3816</v>
      </c>
      <c r="B1839" t="s">
        <v>3817</v>
      </c>
      <c r="C1839" t="s">
        <v>35</v>
      </c>
      <c r="D1839" t="s">
        <v>75</v>
      </c>
      <c r="E1839" t="s">
        <v>62</v>
      </c>
      <c r="F1839" s="1">
        <v>45504</v>
      </c>
      <c r="G1839">
        <v>2006</v>
      </c>
      <c r="I1839" t="s">
        <v>39</v>
      </c>
      <c r="J1839" t="s">
        <v>103</v>
      </c>
      <c r="K1839">
        <v>6.6</v>
      </c>
      <c r="L1839">
        <v>18342175</v>
      </c>
      <c r="M1839">
        <v>106700</v>
      </c>
      <c r="N1839">
        <v>44</v>
      </c>
      <c r="O1839" t="s">
        <v>91</v>
      </c>
      <c r="P1839" t="s">
        <v>87</v>
      </c>
    </row>
    <row r="1840" spans="1:16" x14ac:dyDescent="0.35">
      <c r="A1840" t="s">
        <v>3818</v>
      </c>
      <c r="B1840" t="s">
        <v>3819</v>
      </c>
      <c r="C1840" t="s">
        <v>53</v>
      </c>
      <c r="D1840" t="s">
        <v>75</v>
      </c>
      <c r="E1840" t="s">
        <v>28</v>
      </c>
      <c r="F1840" s="1">
        <v>43200</v>
      </c>
      <c r="G1840">
        <v>2021</v>
      </c>
      <c r="H1840" t="s">
        <v>107</v>
      </c>
      <c r="I1840" t="s">
        <v>118</v>
      </c>
      <c r="J1840" t="s">
        <v>23</v>
      </c>
      <c r="K1840">
        <v>8.3000000000000007</v>
      </c>
      <c r="L1840">
        <v>21158203</v>
      </c>
      <c r="M1840">
        <v>2907082</v>
      </c>
      <c r="N1840">
        <v>41</v>
      </c>
      <c r="O1840" t="s">
        <v>104</v>
      </c>
      <c r="P1840" t="s">
        <v>50</v>
      </c>
    </row>
    <row r="1841" spans="1:16" x14ac:dyDescent="0.35">
      <c r="A1841" t="s">
        <v>3820</v>
      </c>
      <c r="B1841" t="s">
        <v>3821</v>
      </c>
      <c r="C1841" t="s">
        <v>84</v>
      </c>
      <c r="D1841" t="s">
        <v>75</v>
      </c>
      <c r="E1841" t="s">
        <v>131</v>
      </c>
      <c r="F1841" s="1">
        <v>45639</v>
      </c>
      <c r="G1841">
        <v>2012</v>
      </c>
      <c r="H1841" t="s">
        <v>107</v>
      </c>
      <c r="I1841" t="s">
        <v>958</v>
      </c>
      <c r="J1841" t="s">
        <v>76</v>
      </c>
      <c r="K1841">
        <v>9.8000000000000007</v>
      </c>
      <c r="L1841">
        <v>23328296</v>
      </c>
      <c r="M1841">
        <v>4554145</v>
      </c>
      <c r="N1841">
        <v>82</v>
      </c>
      <c r="O1841" t="s">
        <v>91</v>
      </c>
      <c r="P1841" t="s">
        <v>50</v>
      </c>
    </row>
    <row r="1842" spans="1:16" x14ac:dyDescent="0.35">
      <c r="A1842" t="s">
        <v>3822</v>
      </c>
      <c r="B1842" t="s">
        <v>3823</v>
      </c>
      <c r="C1842" t="s">
        <v>18</v>
      </c>
      <c r="D1842" t="s">
        <v>61</v>
      </c>
      <c r="E1842" t="s">
        <v>45</v>
      </c>
      <c r="F1842" s="1">
        <v>42866</v>
      </c>
      <c r="G1842">
        <v>2010</v>
      </c>
      <c r="H1842" t="s">
        <v>21</v>
      </c>
      <c r="I1842" t="s">
        <v>517</v>
      </c>
      <c r="J1842" t="s">
        <v>57</v>
      </c>
      <c r="K1842">
        <v>6.2</v>
      </c>
      <c r="L1842">
        <v>11877772</v>
      </c>
      <c r="M1842">
        <v>918826</v>
      </c>
      <c r="N1842">
        <v>96</v>
      </c>
      <c r="O1842" t="s">
        <v>65</v>
      </c>
      <c r="P1842" t="s">
        <v>50</v>
      </c>
    </row>
    <row r="1843" spans="1:16" x14ac:dyDescent="0.35">
      <c r="A1843" t="s">
        <v>3824</v>
      </c>
      <c r="B1843" t="s">
        <v>3825</v>
      </c>
      <c r="C1843" t="s">
        <v>53</v>
      </c>
      <c r="E1843" t="s">
        <v>55</v>
      </c>
      <c r="F1843" s="1">
        <v>43930</v>
      </c>
      <c r="G1843">
        <v>2008</v>
      </c>
      <c r="I1843" t="s">
        <v>71</v>
      </c>
      <c r="J1843" t="s">
        <v>40</v>
      </c>
      <c r="K1843">
        <v>9.6999999999999993</v>
      </c>
      <c r="L1843">
        <v>1247362</v>
      </c>
      <c r="M1843">
        <v>439965</v>
      </c>
      <c r="N1843">
        <v>71</v>
      </c>
      <c r="O1843" t="s">
        <v>58</v>
      </c>
      <c r="P1843" t="s">
        <v>50</v>
      </c>
    </row>
    <row r="1844" spans="1:16" x14ac:dyDescent="0.35">
      <c r="A1844" t="s">
        <v>3826</v>
      </c>
      <c r="B1844" t="s">
        <v>3827</v>
      </c>
      <c r="E1844" t="s">
        <v>55</v>
      </c>
      <c r="F1844" s="1">
        <v>43831</v>
      </c>
      <c r="G1844">
        <v>2026</v>
      </c>
      <c r="H1844" t="s">
        <v>121</v>
      </c>
      <c r="I1844" t="s">
        <v>71</v>
      </c>
      <c r="J1844" t="s">
        <v>153</v>
      </c>
      <c r="K1844">
        <v>8.6</v>
      </c>
      <c r="L1844">
        <v>16678530</v>
      </c>
      <c r="M1844">
        <v>616028</v>
      </c>
      <c r="N1844">
        <v>64</v>
      </c>
      <c r="O1844" t="s">
        <v>31</v>
      </c>
      <c r="P1844" t="s">
        <v>50</v>
      </c>
    </row>
    <row r="1845" spans="1:16" x14ac:dyDescent="0.35">
      <c r="A1845" t="s">
        <v>3828</v>
      </c>
      <c r="B1845" t="s">
        <v>3829</v>
      </c>
      <c r="C1845" t="s">
        <v>35</v>
      </c>
      <c r="D1845" t="s">
        <v>36</v>
      </c>
      <c r="E1845" t="s">
        <v>113</v>
      </c>
      <c r="F1845" s="1">
        <v>43511</v>
      </c>
      <c r="G1845">
        <v>2014</v>
      </c>
      <c r="H1845" t="s">
        <v>38</v>
      </c>
      <c r="I1845" t="s">
        <v>136</v>
      </c>
      <c r="J1845" t="s">
        <v>48</v>
      </c>
      <c r="K1845">
        <v>4.5</v>
      </c>
      <c r="L1845">
        <v>24989047</v>
      </c>
      <c r="M1845">
        <v>2638829</v>
      </c>
      <c r="N1845">
        <v>98</v>
      </c>
      <c r="O1845" t="s">
        <v>24</v>
      </c>
    </row>
    <row r="1846" spans="1:16" x14ac:dyDescent="0.35">
      <c r="A1846" t="s">
        <v>3830</v>
      </c>
      <c r="B1846" t="s">
        <v>3831</v>
      </c>
      <c r="C1846" t="s">
        <v>35</v>
      </c>
      <c r="D1846" t="s">
        <v>27</v>
      </c>
      <c r="E1846" t="s">
        <v>80</v>
      </c>
      <c r="F1846" s="1">
        <v>46035</v>
      </c>
      <c r="G1846">
        <v>2020</v>
      </c>
      <c r="I1846" t="s">
        <v>56</v>
      </c>
      <c r="J1846" t="s">
        <v>153</v>
      </c>
      <c r="K1846">
        <v>9.6</v>
      </c>
      <c r="L1846">
        <v>13240428</v>
      </c>
      <c r="M1846">
        <v>1411646</v>
      </c>
      <c r="N1846">
        <v>78</v>
      </c>
      <c r="O1846" t="s">
        <v>104</v>
      </c>
      <c r="P1846" t="s">
        <v>50</v>
      </c>
    </row>
    <row r="1847" spans="1:16" x14ac:dyDescent="0.35">
      <c r="A1847" t="s">
        <v>3832</v>
      </c>
      <c r="B1847" t="s">
        <v>3833</v>
      </c>
      <c r="C1847" t="s">
        <v>18</v>
      </c>
      <c r="D1847" t="s">
        <v>19</v>
      </c>
      <c r="E1847" t="s">
        <v>20</v>
      </c>
      <c r="F1847" s="1">
        <v>42568</v>
      </c>
      <c r="G1847">
        <v>2019</v>
      </c>
      <c r="H1847" t="s">
        <v>70</v>
      </c>
      <c r="I1847" t="s">
        <v>262</v>
      </c>
      <c r="K1847">
        <v>8.9</v>
      </c>
      <c r="L1847">
        <v>5958282</v>
      </c>
      <c r="M1847">
        <v>124453</v>
      </c>
      <c r="N1847">
        <v>89</v>
      </c>
      <c r="O1847" t="s">
        <v>41</v>
      </c>
      <c r="P1847" t="s">
        <v>87</v>
      </c>
    </row>
    <row r="1848" spans="1:16" x14ac:dyDescent="0.35">
      <c r="A1848" t="s">
        <v>3834</v>
      </c>
      <c r="B1848" t="s">
        <v>3835</v>
      </c>
      <c r="C1848" t="s">
        <v>84</v>
      </c>
      <c r="D1848" t="s">
        <v>19</v>
      </c>
      <c r="E1848" t="s">
        <v>20</v>
      </c>
      <c r="F1848" s="1">
        <v>42031</v>
      </c>
      <c r="G1848">
        <v>2025</v>
      </c>
      <c r="H1848" t="s">
        <v>121</v>
      </c>
      <c r="I1848" t="s">
        <v>108</v>
      </c>
      <c r="J1848" t="s">
        <v>48</v>
      </c>
      <c r="K1848">
        <v>4.8</v>
      </c>
      <c r="L1848">
        <v>24851251</v>
      </c>
      <c r="M1848">
        <v>2201601</v>
      </c>
      <c r="N1848">
        <v>94</v>
      </c>
      <c r="O1848" t="s">
        <v>49</v>
      </c>
    </row>
    <row r="1849" spans="1:16" x14ac:dyDescent="0.35">
      <c r="A1849" t="s">
        <v>3836</v>
      </c>
      <c r="B1849" t="s">
        <v>3837</v>
      </c>
      <c r="C1849" t="s">
        <v>35</v>
      </c>
      <c r="D1849" t="s">
        <v>61</v>
      </c>
      <c r="E1849" t="s">
        <v>131</v>
      </c>
      <c r="F1849" s="1">
        <v>45226</v>
      </c>
      <c r="G1849">
        <v>2006</v>
      </c>
      <c r="H1849" t="s">
        <v>46</v>
      </c>
      <c r="I1849" t="s">
        <v>71</v>
      </c>
      <c r="J1849" t="s">
        <v>72</v>
      </c>
      <c r="K1849">
        <v>7.3</v>
      </c>
      <c r="L1849">
        <v>15422460</v>
      </c>
      <c r="M1849">
        <v>4055893</v>
      </c>
      <c r="N1849">
        <v>42</v>
      </c>
      <c r="O1849" t="s">
        <v>65</v>
      </c>
      <c r="P1849" t="s">
        <v>50</v>
      </c>
    </row>
    <row r="1850" spans="1:16" x14ac:dyDescent="0.35">
      <c r="A1850" t="s">
        <v>3838</v>
      </c>
      <c r="B1850" t="s">
        <v>3839</v>
      </c>
      <c r="C1850" t="s">
        <v>35</v>
      </c>
      <c r="D1850" t="s">
        <v>61</v>
      </c>
      <c r="E1850" t="s">
        <v>80</v>
      </c>
      <c r="F1850" s="1">
        <v>45692</v>
      </c>
      <c r="G1850">
        <v>2021</v>
      </c>
      <c r="H1850" t="s">
        <v>121</v>
      </c>
      <c r="I1850" t="s">
        <v>56</v>
      </c>
      <c r="J1850" t="s">
        <v>23</v>
      </c>
      <c r="K1850">
        <v>7.9</v>
      </c>
      <c r="L1850">
        <v>14387668</v>
      </c>
      <c r="M1850">
        <v>4228927</v>
      </c>
      <c r="N1850">
        <v>81</v>
      </c>
      <c r="O1850" t="s">
        <v>31</v>
      </c>
      <c r="P1850" t="s">
        <v>32</v>
      </c>
    </row>
    <row r="1851" spans="1:16" x14ac:dyDescent="0.35">
      <c r="A1851" t="s">
        <v>3840</v>
      </c>
      <c r="B1851" t="s">
        <v>3841</v>
      </c>
      <c r="C1851" t="s">
        <v>79</v>
      </c>
      <c r="E1851" t="s">
        <v>37</v>
      </c>
      <c r="F1851" s="1">
        <v>42867</v>
      </c>
      <c r="G1851">
        <v>2020</v>
      </c>
      <c r="H1851" t="s">
        <v>114</v>
      </c>
      <c r="I1851" t="s">
        <v>192</v>
      </c>
      <c r="K1851">
        <v>6.2</v>
      </c>
      <c r="L1851">
        <v>11989522</v>
      </c>
      <c r="M1851">
        <v>2231714</v>
      </c>
      <c r="N1851">
        <v>74</v>
      </c>
      <c r="O1851" t="s">
        <v>123</v>
      </c>
      <c r="P1851" t="s">
        <v>32</v>
      </c>
    </row>
    <row r="1852" spans="1:16" x14ac:dyDescent="0.35">
      <c r="A1852" t="s">
        <v>3842</v>
      </c>
      <c r="B1852" t="s">
        <v>3843</v>
      </c>
      <c r="C1852" t="s">
        <v>35</v>
      </c>
      <c r="D1852" t="s">
        <v>90</v>
      </c>
      <c r="E1852" t="s">
        <v>113</v>
      </c>
      <c r="F1852" s="1">
        <v>42259</v>
      </c>
      <c r="G1852">
        <v>2032</v>
      </c>
      <c r="H1852" t="s">
        <v>85</v>
      </c>
      <c r="I1852" t="s">
        <v>162</v>
      </c>
      <c r="J1852" t="s">
        <v>153</v>
      </c>
      <c r="K1852">
        <v>8.8000000000000007</v>
      </c>
      <c r="L1852">
        <v>22724471</v>
      </c>
      <c r="M1852">
        <v>4335407</v>
      </c>
      <c r="N1852">
        <v>63</v>
      </c>
      <c r="O1852" t="s">
        <v>65</v>
      </c>
      <c r="P1852" t="s">
        <v>87</v>
      </c>
    </row>
    <row r="1853" spans="1:16" x14ac:dyDescent="0.35">
      <c r="A1853" t="s">
        <v>3844</v>
      </c>
      <c r="B1853" t="s">
        <v>3845</v>
      </c>
      <c r="C1853" t="s">
        <v>79</v>
      </c>
      <c r="D1853" t="s">
        <v>27</v>
      </c>
      <c r="E1853" t="s">
        <v>62</v>
      </c>
      <c r="F1853" s="1">
        <v>43064</v>
      </c>
      <c r="G1853">
        <v>2026</v>
      </c>
      <c r="H1853" t="s">
        <v>63</v>
      </c>
      <c r="I1853" t="s">
        <v>2394</v>
      </c>
      <c r="J1853" t="s">
        <v>153</v>
      </c>
      <c r="K1853">
        <v>8.8000000000000007</v>
      </c>
      <c r="L1853">
        <v>11032926</v>
      </c>
      <c r="M1853">
        <v>2973330</v>
      </c>
      <c r="N1853">
        <v>74</v>
      </c>
      <c r="O1853" t="s">
        <v>65</v>
      </c>
    </row>
    <row r="1854" spans="1:16" x14ac:dyDescent="0.35">
      <c r="A1854" t="s">
        <v>3846</v>
      </c>
      <c r="B1854" t="s">
        <v>3847</v>
      </c>
      <c r="C1854" t="s">
        <v>84</v>
      </c>
      <c r="F1854" s="1">
        <v>45159</v>
      </c>
      <c r="G1854">
        <v>2004</v>
      </c>
      <c r="H1854" t="s">
        <v>21</v>
      </c>
      <c r="I1854" t="s">
        <v>187</v>
      </c>
      <c r="J1854" t="s">
        <v>100</v>
      </c>
      <c r="K1854">
        <v>6.2</v>
      </c>
      <c r="L1854">
        <v>2840944</v>
      </c>
      <c r="M1854">
        <v>256764</v>
      </c>
      <c r="N1854">
        <v>120</v>
      </c>
      <c r="O1854" t="s">
        <v>104</v>
      </c>
    </row>
    <row r="1855" spans="1:16" x14ac:dyDescent="0.35">
      <c r="A1855" t="s">
        <v>3848</v>
      </c>
      <c r="B1855" t="s">
        <v>3849</v>
      </c>
      <c r="C1855" t="s">
        <v>35</v>
      </c>
      <c r="D1855" t="s">
        <v>94</v>
      </c>
      <c r="E1855" t="s">
        <v>37</v>
      </c>
      <c r="F1855" s="1">
        <v>43201</v>
      </c>
      <c r="G1855">
        <v>2009</v>
      </c>
      <c r="I1855" t="s">
        <v>95</v>
      </c>
      <c r="J1855" t="s">
        <v>57</v>
      </c>
      <c r="K1855">
        <v>4.5</v>
      </c>
      <c r="L1855">
        <v>592935</v>
      </c>
      <c r="M1855">
        <v>980756</v>
      </c>
      <c r="N1855">
        <v>79</v>
      </c>
      <c r="O1855" t="s">
        <v>31</v>
      </c>
    </row>
    <row r="1856" spans="1:16" x14ac:dyDescent="0.35">
      <c r="A1856" t="s">
        <v>3850</v>
      </c>
      <c r="B1856" t="s">
        <v>3851</v>
      </c>
      <c r="C1856" t="s">
        <v>79</v>
      </c>
      <c r="E1856" t="s">
        <v>165</v>
      </c>
      <c r="F1856" s="1">
        <v>44945</v>
      </c>
      <c r="G1856">
        <v>2015</v>
      </c>
      <c r="H1856" t="s">
        <v>121</v>
      </c>
      <c r="I1856" t="s">
        <v>282</v>
      </c>
      <c r="J1856" t="s">
        <v>100</v>
      </c>
      <c r="K1856">
        <v>9.1</v>
      </c>
      <c r="L1856">
        <v>10767451</v>
      </c>
      <c r="M1856">
        <v>2562487</v>
      </c>
      <c r="N1856">
        <v>41</v>
      </c>
      <c r="O1856" t="s">
        <v>24</v>
      </c>
    </row>
    <row r="1857" spans="1:16" x14ac:dyDescent="0.35">
      <c r="A1857" t="s">
        <v>3852</v>
      </c>
      <c r="B1857" t="s">
        <v>3853</v>
      </c>
      <c r="C1857" t="s">
        <v>35</v>
      </c>
      <c r="D1857" t="s">
        <v>36</v>
      </c>
      <c r="E1857" t="s">
        <v>99</v>
      </c>
      <c r="F1857" s="1">
        <v>42259</v>
      </c>
      <c r="G1857">
        <v>2009</v>
      </c>
      <c r="H1857" t="s">
        <v>121</v>
      </c>
      <c r="I1857" t="s">
        <v>56</v>
      </c>
      <c r="J1857" t="s">
        <v>23</v>
      </c>
      <c r="K1857">
        <v>9.1</v>
      </c>
      <c r="L1857">
        <v>13239891</v>
      </c>
      <c r="M1857">
        <v>954666</v>
      </c>
      <c r="N1857">
        <v>65</v>
      </c>
      <c r="P1857" t="s">
        <v>42</v>
      </c>
    </row>
    <row r="1858" spans="1:16" x14ac:dyDescent="0.35">
      <c r="A1858" t="s">
        <v>3854</v>
      </c>
      <c r="B1858" t="s">
        <v>3855</v>
      </c>
      <c r="C1858" t="s">
        <v>53</v>
      </c>
      <c r="D1858" t="s">
        <v>156</v>
      </c>
      <c r="E1858" t="s">
        <v>113</v>
      </c>
      <c r="F1858" s="1">
        <v>43870</v>
      </c>
      <c r="G1858">
        <v>2016</v>
      </c>
      <c r="H1858" t="s">
        <v>121</v>
      </c>
      <c r="I1858" t="s">
        <v>39</v>
      </c>
      <c r="J1858" t="s">
        <v>23</v>
      </c>
      <c r="K1858">
        <v>4.8</v>
      </c>
      <c r="L1858">
        <v>23230025</v>
      </c>
      <c r="M1858">
        <v>3711563</v>
      </c>
      <c r="N1858">
        <v>78</v>
      </c>
      <c r="O1858" t="s">
        <v>24</v>
      </c>
      <c r="P1858" t="s">
        <v>87</v>
      </c>
    </row>
    <row r="1859" spans="1:16" x14ac:dyDescent="0.35">
      <c r="A1859" t="s">
        <v>3856</v>
      </c>
      <c r="B1859" t="s">
        <v>3857</v>
      </c>
      <c r="C1859" t="s">
        <v>18</v>
      </c>
      <c r="E1859" t="s">
        <v>99</v>
      </c>
      <c r="F1859" s="1">
        <v>42845</v>
      </c>
      <c r="G1859">
        <v>2032</v>
      </c>
      <c r="H1859" t="s">
        <v>70</v>
      </c>
      <c r="I1859" t="s">
        <v>2394</v>
      </c>
      <c r="J1859" t="s">
        <v>48</v>
      </c>
      <c r="K1859">
        <v>7.1</v>
      </c>
      <c r="L1859">
        <v>21435462</v>
      </c>
      <c r="M1859">
        <v>4590418</v>
      </c>
      <c r="N1859">
        <v>83</v>
      </c>
      <c r="O1859" t="s">
        <v>91</v>
      </c>
      <c r="P1859" t="s">
        <v>32</v>
      </c>
    </row>
    <row r="1860" spans="1:16" x14ac:dyDescent="0.35">
      <c r="A1860" t="s">
        <v>3858</v>
      </c>
      <c r="B1860" t="s">
        <v>3859</v>
      </c>
      <c r="C1860" t="s">
        <v>35</v>
      </c>
      <c r="D1860" t="s">
        <v>90</v>
      </c>
      <c r="E1860" t="s">
        <v>55</v>
      </c>
      <c r="F1860" s="1">
        <v>44437</v>
      </c>
      <c r="G1860">
        <v>2017</v>
      </c>
      <c r="H1860" t="s">
        <v>46</v>
      </c>
      <c r="I1860" t="s">
        <v>64</v>
      </c>
      <c r="J1860" t="s">
        <v>40</v>
      </c>
      <c r="K1860">
        <v>5.3</v>
      </c>
      <c r="L1860">
        <v>10970721</v>
      </c>
      <c r="M1860">
        <v>3077104</v>
      </c>
      <c r="N1860">
        <v>85</v>
      </c>
      <c r="O1860" t="s">
        <v>91</v>
      </c>
      <c r="P1860" t="s">
        <v>50</v>
      </c>
    </row>
    <row r="1861" spans="1:16" x14ac:dyDescent="0.35">
      <c r="A1861" t="s">
        <v>3860</v>
      </c>
      <c r="B1861" t="s">
        <v>3861</v>
      </c>
      <c r="C1861" t="s">
        <v>35</v>
      </c>
      <c r="D1861" t="s">
        <v>90</v>
      </c>
      <c r="E1861" t="s">
        <v>62</v>
      </c>
      <c r="F1861" s="1">
        <v>44658</v>
      </c>
      <c r="G1861">
        <v>2006</v>
      </c>
      <c r="H1861" t="s">
        <v>121</v>
      </c>
      <c r="I1861" t="s">
        <v>95</v>
      </c>
      <c r="J1861" t="s">
        <v>100</v>
      </c>
      <c r="K1861">
        <v>9.6999999999999993</v>
      </c>
      <c r="L1861">
        <v>1634448</v>
      </c>
      <c r="M1861">
        <v>735306</v>
      </c>
      <c r="N1861">
        <v>94</v>
      </c>
      <c r="O1861" t="s">
        <v>31</v>
      </c>
    </row>
    <row r="1862" spans="1:16" x14ac:dyDescent="0.35">
      <c r="A1862" t="s">
        <v>3862</v>
      </c>
      <c r="B1862" t="s">
        <v>3863</v>
      </c>
      <c r="D1862" t="s">
        <v>94</v>
      </c>
      <c r="E1862" t="s">
        <v>131</v>
      </c>
      <c r="F1862" s="1">
        <v>44157</v>
      </c>
      <c r="G1862">
        <v>2024</v>
      </c>
      <c r="H1862" t="s">
        <v>114</v>
      </c>
      <c r="I1862" t="s">
        <v>64</v>
      </c>
      <c r="J1862" t="s">
        <v>103</v>
      </c>
      <c r="K1862">
        <v>6.9</v>
      </c>
      <c r="L1862">
        <v>11837940</v>
      </c>
      <c r="M1862">
        <v>3055352</v>
      </c>
      <c r="N1862">
        <v>57</v>
      </c>
      <c r="O1862" t="s">
        <v>31</v>
      </c>
      <c r="P1862" t="s">
        <v>50</v>
      </c>
    </row>
    <row r="1863" spans="1:16" x14ac:dyDescent="0.35">
      <c r="A1863" t="s">
        <v>3864</v>
      </c>
      <c r="B1863" t="s">
        <v>3865</v>
      </c>
      <c r="C1863" t="s">
        <v>79</v>
      </c>
      <c r="D1863" t="s">
        <v>36</v>
      </c>
      <c r="E1863" t="s">
        <v>165</v>
      </c>
      <c r="F1863" s="1">
        <v>43417</v>
      </c>
      <c r="G1863">
        <v>2017</v>
      </c>
      <c r="H1863" t="s">
        <v>107</v>
      </c>
      <c r="I1863" t="s">
        <v>656</v>
      </c>
      <c r="J1863" t="s">
        <v>23</v>
      </c>
      <c r="K1863">
        <v>7.6</v>
      </c>
      <c r="L1863">
        <v>3600019</v>
      </c>
      <c r="M1863">
        <v>1213676</v>
      </c>
      <c r="N1863">
        <v>94</v>
      </c>
      <c r="O1863" t="s">
        <v>104</v>
      </c>
      <c r="P1863" t="s">
        <v>42</v>
      </c>
    </row>
    <row r="1864" spans="1:16" x14ac:dyDescent="0.35">
      <c r="A1864" t="s">
        <v>3866</v>
      </c>
      <c r="B1864" t="s">
        <v>3867</v>
      </c>
      <c r="C1864" t="s">
        <v>79</v>
      </c>
      <c r="D1864" t="s">
        <v>94</v>
      </c>
      <c r="E1864" t="s">
        <v>45</v>
      </c>
      <c r="F1864" s="1">
        <v>43508</v>
      </c>
      <c r="G1864">
        <v>2015</v>
      </c>
      <c r="H1864" t="s">
        <v>46</v>
      </c>
      <c r="I1864" t="s">
        <v>696</v>
      </c>
      <c r="J1864" t="s">
        <v>76</v>
      </c>
      <c r="K1864">
        <v>5.5</v>
      </c>
      <c r="L1864">
        <v>21512409</v>
      </c>
      <c r="M1864">
        <v>1045321</v>
      </c>
      <c r="N1864">
        <v>93</v>
      </c>
      <c r="O1864" t="s">
        <v>49</v>
      </c>
      <c r="P1864" t="s">
        <v>32</v>
      </c>
    </row>
    <row r="1865" spans="1:16" x14ac:dyDescent="0.35">
      <c r="A1865" t="s">
        <v>3868</v>
      </c>
      <c r="B1865" t="s">
        <v>3869</v>
      </c>
      <c r="C1865" t="s">
        <v>79</v>
      </c>
      <c r="D1865" t="s">
        <v>54</v>
      </c>
      <c r="E1865" t="s">
        <v>45</v>
      </c>
      <c r="F1865" s="1">
        <v>43790</v>
      </c>
      <c r="G1865">
        <v>2000</v>
      </c>
      <c r="I1865" t="s">
        <v>1171</v>
      </c>
      <c r="J1865" t="s">
        <v>96</v>
      </c>
      <c r="K1865">
        <v>7.3</v>
      </c>
      <c r="L1865">
        <v>2166336</v>
      </c>
      <c r="M1865">
        <v>4236722</v>
      </c>
      <c r="N1865">
        <v>79</v>
      </c>
      <c r="O1865" t="s">
        <v>65</v>
      </c>
      <c r="P1865" t="s">
        <v>87</v>
      </c>
    </row>
    <row r="1866" spans="1:16" x14ac:dyDescent="0.35">
      <c r="A1866" t="s">
        <v>3870</v>
      </c>
      <c r="B1866" t="s">
        <v>3871</v>
      </c>
      <c r="C1866" t="s">
        <v>35</v>
      </c>
      <c r="D1866" t="s">
        <v>54</v>
      </c>
      <c r="E1866" t="s">
        <v>45</v>
      </c>
      <c r="F1866" s="1">
        <v>42835</v>
      </c>
      <c r="G1866">
        <v>2012</v>
      </c>
      <c r="H1866" t="s">
        <v>81</v>
      </c>
      <c r="I1866" t="s">
        <v>39</v>
      </c>
      <c r="J1866" t="s">
        <v>153</v>
      </c>
      <c r="K1866">
        <v>5.6</v>
      </c>
      <c r="L1866">
        <v>20473888</v>
      </c>
      <c r="M1866">
        <v>4858920</v>
      </c>
      <c r="N1866">
        <v>48</v>
      </c>
      <c r="O1866" t="s">
        <v>123</v>
      </c>
      <c r="P1866" t="s">
        <v>50</v>
      </c>
    </row>
    <row r="1867" spans="1:16" x14ac:dyDescent="0.35">
      <c r="A1867" t="s">
        <v>3872</v>
      </c>
      <c r="B1867" t="s">
        <v>3873</v>
      </c>
      <c r="C1867" t="s">
        <v>35</v>
      </c>
      <c r="D1867" t="s">
        <v>75</v>
      </c>
      <c r="E1867" t="s">
        <v>80</v>
      </c>
      <c r="F1867" s="1">
        <v>45065</v>
      </c>
      <c r="G1867">
        <v>2007</v>
      </c>
      <c r="H1867" t="s">
        <v>70</v>
      </c>
      <c r="I1867" t="s">
        <v>56</v>
      </c>
      <c r="K1867">
        <v>7.4</v>
      </c>
      <c r="L1867">
        <v>4604884</v>
      </c>
      <c r="M1867">
        <v>879921</v>
      </c>
      <c r="N1867">
        <v>92</v>
      </c>
      <c r="O1867" t="s">
        <v>123</v>
      </c>
      <c r="P1867" t="s">
        <v>32</v>
      </c>
    </row>
    <row r="1868" spans="1:16" x14ac:dyDescent="0.35">
      <c r="A1868" t="s">
        <v>3874</v>
      </c>
      <c r="B1868" t="s">
        <v>3875</v>
      </c>
      <c r="C1868" t="s">
        <v>18</v>
      </c>
      <c r="E1868" t="s">
        <v>62</v>
      </c>
      <c r="F1868" s="1">
        <v>46164</v>
      </c>
      <c r="G1868">
        <v>2003</v>
      </c>
      <c r="H1868" t="s">
        <v>70</v>
      </c>
      <c r="I1868" t="s">
        <v>157</v>
      </c>
      <c r="J1868" t="s">
        <v>40</v>
      </c>
      <c r="K1868">
        <v>5.7</v>
      </c>
      <c r="L1868">
        <v>23228704</v>
      </c>
      <c r="M1868">
        <v>3330564</v>
      </c>
      <c r="N1868">
        <v>89</v>
      </c>
      <c r="O1868" t="s">
        <v>31</v>
      </c>
      <c r="P1868" t="s">
        <v>42</v>
      </c>
    </row>
    <row r="1869" spans="1:16" x14ac:dyDescent="0.35">
      <c r="A1869" t="s">
        <v>3876</v>
      </c>
      <c r="B1869" t="s">
        <v>3877</v>
      </c>
      <c r="C1869" t="s">
        <v>79</v>
      </c>
      <c r="D1869" t="s">
        <v>61</v>
      </c>
      <c r="E1869" t="s">
        <v>45</v>
      </c>
      <c r="F1869" s="1">
        <v>43369</v>
      </c>
      <c r="G1869">
        <v>2008</v>
      </c>
      <c r="H1869" t="s">
        <v>107</v>
      </c>
      <c r="I1869" t="s">
        <v>361</v>
      </c>
      <c r="J1869" t="s">
        <v>57</v>
      </c>
      <c r="K1869">
        <v>7</v>
      </c>
      <c r="L1869">
        <v>22527019</v>
      </c>
      <c r="M1869">
        <v>1920428</v>
      </c>
      <c r="N1869">
        <v>54</v>
      </c>
      <c r="O1869" t="s">
        <v>49</v>
      </c>
      <c r="P1869" t="s">
        <v>50</v>
      </c>
    </row>
    <row r="1870" spans="1:16" x14ac:dyDescent="0.35">
      <c r="A1870" t="s">
        <v>3878</v>
      </c>
      <c r="B1870" t="s">
        <v>3879</v>
      </c>
      <c r="C1870" t="s">
        <v>53</v>
      </c>
      <c r="D1870" t="s">
        <v>19</v>
      </c>
      <c r="E1870" t="s">
        <v>80</v>
      </c>
      <c r="F1870" s="1">
        <v>45580</v>
      </c>
      <c r="G1870">
        <v>2021</v>
      </c>
      <c r="H1870" t="s">
        <v>114</v>
      </c>
      <c r="I1870" t="s">
        <v>39</v>
      </c>
      <c r="J1870" t="s">
        <v>100</v>
      </c>
      <c r="K1870">
        <v>5.0999999999999996</v>
      </c>
      <c r="L1870">
        <v>18210025</v>
      </c>
      <c r="M1870">
        <v>702858</v>
      </c>
      <c r="N1870">
        <v>93</v>
      </c>
      <c r="O1870" t="s">
        <v>24</v>
      </c>
      <c r="P1870" t="s">
        <v>87</v>
      </c>
    </row>
    <row r="1871" spans="1:16" x14ac:dyDescent="0.35">
      <c r="A1871" t="s">
        <v>3880</v>
      </c>
      <c r="B1871" t="s">
        <v>3881</v>
      </c>
      <c r="C1871" t="s">
        <v>53</v>
      </c>
      <c r="D1871" t="s">
        <v>27</v>
      </c>
      <c r="E1871" t="s">
        <v>131</v>
      </c>
      <c r="F1871" s="1">
        <v>45886</v>
      </c>
      <c r="G1871">
        <v>2022</v>
      </c>
      <c r="H1871" t="s">
        <v>81</v>
      </c>
      <c r="I1871" t="s">
        <v>56</v>
      </c>
      <c r="K1871">
        <v>8.4</v>
      </c>
      <c r="L1871">
        <v>21136385</v>
      </c>
      <c r="M1871">
        <v>632904</v>
      </c>
      <c r="N1871">
        <v>74</v>
      </c>
      <c r="O1871" t="s">
        <v>104</v>
      </c>
      <c r="P1871" t="s">
        <v>87</v>
      </c>
    </row>
    <row r="1872" spans="1:16" x14ac:dyDescent="0.35">
      <c r="A1872" t="s">
        <v>3882</v>
      </c>
      <c r="B1872" t="s">
        <v>3883</v>
      </c>
      <c r="C1872" t="s">
        <v>84</v>
      </c>
      <c r="D1872" t="s">
        <v>75</v>
      </c>
      <c r="G1872">
        <v>2008</v>
      </c>
      <c r="H1872" t="s">
        <v>63</v>
      </c>
      <c r="I1872" t="s">
        <v>505</v>
      </c>
      <c r="J1872" t="s">
        <v>30</v>
      </c>
      <c r="K1872">
        <v>6.1</v>
      </c>
      <c r="L1872">
        <v>-323</v>
      </c>
      <c r="M1872">
        <v>118522</v>
      </c>
      <c r="N1872">
        <v>76</v>
      </c>
      <c r="O1872" t="s">
        <v>104</v>
      </c>
    </row>
    <row r="1873" spans="1:16" x14ac:dyDescent="0.35">
      <c r="A1873" t="s">
        <v>3884</v>
      </c>
      <c r="B1873" t="s">
        <v>3885</v>
      </c>
      <c r="C1873" t="s">
        <v>18</v>
      </c>
      <c r="F1873" s="1">
        <v>43358</v>
      </c>
      <c r="G1873">
        <v>2020</v>
      </c>
      <c r="H1873" t="s">
        <v>85</v>
      </c>
      <c r="I1873" t="s">
        <v>223</v>
      </c>
      <c r="J1873" t="s">
        <v>23</v>
      </c>
      <c r="K1873">
        <v>9.1999999999999993</v>
      </c>
      <c r="L1873">
        <v>9337800</v>
      </c>
      <c r="M1873">
        <v>4304717</v>
      </c>
      <c r="N1873">
        <v>91</v>
      </c>
      <c r="O1873" t="s">
        <v>65</v>
      </c>
      <c r="P1873" t="s">
        <v>87</v>
      </c>
    </row>
    <row r="1874" spans="1:16" x14ac:dyDescent="0.35">
      <c r="A1874" t="s">
        <v>3886</v>
      </c>
      <c r="B1874" t="s">
        <v>3887</v>
      </c>
      <c r="C1874" t="s">
        <v>53</v>
      </c>
      <c r="D1874" t="s">
        <v>27</v>
      </c>
      <c r="E1874" t="s">
        <v>55</v>
      </c>
      <c r="F1874" s="1">
        <v>44640</v>
      </c>
      <c r="G1874">
        <v>2001</v>
      </c>
      <c r="H1874" t="s">
        <v>114</v>
      </c>
      <c r="I1874" t="s">
        <v>162</v>
      </c>
      <c r="J1874" t="s">
        <v>40</v>
      </c>
      <c r="K1874">
        <v>5.9</v>
      </c>
      <c r="L1874">
        <v>4755600</v>
      </c>
      <c r="M1874">
        <v>3320459</v>
      </c>
      <c r="N1874">
        <v>89</v>
      </c>
      <c r="O1874" t="s">
        <v>58</v>
      </c>
      <c r="P1874" t="s">
        <v>50</v>
      </c>
    </row>
    <row r="1875" spans="1:16" x14ac:dyDescent="0.35">
      <c r="A1875" t="s">
        <v>3888</v>
      </c>
      <c r="B1875" t="s">
        <v>3889</v>
      </c>
      <c r="D1875" t="s">
        <v>61</v>
      </c>
      <c r="E1875" t="s">
        <v>131</v>
      </c>
      <c r="F1875" s="1">
        <v>42453</v>
      </c>
      <c r="G1875">
        <v>2013</v>
      </c>
      <c r="H1875" t="s">
        <v>81</v>
      </c>
      <c r="I1875" t="s">
        <v>136</v>
      </c>
      <c r="J1875" t="s">
        <v>133</v>
      </c>
      <c r="K1875">
        <v>8.1999999999999993</v>
      </c>
      <c r="L1875">
        <v>5325881</v>
      </c>
      <c r="M1875">
        <v>1525314</v>
      </c>
      <c r="N1875">
        <v>58</v>
      </c>
      <c r="O1875" t="s">
        <v>65</v>
      </c>
    </row>
    <row r="1876" spans="1:16" x14ac:dyDescent="0.35">
      <c r="A1876" t="s">
        <v>3890</v>
      </c>
      <c r="B1876" t="s">
        <v>3889</v>
      </c>
      <c r="C1876" t="s">
        <v>18</v>
      </c>
      <c r="D1876" t="s">
        <v>36</v>
      </c>
      <c r="E1876" t="s">
        <v>131</v>
      </c>
      <c r="F1876" s="1">
        <v>44668</v>
      </c>
      <c r="G1876">
        <v>2025</v>
      </c>
      <c r="H1876" t="s">
        <v>121</v>
      </c>
      <c r="I1876" t="s">
        <v>1606</v>
      </c>
      <c r="J1876" t="s">
        <v>103</v>
      </c>
      <c r="K1876">
        <v>6.7</v>
      </c>
      <c r="L1876">
        <v>23913360</v>
      </c>
      <c r="M1876">
        <v>3670726</v>
      </c>
      <c r="N1876">
        <v>95</v>
      </c>
      <c r="P1876" t="s">
        <v>87</v>
      </c>
    </row>
    <row r="1877" spans="1:16" x14ac:dyDescent="0.35">
      <c r="A1877" t="s">
        <v>3891</v>
      </c>
      <c r="B1877" t="s">
        <v>3889</v>
      </c>
      <c r="C1877" t="s">
        <v>53</v>
      </c>
      <c r="D1877" t="s">
        <v>68</v>
      </c>
      <c r="E1877" t="s">
        <v>28</v>
      </c>
      <c r="F1877" s="1">
        <v>46008</v>
      </c>
      <c r="G1877">
        <v>2024</v>
      </c>
      <c r="H1877" t="s">
        <v>121</v>
      </c>
      <c r="I1877" t="s">
        <v>56</v>
      </c>
      <c r="J1877" t="s">
        <v>76</v>
      </c>
      <c r="K1877">
        <v>6</v>
      </c>
      <c r="L1877">
        <v>8583036</v>
      </c>
      <c r="M1877">
        <v>1712859</v>
      </c>
      <c r="N1877">
        <v>98</v>
      </c>
      <c r="O1877" t="s">
        <v>49</v>
      </c>
      <c r="P1877" t="s">
        <v>87</v>
      </c>
    </row>
    <row r="1878" spans="1:16" x14ac:dyDescent="0.35">
      <c r="A1878" t="s">
        <v>3892</v>
      </c>
      <c r="B1878" t="s">
        <v>3893</v>
      </c>
      <c r="C1878" t="s">
        <v>53</v>
      </c>
      <c r="D1878" t="s">
        <v>68</v>
      </c>
      <c r="F1878" s="1">
        <v>43170</v>
      </c>
      <c r="G1878">
        <v>2026</v>
      </c>
      <c r="H1878" t="s">
        <v>81</v>
      </c>
      <c r="I1878" t="s">
        <v>162</v>
      </c>
      <c r="J1878" t="s">
        <v>57</v>
      </c>
      <c r="K1878">
        <v>4.5999999999999996</v>
      </c>
      <c r="L1878">
        <v>5363242</v>
      </c>
      <c r="M1878">
        <v>414654</v>
      </c>
      <c r="N1878">
        <v>81</v>
      </c>
      <c r="O1878" t="s">
        <v>31</v>
      </c>
      <c r="P1878" t="s">
        <v>50</v>
      </c>
    </row>
    <row r="1879" spans="1:16" x14ac:dyDescent="0.35">
      <c r="A1879" t="s">
        <v>3894</v>
      </c>
      <c r="B1879" t="s">
        <v>3895</v>
      </c>
      <c r="C1879" t="s">
        <v>18</v>
      </c>
      <c r="D1879" t="s">
        <v>68</v>
      </c>
      <c r="E1879" t="s">
        <v>45</v>
      </c>
      <c r="F1879" s="1">
        <v>42734</v>
      </c>
      <c r="G1879">
        <v>2019</v>
      </c>
      <c r="H1879" t="s">
        <v>38</v>
      </c>
      <c r="I1879" t="s">
        <v>402</v>
      </c>
      <c r="J1879" t="s">
        <v>30</v>
      </c>
      <c r="K1879">
        <v>6</v>
      </c>
      <c r="L1879">
        <v>6758643</v>
      </c>
      <c r="M1879">
        <v>1919309</v>
      </c>
      <c r="N1879">
        <v>67</v>
      </c>
      <c r="O1879" t="s">
        <v>41</v>
      </c>
      <c r="P1879" t="s">
        <v>87</v>
      </c>
    </row>
    <row r="1880" spans="1:16" x14ac:dyDescent="0.35">
      <c r="A1880" t="s">
        <v>3896</v>
      </c>
      <c r="B1880" t="s">
        <v>3897</v>
      </c>
      <c r="E1880" t="s">
        <v>45</v>
      </c>
      <c r="G1880">
        <v>2006</v>
      </c>
      <c r="H1880" t="s">
        <v>121</v>
      </c>
      <c r="I1880" t="s">
        <v>136</v>
      </c>
      <c r="J1880" t="s">
        <v>133</v>
      </c>
      <c r="K1880">
        <v>9.3000000000000007</v>
      </c>
      <c r="L1880">
        <v>2033984</v>
      </c>
      <c r="M1880">
        <v>48206</v>
      </c>
      <c r="N1880">
        <v>69</v>
      </c>
      <c r="O1880" t="s">
        <v>104</v>
      </c>
      <c r="P1880" t="s">
        <v>32</v>
      </c>
    </row>
    <row r="1881" spans="1:16" x14ac:dyDescent="0.35">
      <c r="A1881" t="s">
        <v>3898</v>
      </c>
      <c r="B1881" t="s">
        <v>3899</v>
      </c>
      <c r="C1881" t="s">
        <v>79</v>
      </c>
      <c r="E1881" t="s">
        <v>37</v>
      </c>
      <c r="F1881" s="1">
        <v>45589</v>
      </c>
      <c r="G1881">
        <v>2002</v>
      </c>
      <c r="H1881" t="s">
        <v>121</v>
      </c>
      <c r="I1881" t="s">
        <v>720</v>
      </c>
      <c r="J1881" t="s">
        <v>72</v>
      </c>
      <c r="K1881">
        <v>4.8</v>
      </c>
      <c r="L1881">
        <v>19319830</v>
      </c>
      <c r="M1881">
        <v>2269984</v>
      </c>
      <c r="N1881">
        <v>51</v>
      </c>
      <c r="O1881" t="s">
        <v>24</v>
      </c>
    </row>
    <row r="1882" spans="1:16" x14ac:dyDescent="0.35">
      <c r="A1882" t="s">
        <v>3900</v>
      </c>
      <c r="B1882" t="s">
        <v>3901</v>
      </c>
      <c r="C1882" t="s">
        <v>79</v>
      </c>
      <c r="D1882" t="s">
        <v>90</v>
      </c>
      <c r="E1882" t="s">
        <v>69</v>
      </c>
      <c r="F1882" s="1">
        <v>45532</v>
      </c>
      <c r="G1882">
        <v>2012</v>
      </c>
      <c r="H1882" t="s">
        <v>121</v>
      </c>
      <c r="I1882" t="s">
        <v>727</v>
      </c>
      <c r="J1882" t="s">
        <v>23</v>
      </c>
      <c r="K1882">
        <v>8.9</v>
      </c>
      <c r="L1882">
        <v>22308640</v>
      </c>
      <c r="M1882">
        <v>1830631</v>
      </c>
      <c r="N1882">
        <v>72</v>
      </c>
      <c r="O1882" t="s">
        <v>49</v>
      </c>
      <c r="P1882" t="s">
        <v>32</v>
      </c>
    </row>
    <row r="1883" spans="1:16" x14ac:dyDescent="0.35">
      <c r="A1883" t="s">
        <v>3902</v>
      </c>
      <c r="B1883" t="s">
        <v>3903</v>
      </c>
      <c r="C1883" t="s">
        <v>53</v>
      </c>
      <c r="D1883" t="s">
        <v>36</v>
      </c>
      <c r="E1883" t="s">
        <v>165</v>
      </c>
      <c r="F1883" s="1">
        <v>42416</v>
      </c>
      <c r="G1883">
        <v>2003</v>
      </c>
      <c r="I1883" t="s">
        <v>136</v>
      </c>
      <c r="J1883" t="s">
        <v>57</v>
      </c>
      <c r="K1883">
        <v>8.5</v>
      </c>
      <c r="L1883">
        <v>7995190</v>
      </c>
      <c r="M1883">
        <v>3994406</v>
      </c>
      <c r="N1883">
        <v>43</v>
      </c>
      <c r="O1883" t="s">
        <v>91</v>
      </c>
    </row>
    <row r="1884" spans="1:16" x14ac:dyDescent="0.35">
      <c r="A1884" t="s">
        <v>3904</v>
      </c>
      <c r="B1884" t="s">
        <v>3905</v>
      </c>
      <c r="C1884" t="s">
        <v>35</v>
      </c>
      <c r="D1884" t="s">
        <v>75</v>
      </c>
      <c r="E1884" t="s">
        <v>20</v>
      </c>
      <c r="F1884" s="1">
        <v>44836</v>
      </c>
      <c r="G1884">
        <v>2022</v>
      </c>
      <c r="H1884" t="s">
        <v>121</v>
      </c>
      <c r="I1884" t="s">
        <v>64</v>
      </c>
      <c r="J1884" t="s">
        <v>100</v>
      </c>
      <c r="K1884">
        <v>9</v>
      </c>
      <c r="L1884">
        <v>4464721</v>
      </c>
      <c r="M1884">
        <v>1553241</v>
      </c>
      <c r="N1884">
        <v>120</v>
      </c>
      <c r="O1884" t="s">
        <v>104</v>
      </c>
    </row>
    <row r="1885" spans="1:16" x14ac:dyDescent="0.35">
      <c r="A1885" t="s">
        <v>3906</v>
      </c>
      <c r="B1885" t="s">
        <v>3907</v>
      </c>
      <c r="C1885" t="s">
        <v>53</v>
      </c>
      <c r="D1885" t="s">
        <v>90</v>
      </c>
      <c r="F1885" s="1">
        <v>42160</v>
      </c>
      <c r="G1885">
        <v>2006</v>
      </c>
      <c r="H1885" t="s">
        <v>38</v>
      </c>
      <c r="I1885" t="s">
        <v>39</v>
      </c>
      <c r="J1885" t="s">
        <v>153</v>
      </c>
      <c r="K1885">
        <v>6.3</v>
      </c>
      <c r="L1885">
        <v>14832670</v>
      </c>
      <c r="M1885">
        <v>3868274</v>
      </c>
      <c r="N1885">
        <v>74</v>
      </c>
      <c r="O1885" t="s">
        <v>41</v>
      </c>
      <c r="P1885" t="s">
        <v>87</v>
      </c>
    </row>
    <row r="1886" spans="1:16" x14ac:dyDescent="0.35">
      <c r="A1886" t="s">
        <v>3908</v>
      </c>
      <c r="B1886" t="s">
        <v>3909</v>
      </c>
      <c r="C1886" t="s">
        <v>84</v>
      </c>
      <c r="D1886" t="s">
        <v>75</v>
      </c>
      <c r="E1886" t="s">
        <v>45</v>
      </c>
      <c r="F1886" s="1">
        <v>43393</v>
      </c>
      <c r="G1886">
        <v>2014</v>
      </c>
      <c r="H1886" t="s">
        <v>70</v>
      </c>
      <c r="I1886" t="s">
        <v>1279</v>
      </c>
      <c r="J1886" t="s">
        <v>23</v>
      </c>
      <c r="K1886">
        <v>9.1</v>
      </c>
      <c r="L1886">
        <v>12207590</v>
      </c>
      <c r="M1886">
        <v>2211757</v>
      </c>
      <c r="N1886">
        <v>85</v>
      </c>
      <c r="O1886" t="s">
        <v>41</v>
      </c>
      <c r="P1886" t="s">
        <v>42</v>
      </c>
    </row>
    <row r="1887" spans="1:16" x14ac:dyDescent="0.35">
      <c r="A1887" t="s">
        <v>3910</v>
      </c>
      <c r="B1887" t="s">
        <v>3911</v>
      </c>
      <c r="C1887" t="s">
        <v>79</v>
      </c>
      <c r="E1887" t="s">
        <v>165</v>
      </c>
      <c r="F1887" s="1">
        <v>44779</v>
      </c>
      <c r="G1887">
        <v>2004</v>
      </c>
      <c r="H1887" t="s">
        <v>121</v>
      </c>
      <c r="I1887" t="s">
        <v>397</v>
      </c>
      <c r="J1887" t="s">
        <v>40</v>
      </c>
      <c r="K1887">
        <v>6.3</v>
      </c>
      <c r="L1887">
        <v>-920</v>
      </c>
      <c r="M1887">
        <v>2695784</v>
      </c>
      <c r="N1887">
        <v>98</v>
      </c>
      <c r="P1887" t="s">
        <v>32</v>
      </c>
    </row>
    <row r="1888" spans="1:16" x14ac:dyDescent="0.35">
      <c r="A1888" t="s">
        <v>3912</v>
      </c>
      <c r="B1888" t="s">
        <v>3913</v>
      </c>
      <c r="C1888" t="s">
        <v>35</v>
      </c>
      <c r="D1888" t="s">
        <v>156</v>
      </c>
      <c r="G1888">
        <v>2000</v>
      </c>
      <c r="H1888" t="s">
        <v>114</v>
      </c>
      <c r="I1888" t="s">
        <v>64</v>
      </c>
      <c r="J1888" t="s">
        <v>100</v>
      </c>
      <c r="K1888">
        <v>9.6</v>
      </c>
      <c r="L1888">
        <v>19426460</v>
      </c>
      <c r="M1888">
        <v>1177052</v>
      </c>
      <c r="N1888">
        <v>53</v>
      </c>
      <c r="O1888" t="s">
        <v>104</v>
      </c>
      <c r="P1888" t="s">
        <v>50</v>
      </c>
    </row>
    <row r="1889" spans="1:16" x14ac:dyDescent="0.35">
      <c r="A1889" t="s">
        <v>3914</v>
      </c>
      <c r="B1889" t="s">
        <v>3915</v>
      </c>
      <c r="C1889" t="s">
        <v>18</v>
      </c>
      <c r="E1889" t="s">
        <v>69</v>
      </c>
      <c r="G1889">
        <v>2019</v>
      </c>
      <c r="J1889" t="s">
        <v>96</v>
      </c>
      <c r="K1889">
        <v>7.2</v>
      </c>
      <c r="L1889">
        <v>14493966</v>
      </c>
      <c r="M1889">
        <v>3069004</v>
      </c>
      <c r="N1889">
        <v>99</v>
      </c>
      <c r="O1889" t="s">
        <v>123</v>
      </c>
      <c r="P1889" t="s">
        <v>50</v>
      </c>
    </row>
    <row r="1890" spans="1:16" x14ac:dyDescent="0.35">
      <c r="A1890" t="s">
        <v>3916</v>
      </c>
      <c r="B1890" t="s">
        <v>3917</v>
      </c>
      <c r="C1890" t="s">
        <v>79</v>
      </c>
      <c r="D1890" t="s">
        <v>19</v>
      </c>
      <c r="E1890" t="s">
        <v>99</v>
      </c>
      <c r="F1890" s="1">
        <v>42006</v>
      </c>
      <c r="G1890">
        <v>2007</v>
      </c>
      <c r="H1890" t="s">
        <v>114</v>
      </c>
      <c r="I1890" t="s">
        <v>115</v>
      </c>
      <c r="J1890" t="s">
        <v>96</v>
      </c>
      <c r="K1890">
        <v>8.6</v>
      </c>
      <c r="L1890">
        <v>22873377</v>
      </c>
      <c r="M1890">
        <v>2592354</v>
      </c>
      <c r="N1890">
        <v>77</v>
      </c>
      <c r="O1890" t="s">
        <v>104</v>
      </c>
      <c r="P1890" t="s">
        <v>32</v>
      </c>
    </row>
    <row r="1891" spans="1:16" x14ac:dyDescent="0.35">
      <c r="A1891" t="s">
        <v>3918</v>
      </c>
      <c r="B1891" t="s">
        <v>3919</v>
      </c>
      <c r="C1891" t="s">
        <v>35</v>
      </c>
      <c r="D1891" t="s">
        <v>54</v>
      </c>
      <c r="E1891" t="s">
        <v>69</v>
      </c>
      <c r="F1891" s="1">
        <v>44786</v>
      </c>
      <c r="G1891">
        <v>2019</v>
      </c>
      <c r="I1891" t="s">
        <v>162</v>
      </c>
      <c r="J1891" t="s">
        <v>133</v>
      </c>
      <c r="K1891">
        <v>6</v>
      </c>
      <c r="L1891">
        <v>16139892</v>
      </c>
      <c r="M1891">
        <v>421387</v>
      </c>
      <c r="N1891">
        <v>95</v>
      </c>
      <c r="O1891" t="s">
        <v>104</v>
      </c>
      <c r="P1891" t="s">
        <v>42</v>
      </c>
    </row>
    <row r="1892" spans="1:16" x14ac:dyDescent="0.35">
      <c r="A1892" t="s">
        <v>3920</v>
      </c>
      <c r="B1892" t="s">
        <v>3921</v>
      </c>
      <c r="C1892" t="s">
        <v>18</v>
      </c>
      <c r="D1892" t="s">
        <v>156</v>
      </c>
      <c r="E1892" t="s">
        <v>131</v>
      </c>
      <c r="F1892" s="1">
        <v>46126</v>
      </c>
      <c r="G1892">
        <v>2011</v>
      </c>
      <c r="H1892" t="s">
        <v>21</v>
      </c>
      <c r="J1892" t="s">
        <v>76</v>
      </c>
      <c r="K1892">
        <v>5</v>
      </c>
      <c r="L1892">
        <v>4197704</v>
      </c>
      <c r="M1892">
        <v>4086878</v>
      </c>
      <c r="N1892">
        <v>90</v>
      </c>
      <c r="P1892" t="s">
        <v>87</v>
      </c>
    </row>
    <row r="1893" spans="1:16" x14ac:dyDescent="0.35">
      <c r="A1893" t="s">
        <v>3922</v>
      </c>
      <c r="B1893" t="s">
        <v>3923</v>
      </c>
      <c r="C1893" t="s">
        <v>84</v>
      </c>
      <c r="E1893" t="s">
        <v>165</v>
      </c>
      <c r="F1893" s="1">
        <v>42087</v>
      </c>
      <c r="G1893">
        <v>2013</v>
      </c>
      <c r="I1893" t="s">
        <v>788</v>
      </c>
      <c r="J1893" t="s">
        <v>40</v>
      </c>
      <c r="K1893">
        <v>5.2</v>
      </c>
      <c r="L1893">
        <v>1744701</v>
      </c>
      <c r="M1893">
        <v>44519</v>
      </c>
      <c r="N1893">
        <v>52</v>
      </c>
      <c r="O1893" t="s">
        <v>24</v>
      </c>
      <c r="P1893" t="s">
        <v>42</v>
      </c>
    </row>
    <row r="1894" spans="1:16" x14ac:dyDescent="0.35">
      <c r="A1894" t="s">
        <v>3924</v>
      </c>
      <c r="B1894" t="s">
        <v>3925</v>
      </c>
      <c r="C1894" t="s">
        <v>53</v>
      </c>
      <c r="E1894" t="s">
        <v>55</v>
      </c>
      <c r="F1894" s="1">
        <v>45029</v>
      </c>
      <c r="G1894">
        <v>2002</v>
      </c>
      <c r="H1894" t="s">
        <v>85</v>
      </c>
      <c r="I1894" t="s">
        <v>64</v>
      </c>
      <c r="J1894" t="s">
        <v>133</v>
      </c>
      <c r="K1894">
        <v>8.3000000000000007</v>
      </c>
      <c r="L1894">
        <v>7670260</v>
      </c>
      <c r="M1894">
        <v>2857138</v>
      </c>
      <c r="N1894">
        <v>60</v>
      </c>
      <c r="O1894" t="s">
        <v>24</v>
      </c>
      <c r="P1894" t="s">
        <v>42</v>
      </c>
    </row>
    <row r="1895" spans="1:16" x14ac:dyDescent="0.35">
      <c r="A1895" t="s">
        <v>3926</v>
      </c>
      <c r="B1895" t="s">
        <v>3927</v>
      </c>
      <c r="C1895" t="s">
        <v>84</v>
      </c>
      <c r="D1895" t="s">
        <v>54</v>
      </c>
      <c r="E1895" t="s">
        <v>55</v>
      </c>
      <c r="F1895" s="1">
        <v>46067</v>
      </c>
      <c r="G1895">
        <v>2019</v>
      </c>
      <c r="H1895" t="s">
        <v>121</v>
      </c>
      <c r="I1895" t="s">
        <v>508</v>
      </c>
      <c r="J1895" t="s">
        <v>72</v>
      </c>
      <c r="K1895">
        <v>7.2</v>
      </c>
      <c r="L1895">
        <v>22481534</v>
      </c>
      <c r="M1895">
        <v>4957998</v>
      </c>
      <c r="N1895">
        <v>47</v>
      </c>
      <c r="O1895" t="s">
        <v>31</v>
      </c>
    </row>
    <row r="1896" spans="1:16" x14ac:dyDescent="0.35">
      <c r="A1896" t="s">
        <v>3928</v>
      </c>
      <c r="B1896" t="s">
        <v>3929</v>
      </c>
      <c r="C1896" t="s">
        <v>84</v>
      </c>
      <c r="D1896" t="s">
        <v>36</v>
      </c>
      <c r="E1896" t="s">
        <v>28</v>
      </c>
      <c r="F1896" s="1">
        <v>45173</v>
      </c>
      <c r="G1896">
        <v>2006</v>
      </c>
      <c r="H1896" t="s">
        <v>81</v>
      </c>
      <c r="I1896" t="s">
        <v>627</v>
      </c>
      <c r="J1896" t="s">
        <v>57</v>
      </c>
      <c r="K1896">
        <v>9.1999999999999993</v>
      </c>
      <c r="L1896">
        <v>24414868</v>
      </c>
      <c r="M1896">
        <v>2728232</v>
      </c>
      <c r="N1896">
        <v>65</v>
      </c>
      <c r="O1896" t="s">
        <v>104</v>
      </c>
      <c r="P1896" t="s">
        <v>42</v>
      </c>
    </row>
    <row r="1897" spans="1:16" x14ac:dyDescent="0.35">
      <c r="A1897" t="s">
        <v>3930</v>
      </c>
      <c r="B1897" t="s">
        <v>3931</v>
      </c>
      <c r="C1897" t="s">
        <v>84</v>
      </c>
      <c r="D1897" t="s">
        <v>19</v>
      </c>
      <c r="E1897" t="s">
        <v>165</v>
      </c>
      <c r="F1897" s="1">
        <v>43287</v>
      </c>
      <c r="G1897">
        <v>2025</v>
      </c>
      <c r="H1897" t="s">
        <v>121</v>
      </c>
      <c r="I1897" t="s">
        <v>1452</v>
      </c>
      <c r="J1897" t="s">
        <v>133</v>
      </c>
      <c r="K1897">
        <v>8.5</v>
      </c>
      <c r="L1897">
        <v>20523295</v>
      </c>
      <c r="M1897">
        <v>2284771</v>
      </c>
      <c r="N1897">
        <v>46</v>
      </c>
      <c r="O1897" t="s">
        <v>58</v>
      </c>
      <c r="P1897" t="s">
        <v>42</v>
      </c>
    </row>
    <row r="1898" spans="1:16" x14ac:dyDescent="0.35">
      <c r="A1898" t="s">
        <v>3932</v>
      </c>
      <c r="B1898" t="s">
        <v>3933</v>
      </c>
      <c r="C1898" t="s">
        <v>35</v>
      </c>
      <c r="D1898" t="s">
        <v>90</v>
      </c>
      <c r="E1898" t="s">
        <v>55</v>
      </c>
      <c r="F1898" s="1">
        <v>43058</v>
      </c>
      <c r="G1898">
        <v>2012</v>
      </c>
      <c r="H1898" t="s">
        <v>63</v>
      </c>
      <c r="I1898" t="s">
        <v>56</v>
      </c>
      <c r="J1898" t="s">
        <v>40</v>
      </c>
      <c r="K1898">
        <v>7.2</v>
      </c>
      <c r="L1898">
        <v>9448106</v>
      </c>
      <c r="M1898">
        <v>2373092</v>
      </c>
      <c r="N1898">
        <v>64</v>
      </c>
      <c r="O1898" t="s">
        <v>65</v>
      </c>
      <c r="P1898" t="s">
        <v>50</v>
      </c>
    </row>
    <row r="1899" spans="1:16" x14ac:dyDescent="0.35">
      <c r="A1899" t="s">
        <v>3934</v>
      </c>
      <c r="B1899" t="s">
        <v>3935</v>
      </c>
      <c r="D1899" t="s">
        <v>68</v>
      </c>
      <c r="E1899" t="s">
        <v>37</v>
      </c>
      <c r="F1899" s="1">
        <v>42588</v>
      </c>
      <c r="G1899">
        <v>2023</v>
      </c>
      <c r="I1899" t="s">
        <v>64</v>
      </c>
      <c r="J1899" t="s">
        <v>72</v>
      </c>
      <c r="K1899">
        <v>9.5</v>
      </c>
      <c r="L1899">
        <v>16709877</v>
      </c>
      <c r="M1899">
        <v>95323</v>
      </c>
      <c r="N1899">
        <v>70</v>
      </c>
      <c r="O1899" t="s">
        <v>49</v>
      </c>
      <c r="P1899" t="s">
        <v>32</v>
      </c>
    </row>
    <row r="1900" spans="1:16" x14ac:dyDescent="0.35">
      <c r="A1900" t="s">
        <v>3936</v>
      </c>
      <c r="B1900" t="s">
        <v>3937</v>
      </c>
      <c r="C1900" t="s">
        <v>18</v>
      </c>
      <c r="E1900" t="s">
        <v>165</v>
      </c>
      <c r="F1900" s="1">
        <v>42264</v>
      </c>
      <c r="G1900">
        <v>2019</v>
      </c>
      <c r="H1900" t="s">
        <v>121</v>
      </c>
      <c r="I1900" t="s">
        <v>1023</v>
      </c>
      <c r="J1900" t="s">
        <v>96</v>
      </c>
      <c r="K1900">
        <v>7.3</v>
      </c>
      <c r="L1900">
        <v>17473861</v>
      </c>
      <c r="M1900">
        <v>1585924</v>
      </c>
      <c r="N1900">
        <v>64</v>
      </c>
      <c r="O1900" t="s">
        <v>123</v>
      </c>
      <c r="P1900" t="s">
        <v>50</v>
      </c>
    </row>
    <row r="1901" spans="1:16" x14ac:dyDescent="0.35">
      <c r="A1901" t="s">
        <v>3938</v>
      </c>
      <c r="B1901" t="s">
        <v>3939</v>
      </c>
      <c r="C1901" t="s">
        <v>79</v>
      </c>
      <c r="D1901" t="s">
        <v>27</v>
      </c>
      <c r="E1901" t="s">
        <v>113</v>
      </c>
      <c r="F1901" s="1">
        <v>45717</v>
      </c>
      <c r="G1901">
        <v>2026</v>
      </c>
      <c r="H1901" t="s">
        <v>21</v>
      </c>
      <c r="I1901" t="s">
        <v>963</v>
      </c>
      <c r="J1901" t="s">
        <v>133</v>
      </c>
      <c r="K1901">
        <v>9.4</v>
      </c>
      <c r="L1901">
        <v>17648597</v>
      </c>
      <c r="M1901">
        <v>1140139</v>
      </c>
      <c r="N1901">
        <v>95</v>
      </c>
      <c r="O1901" t="s">
        <v>49</v>
      </c>
      <c r="P1901" t="s">
        <v>87</v>
      </c>
    </row>
    <row r="1902" spans="1:16" x14ac:dyDescent="0.35">
      <c r="A1902" t="s">
        <v>3940</v>
      </c>
      <c r="B1902" t="s">
        <v>3941</v>
      </c>
      <c r="D1902" t="s">
        <v>75</v>
      </c>
      <c r="E1902" t="s">
        <v>165</v>
      </c>
      <c r="F1902" s="1">
        <v>44090</v>
      </c>
      <c r="G1902">
        <v>2007</v>
      </c>
      <c r="H1902" t="s">
        <v>85</v>
      </c>
      <c r="I1902" t="s">
        <v>71</v>
      </c>
      <c r="J1902" t="s">
        <v>40</v>
      </c>
      <c r="K1902">
        <v>5.6</v>
      </c>
      <c r="L1902">
        <v>24036250</v>
      </c>
      <c r="M1902">
        <v>1096023</v>
      </c>
      <c r="N1902">
        <v>62</v>
      </c>
      <c r="O1902" t="s">
        <v>31</v>
      </c>
      <c r="P1902" t="s">
        <v>32</v>
      </c>
    </row>
    <row r="1903" spans="1:16" x14ac:dyDescent="0.35">
      <c r="A1903" t="s">
        <v>3942</v>
      </c>
      <c r="B1903" t="s">
        <v>3943</v>
      </c>
      <c r="D1903" t="s">
        <v>156</v>
      </c>
      <c r="E1903" t="s">
        <v>45</v>
      </c>
      <c r="F1903" s="1">
        <v>43668</v>
      </c>
      <c r="G1903">
        <v>2013</v>
      </c>
      <c r="H1903" t="s">
        <v>63</v>
      </c>
      <c r="I1903" t="s">
        <v>136</v>
      </c>
      <c r="J1903" t="s">
        <v>96</v>
      </c>
      <c r="K1903">
        <v>5.6</v>
      </c>
      <c r="L1903">
        <v>21379154</v>
      </c>
      <c r="M1903">
        <v>3625605</v>
      </c>
      <c r="N1903">
        <v>72</v>
      </c>
      <c r="O1903" t="s">
        <v>31</v>
      </c>
      <c r="P1903" t="s">
        <v>50</v>
      </c>
    </row>
    <row r="1904" spans="1:16" x14ac:dyDescent="0.35">
      <c r="A1904" t="s">
        <v>3944</v>
      </c>
      <c r="B1904" t="s">
        <v>3945</v>
      </c>
      <c r="C1904" t="s">
        <v>53</v>
      </c>
      <c r="D1904" t="s">
        <v>54</v>
      </c>
      <c r="E1904" t="s">
        <v>55</v>
      </c>
      <c r="F1904" s="1">
        <v>45953</v>
      </c>
      <c r="G1904">
        <v>2008</v>
      </c>
      <c r="H1904" t="s">
        <v>38</v>
      </c>
      <c r="I1904" t="s">
        <v>56</v>
      </c>
      <c r="J1904" t="s">
        <v>103</v>
      </c>
      <c r="K1904">
        <v>5.8</v>
      </c>
      <c r="L1904">
        <v>13989023</v>
      </c>
      <c r="M1904">
        <v>2700650</v>
      </c>
      <c r="N1904">
        <v>94</v>
      </c>
      <c r="P1904" t="s">
        <v>87</v>
      </c>
    </row>
    <row r="1905" spans="1:16" x14ac:dyDescent="0.35">
      <c r="A1905" t="s">
        <v>3946</v>
      </c>
      <c r="B1905" t="s">
        <v>3947</v>
      </c>
      <c r="C1905" t="s">
        <v>35</v>
      </c>
      <c r="D1905" t="s">
        <v>68</v>
      </c>
      <c r="E1905" t="s">
        <v>165</v>
      </c>
      <c r="F1905" s="1">
        <v>43290</v>
      </c>
      <c r="G1905">
        <v>2010</v>
      </c>
      <c r="H1905" t="s">
        <v>63</v>
      </c>
      <c r="I1905" t="s">
        <v>136</v>
      </c>
      <c r="J1905" t="s">
        <v>30</v>
      </c>
      <c r="K1905">
        <v>6.1</v>
      </c>
      <c r="L1905">
        <v>9628414</v>
      </c>
      <c r="M1905">
        <v>2589897</v>
      </c>
      <c r="N1905">
        <v>96</v>
      </c>
      <c r="O1905" t="s">
        <v>24</v>
      </c>
      <c r="P1905" t="s">
        <v>32</v>
      </c>
    </row>
    <row r="1906" spans="1:16" x14ac:dyDescent="0.35">
      <c r="A1906" t="s">
        <v>3948</v>
      </c>
      <c r="B1906" t="s">
        <v>3949</v>
      </c>
      <c r="D1906" t="s">
        <v>94</v>
      </c>
      <c r="E1906" t="s">
        <v>37</v>
      </c>
      <c r="F1906" s="1">
        <v>44735</v>
      </c>
      <c r="G1906">
        <v>2015</v>
      </c>
      <c r="H1906" t="s">
        <v>107</v>
      </c>
      <c r="I1906" t="s">
        <v>95</v>
      </c>
      <c r="J1906" t="s">
        <v>30</v>
      </c>
      <c r="K1906">
        <v>5.0999999999999996</v>
      </c>
      <c r="L1906">
        <v>11968875</v>
      </c>
      <c r="M1906">
        <v>3017553</v>
      </c>
      <c r="N1906">
        <v>62</v>
      </c>
      <c r="O1906" t="s">
        <v>104</v>
      </c>
      <c r="P1906" t="s">
        <v>87</v>
      </c>
    </row>
    <row r="1907" spans="1:16" x14ac:dyDescent="0.35">
      <c r="A1907" t="s">
        <v>3950</v>
      </c>
      <c r="B1907" t="s">
        <v>3951</v>
      </c>
      <c r="C1907" t="s">
        <v>53</v>
      </c>
      <c r="D1907" t="s">
        <v>36</v>
      </c>
      <c r="E1907" t="s">
        <v>28</v>
      </c>
      <c r="F1907" s="1">
        <v>45822</v>
      </c>
      <c r="G1907">
        <v>2006</v>
      </c>
      <c r="H1907" t="s">
        <v>46</v>
      </c>
      <c r="I1907" t="s">
        <v>64</v>
      </c>
      <c r="J1907" t="s">
        <v>103</v>
      </c>
      <c r="K1907">
        <v>9.6999999999999993</v>
      </c>
      <c r="L1907">
        <v>9996621</v>
      </c>
      <c r="M1907">
        <v>2411821</v>
      </c>
      <c r="N1907">
        <v>80</v>
      </c>
      <c r="O1907" t="s">
        <v>49</v>
      </c>
      <c r="P1907" t="s">
        <v>42</v>
      </c>
    </row>
    <row r="1908" spans="1:16" x14ac:dyDescent="0.35">
      <c r="A1908" t="s">
        <v>3952</v>
      </c>
      <c r="B1908" t="s">
        <v>3953</v>
      </c>
      <c r="C1908" t="s">
        <v>84</v>
      </c>
      <c r="D1908" t="s">
        <v>54</v>
      </c>
      <c r="F1908" s="1">
        <v>44434</v>
      </c>
      <c r="G1908">
        <v>2010</v>
      </c>
      <c r="H1908" t="s">
        <v>121</v>
      </c>
      <c r="I1908" t="s">
        <v>397</v>
      </c>
      <c r="J1908" t="s">
        <v>30</v>
      </c>
      <c r="K1908">
        <v>6.7</v>
      </c>
      <c r="L1908">
        <v>21027914</v>
      </c>
      <c r="M1908">
        <v>4952442</v>
      </c>
      <c r="N1908">
        <v>66</v>
      </c>
      <c r="O1908" t="s">
        <v>41</v>
      </c>
      <c r="P1908" t="s">
        <v>32</v>
      </c>
    </row>
    <row r="1909" spans="1:16" x14ac:dyDescent="0.35">
      <c r="A1909" t="s">
        <v>3954</v>
      </c>
      <c r="B1909" t="s">
        <v>3955</v>
      </c>
      <c r="D1909" t="s">
        <v>61</v>
      </c>
      <c r="E1909" t="s">
        <v>113</v>
      </c>
      <c r="F1909" s="1">
        <v>42173</v>
      </c>
      <c r="G1909">
        <v>2021</v>
      </c>
      <c r="I1909" t="s">
        <v>162</v>
      </c>
      <c r="J1909" t="s">
        <v>96</v>
      </c>
      <c r="K1909">
        <v>7.7</v>
      </c>
      <c r="L1909">
        <v>20350514</v>
      </c>
      <c r="M1909">
        <v>2510093</v>
      </c>
      <c r="N1909">
        <v>75</v>
      </c>
      <c r="O1909" t="s">
        <v>49</v>
      </c>
      <c r="P1909" t="s">
        <v>87</v>
      </c>
    </row>
    <row r="1910" spans="1:16" x14ac:dyDescent="0.35">
      <c r="A1910" t="s">
        <v>3956</v>
      </c>
      <c r="B1910" t="s">
        <v>3957</v>
      </c>
      <c r="D1910" t="s">
        <v>156</v>
      </c>
      <c r="E1910" t="s">
        <v>69</v>
      </c>
      <c r="F1910" s="1">
        <v>44644</v>
      </c>
      <c r="G1910">
        <v>2025</v>
      </c>
      <c r="H1910" t="s">
        <v>38</v>
      </c>
      <c r="I1910" t="s">
        <v>162</v>
      </c>
      <c r="J1910" t="s">
        <v>100</v>
      </c>
      <c r="K1910">
        <v>7</v>
      </c>
      <c r="L1910">
        <v>9126528</v>
      </c>
      <c r="M1910">
        <v>2336714</v>
      </c>
      <c r="N1910">
        <v>54</v>
      </c>
      <c r="O1910" t="s">
        <v>41</v>
      </c>
    </row>
    <row r="1911" spans="1:16" x14ac:dyDescent="0.35">
      <c r="A1911" t="s">
        <v>3958</v>
      </c>
      <c r="B1911" t="s">
        <v>3959</v>
      </c>
      <c r="C1911" t="s">
        <v>53</v>
      </c>
      <c r="D1911" t="s">
        <v>61</v>
      </c>
      <c r="E1911" t="s">
        <v>80</v>
      </c>
      <c r="F1911" s="1">
        <v>45812</v>
      </c>
      <c r="G1911">
        <v>2015</v>
      </c>
      <c r="H1911" t="s">
        <v>85</v>
      </c>
      <c r="I1911" t="s">
        <v>95</v>
      </c>
      <c r="J1911" t="s">
        <v>100</v>
      </c>
      <c r="K1911">
        <v>6.6</v>
      </c>
      <c r="L1911">
        <v>15414664</v>
      </c>
      <c r="M1911">
        <v>4622960</v>
      </c>
      <c r="N1911">
        <v>83</v>
      </c>
      <c r="O1911" t="s">
        <v>24</v>
      </c>
      <c r="P1911" t="s">
        <v>42</v>
      </c>
    </row>
    <row r="1912" spans="1:16" x14ac:dyDescent="0.35">
      <c r="A1912" t="s">
        <v>3960</v>
      </c>
      <c r="B1912" t="s">
        <v>3961</v>
      </c>
      <c r="C1912" t="s">
        <v>35</v>
      </c>
      <c r="D1912" t="s">
        <v>27</v>
      </c>
      <c r="E1912" t="s">
        <v>28</v>
      </c>
      <c r="F1912" s="1">
        <v>45340</v>
      </c>
      <c r="G1912">
        <v>2019</v>
      </c>
      <c r="H1912" t="s">
        <v>21</v>
      </c>
      <c r="I1912" t="s">
        <v>39</v>
      </c>
      <c r="J1912" t="s">
        <v>153</v>
      </c>
      <c r="K1912">
        <v>6.3</v>
      </c>
      <c r="L1912">
        <v>17328588</v>
      </c>
      <c r="M1912">
        <v>1307241</v>
      </c>
      <c r="N1912">
        <v>89</v>
      </c>
      <c r="O1912" t="s">
        <v>123</v>
      </c>
      <c r="P1912" t="s">
        <v>42</v>
      </c>
    </row>
    <row r="1913" spans="1:16" x14ac:dyDescent="0.35">
      <c r="A1913" t="s">
        <v>3962</v>
      </c>
      <c r="B1913" t="s">
        <v>3963</v>
      </c>
      <c r="C1913" t="s">
        <v>79</v>
      </c>
      <c r="E1913" t="s">
        <v>37</v>
      </c>
      <c r="F1913" s="1">
        <v>45447</v>
      </c>
      <c r="G1913">
        <v>2010</v>
      </c>
      <c r="H1913" t="s">
        <v>114</v>
      </c>
      <c r="I1913" t="s">
        <v>994</v>
      </c>
      <c r="J1913" t="s">
        <v>72</v>
      </c>
      <c r="K1913">
        <v>9.3000000000000007</v>
      </c>
      <c r="L1913">
        <v>5410431</v>
      </c>
      <c r="M1913">
        <v>4505425</v>
      </c>
      <c r="N1913">
        <v>82</v>
      </c>
      <c r="O1913" t="s">
        <v>31</v>
      </c>
      <c r="P1913" t="s">
        <v>50</v>
      </c>
    </row>
    <row r="1914" spans="1:16" x14ac:dyDescent="0.35">
      <c r="A1914" t="s">
        <v>3964</v>
      </c>
      <c r="B1914" t="s">
        <v>3965</v>
      </c>
      <c r="C1914" t="s">
        <v>18</v>
      </c>
      <c r="D1914" t="s">
        <v>19</v>
      </c>
      <c r="E1914" t="s">
        <v>45</v>
      </c>
      <c r="F1914" s="1">
        <v>45424</v>
      </c>
      <c r="G1914">
        <v>2010</v>
      </c>
      <c r="H1914" t="s">
        <v>85</v>
      </c>
      <c r="I1914" t="s">
        <v>231</v>
      </c>
      <c r="J1914" t="s">
        <v>100</v>
      </c>
      <c r="K1914">
        <v>5.6</v>
      </c>
      <c r="L1914">
        <v>17917900</v>
      </c>
      <c r="M1914">
        <v>404280</v>
      </c>
      <c r="N1914">
        <v>81</v>
      </c>
      <c r="P1914" t="s">
        <v>50</v>
      </c>
    </row>
    <row r="1915" spans="1:16" x14ac:dyDescent="0.35">
      <c r="A1915" t="s">
        <v>3966</v>
      </c>
      <c r="B1915" t="s">
        <v>3967</v>
      </c>
      <c r="C1915" t="s">
        <v>53</v>
      </c>
      <c r="D1915" t="s">
        <v>75</v>
      </c>
      <c r="E1915" t="s">
        <v>62</v>
      </c>
      <c r="F1915" s="1">
        <v>44726</v>
      </c>
      <c r="G1915">
        <v>2007</v>
      </c>
      <c r="I1915" t="s">
        <v>118</v>
      </c>
      <c r="J1915" t="s">
        <v>48</v>
      </c>
      <c r="K1915">
        <v>4.5999999999999996</v>
      </c>
      <c r="L1915">
        <v>19997185</v>
      </c>
      <c r="M1915">
        <v>2566936</v>
      </c>
      <c r="N1915">
        <v>95</v>
      </c>
      <c r="P1915" t="s">
        <v>87</v>
      </c>
    </row>
    <row r="1916" spans="1:16" x14ac:dyDescent="0.35">
      <c r="A1916" t="s">
        <v>3968</v>
      </c>
      <c r="B1916" t="s">
        <v>3969</v>
      </c>
      <c r="C1916" t="s">
        <v>84</v>
      </c>
      <c r="D1916" t="s">
        <v>36</v>
      </c>
      <c r="E1916" t="s">
        <v>55</v>
      </c>
      <c r="F1916" s="1">
        <v>44676</v>
      </c>
      <c r="G1916">
        <v>2009</v>
      </c>
      <c r="I1916" t="s">
        <v>82</v>
      </c>
      <c r="K1916">
        <v>7.9</v>
      </c>
      <c r="L1916">
        <v>17070320</v>
      </c>
      <c r="M1916">
        <v>390714</v>
      </c>
      <c r="N1916">
        <v>78</v>
      </c>
      <c r="O1916" t="s">
        <v>65</v>
      </c>
      <c r="P1916" t="s">
        <v>87</v>
      </c>
    </row>
    <row r="1917" spans="1:16" x14ac:dyDescent="0.35">
      <c r="A1917" t="s">
        <v>3970</v>
      </c>
      <c r="B1917" t="s">
        <v>3971</v>
      </c>
      <c r="C1917" t="s">
        <v>35</v>
      </c>
      <c r="D1917" t="s">
        <v>27</v>
      </c>
      <c r="E1917" t="s">
        <v>99</v>
      </c>
      <c r="F1917" s="1">
        <v>45072</v>
      </c>
      <c r="G1917">
        <v>2009</v>
      </c>
      <c r="H1917" t="s">
        <v>70</v>
      </c>
      <c r="I1917" t="s">
        <v>95</v>
      </c>
      <c r="J1917" t="s">
        <v>30</v>
      </c>
      <c r="K1917">
        <v>8.4</v>
      </c>
      <c r="L1917">
        <v>24785585</v>
      </c>
      <c r="M1917">
        <v>2431479</v>
      </c>
      <c r="N1917">
        <v>54</v>
      </c>
      <c r="O1917" t="s">
        <v>41</v>
      </c>
      <c r="P1917" t="s">
        <v>42</v>
      </c>
    </row>
    <row r="1918" spans="1:16" x14ac:dyDescent="0.35">
      <c r="A1918" t="s">
        <v>3972</v>
      </c>
      <c r="B1918" t="s">
        <v>3973</v>
      </c>
      <c r="C1918" t="s">
        <v>18</v>
      </c>
      <c r="E1918" t="s">
        <v>28</v>
      </c>
      <c r="F1918" s="1">
        <v>43053</v>
      </c>
      <c r="G1918">
        <v>2003</v>
      </c>
      <c r="H1918" t="s">
        <v>63</v>
      </c>
      <c r="I1918" t="s">
        <v>747</v>
      </c>
      <c r="J1918" t="s">
        <v>23</v>
      </c>
      <c r="K1918">
        <v>8.8000000000000007</v>
      </c>
      <c r="L1918">
        <v>9496221</v>
      </c>
      <c r="M1918">
        <v>1556810</v>
      </c>
      <c r="N1918">
        <v>59</v>
      </c>
      <c r="O1918" t="s">
        <v>58</v>
      </c>
      <c r="P1918" t="s">
        <v>42</v>
      </c>
    </row>
    <row r="1919" spans="1:16" x14ac:dyDescent="0.35">
      <c r="A1919" t="s">
        <v>3974</v>
      </c>
      <c r="B1919" t="s">
        <v>3975</v>
      </c>
      <c r="D1919" t="s">
        <v>90</v>
      </c>
      <c r="E1919" t="s">
        <v>28</v>
      </c>
      <c r="F1919" s="1">
        <v>44464</v>
      </c>
      <c r="G1919">
        <v>2006</v>
      </c>
      <c r="H1919" t="s">
        <v>38</v>
      </c>
      <c r="I1919" t="s">
        <v>64</v>
      </c>
      <c r="J1919" t="s">
        <v>48</v>
      </c>
      <c r="K1919">
        <v>7.8</v>
      </c>
      <c r="L1919">
        <v>3119449</v>
      </c>
      <c r="M1919">
        <v>1030268</v>
      </c>
      <c r="N1919">
        <v>55</v>
      </c>
      <c r="O1919" t="s">
        <v>41</v>
      </c>
      <c r="P1919" t="s">
        <v>42</v>
      </c>
    </row>
    <row r="1920" spans="1:16" x14ac:dyDescent="0.35">
      <c r="A1920" t="s">
        <v>3976</v>
      </c>
      <c r="B1920" t="s">
        <v>3977</v>
      </c>
      <c r="C1920" t="s">
        <v>84</v>
      </c>
      <c r="D1920" t="s">
        <v>90</v>
      </c>
      <c r="E1920" t="s">
        <v>45</v>
      </c>
      <c r="F1920" s="1">
        <v>44311</v>
      </c>
      <c r="G1920">
        <v>2020</v>
      </c>
      <c r="I1920" t="s">
        <v>571</v>
      </c>
      <c r="J1920" t="s">
        <v>153</v>
      </c>
      <c r="K1920">
        <v>8.3000000000000007</v>
      </c>
      <c r="L1920">
        <v>3794077</v>
      </c>
      <c r="M1920">
        <v>3582938</v>
      </c>
      <c r="N1920">
        <v>50</v>
      </c>
      <c r="O1920" t="s">
        <v>58</v>
      </c>
      <c r="P1920" t="s">
        <v>42</v>
      </c>
    </row>
    <row r="1921" spans="1:16" x14ac:dyDescent="0.35">
      <c r="A1921" t="s">
        <v>3978</v>
      </c>
      <c r="B1921" t="s">
        <v>3979</v>
      </c>
      <c r="C1921" t="s">
        <v>53</v>
      </c>
      <c r="D1921" t="s">
        <v>54</v>
      </c>
      <c r="E1921" t="s">
        <v>99</v>
      </c>
      <c r="F1921" s="1">
        <v>42233</v>
      </c>
      <c r="G1921">
        <v>2016</v>
      </c>
      <c r="H1921" t="s">
        <v>107</v>
      </c>
      <c r="I1921" t="s">
        <v>162</v>
      </c>
      <c r="J1921" t="s">
        <v>30</v>
      </c>
      <c r="K1921">
        <v>7.9</v>
      </c>
      <c r="L1921">
        <v>8433497</v>
      </c>
      <c r="M1921">
        <v>4249007</v>
      </c>
      <c r="N1921">
        <v>95</v>
      </c>
      <c r="O1921" t="s">
        <v>91</v>
      </c>
    </row>
    <row r="1922" spans="1:16" x14ac:dyDescent="0.35">
      <c r="A1922" t="s">
        <v>3980</v>
      </c>
      <c r="B1922" t="s">
        <v>3981</v>
      </c>
      <c r="C1922" t="s">
        <v>84</v>
      </c>
      <c r="D1922" t="s">
        <v>94</v>
      </c>
      <c r="E1922" t="s">
        <v>165</v>
      </c>
      <c r="F1922" s="1">
        <v>43406</v>
      </c>
      <c r="G1922">
        <v>2015</v>
      </c>
      <c r="H1922" t="s">
        <v>107</v>
      </c>
      <c r="I1922" t="s">
        <v>656</v>
      </c>
      <c r="J1922" t="s">
        <v>103</v>
      </c>
      <c r="K1922">
        <v>4.7</v>
      </c>
      <c r="L1922">
        <v>11674187</v>
      </c>
      <c r="M1922">
        <v>1604973</v>
      </c>
      <c r="N1922">
        <v>98</v>
      </c>
      <c r="O1922" t="s">
        <v>24</v>
      </c>
    </row>
    <row r="1923" spans="1:16" x14ac:dyDescent="0.35">
      <c r="A1923" t="s">
        <v>3982</v>
      </c>
      <c r="B1923" t="s">
        <v>3983</v>
      </c>
      <c r="C1923" t="s">
        <v>53</v>
      </c>
      <c r="E1923" t="s">
        <v>131</v>
      </c>
      <c r="F1923" s="1">
        <v>44081</v>
      </c>
      <c r="G1923">
        <v>2006</v>
      </c>
      <c r="H1923" t="s">
        <v>81</v>
      </c>
      <c r="I1923" t="s">
        <v>136</v>
      </c>
      <c r="J1923" t="s">
        <v>96</v>
      </c>
      <c r="K1923">
        <v>8.1</v>
      </c>
      <c r="L1923">
        <v>9653186</v>
      </c>
      <c r="M1923">
        <v>2885965</v>
      </c>
      <c r="N1923">
        <v>94</v>
      </c>
      <c r="O1923" t="s">
        <v>91</v>
      </c>
      <c r="P1923" t="s">
        <v>50</v>
      </c>
    </row>
    <row r="1924" spans="1:16" x14ac:dyDescent="0.35">
      <c r="A1924" t="s">
        <v>3984</v>
      </c>
      <c r="B1924" t="s">
        <v>3985</v>
      </c>
      <c r="C1924" t="s">
        <v>79</v>
      </c>
      <c r="D1924" t="s">
        <v>61</v>
      </c>
      <c r="E1924" t="s">
        <v>45</v>
      </c>
      <c r="F1924" s="1">
        <v>45197</v>
      </c>
      <c r="G1924">
        <v>2004</v>
      </c>
      <c r="H1924" t="s">
        <v>21</v>
      </c>
      <c r="I1924" t="s">
        <v>1362</v>
      </c>
      <c r="J1924" t="s">
        <v>40</v>
      </c>
      <c r="K1924">
        <v>4.5</v>
      </c>
      <c r="L1924">
        <v>20340081</v>
      </c>
      <c r="M1924">
        <v>1617028</v>
      </c>
      <c r="N1924">
        <v>70</v>
      </c>
      <c r="O1924" t="s">
        <v>123</v>
      </c>
      <c r="P1924" t="s">
        <v>32</v>
      </c>
    </row>
    <row r="1925" spans="1:16" x14ac:dyDescent="0.35">
      <c r="A1925" t="s">
        <v>3986</v>
      </c>
      <c r="B1925" t="s">
        <v>3987</v>
      </c>
      <c r="C1925" t="s">
        <v>79</v>
      </c>
      <c r="D1925" t="s">
        <v>36</v>
      </c>
      <c r="F1925" s="1">
        <v>43013</v>
      </c>
      <c r="G1925">
        <v>2007</v>
      </c>
      <c r="H1925" t="s">
        <v>114</v>
      </c>
      <c r="I1925" t="s">
        <v>108</v>
      </c>
      <c r="J1925" t="s">
        <v>100</v>
      </c>
      <c r="K1925">
        <v>7</v>
      </c>
      <c r="L1925">
        <v>2414324</v>
      </c>
      <c r="M1925">
        <v>2271276</v>
      </c>
      <c r="N1925">
        <v>49</v>
      </c>
      <c r="O1925" t="s">
        <v>41</v>
      </c>
      <c r="P1925" t="s">
        <v>32</v>
      </c>
    </row>
    <row r="1926" spans="1:16" x14ac:dyDescent="0.35">
      <c r="A1926" t="s">
        <v>3988</v>
      </c>
      <c r="B1926" t="s">
        <v>3989</v>
      </c>
      <c r="C1926" t="s">
        <v>53</v>
      </c>
      <c r="D1926" t="s">
        <v>54</v>
      </c>
      <c r="E1926" t="s">
        <v>62</v>
      </c>
      <c r="F1926" s="1">
        <v>45886</v>
      </c>
      <c r="G1926">
        <v>2000</v>
      </c>
      <c r="H1926" t="s">
        <v>63</v>
      </c>
      <c r="I1926" t="s">
        <v>71</v>
      </c>
      <c r="J1926" t="s">
        <v>72</v>
      </c>
      <c r="K1926">
        <v>7.5</v>
      </c>
      <c r="L1926">
        <v>13600739</v>
      </c>
      <c r="M1926">
        <v>2681474</v>
      </c>
      <c r="N1926">
        <v>44</v>
      </c>
      <c r="O1926" t="s">
        <v>31</v>
      </c>
    </row>
    <row r="1927" spans="1:16" x14ac:dyDescent="0.35">
      <c r="A1927" t="s">
        <v>3990</v>
      </c>
      <c r="B1927" t="s">
        <v>3991</v>
      </c>
      <c r="C1927" t="s">
        <v>35</v>
      </c>
      <c r="D1927" t="s">
        <v>36</v>
      </c>
      <c r="E1927" t="s">
        <v>37</v>
      </c>
      <c r="F1927" s="1">
        <v>43700</v>
      </c>
      <c r="G1927">
        <v>2006</v>
      </c>
      <c r="H1927" t="s">
        <v>114</v>
      </c>
      <c r="I1927" t="s">
        <v>118</v>
      </c>
      <c r="J1927" t="s">
        <v>133</v>
      </c>
      <c r="K1927">
        <v>4.8</v>
      </c>
      <c r="L1927">
        <v>10860365</v>
      </c>
      <c r="M1927">
        <v>924379</v>
      </c>
      <c r="N1927">
        <v>92</v>
      </c>
      <c r="O1927" t="s">
        <v>91</v>
      </c>
      <c r="P1927" t="s">
        <v>32</v>
      </c>
    </row>
    <row r="1928" spans="1:16" x14ac:dyDescent="0.35">
      <c r="A1928" t="s">
        <v>3992</v>
      </c>
      <c r="B1928" t="s">
        <v>3993</v>
      </c>
      <c r="D1928" t="s">
        <v>27</v>
      </c>
      <c r="E1928" t="s">
        <v>80</v>
      </c>
      <c r="F1928" s="1">
        <v>45771</v>
      </c>
      <c r="G1928">
        <v>2011</v>
      </c>
      <c r="H1928" t="s">
        <v>85</v>
      </c>
      <c r="I1928" t="s">
        <v>136</v>
      </c>
      <c r="J1928" t="s">
        <v>30</v>
      </c>
      <c r="K1928">
        <v>5.6</v>
      </c>
      <c r="L1928">
        <v>22289608</v>
      </c>
      <c r="M1928">
        <v>4446113</v>
      </c>
      <c r="N1928">
        <v>69</v>
      </c>
      <c r="O1928" t="s">
        <v>104</v>
      </c>
      <c r="P1928" t="s">
        <v>42</v>
      </c>
    </row>
    <row r="1929" spans="1:16" x14ac:dyDescent="0.35">
      <c r="A1929" t="s">
        <v>3994</v>
      </c>
      <c r="B1929" t="s">
        <v>3995</v>
      </c>
      <c r="C1929" t="s">
        <v>53</v>
      </c>
      <c r="D1929" t="s">
        <v>61</v>
      </c>
      <c r="E1929" t="s">
        <v>113</v>
      </c>
      <c r="F1929" s="1">
        <v>44886</v>
      </c>
      <c r="G1929">
        <v>2019</v>
      </c>
      <c r="H1929" t="s">
        <v>121</v>
      </c>
      <c r="I1929" t="s">
        <v>39</v>
      </c>
      <c r="J1929" t="s">
        <v>30</v>
      </c>
      <c r="K1929">
        <v>5.4</v>
      </c>
      <c r="L1929">
        <v>22156051</v>
      </c>
      <c r="M1929">
        <v>1447536</v>
      </c>
      <c r="N1929">
        <v>86</v>
      </c>
      <c r="O1929" t="s">
        <v>58</v>
      </c>
      <c r="P1929" t="s">
        <v>42</v>
      </c>
    </row>
    <row r="1930" spans="1:16" x14ac:dyDescent="0.35">
      <c r="A1930" t="s">
        <v>3996</v>
      </c>
      <c r="B1930" t="s">
        <v>3997</v>
      </c>
      <c r="C1930" t="s">
        <v>53</v>
      </c>
      <c r="D1930" t="s">
        <v>36</v>
      </c>
      <c r="E1930" t="s">
        <v>113</v>
      </c>
      <c r="F1930" s="1">
        <v>45975</v>
      </c>
      <c r="G1930">
        <v>2014</v>
      </c>
      <c r="H1930" t="s">
        <v>107</v>
      </c>
      <c r="I1930" t="s">
        <v>118</v>
      </c>
      <c r="J1930" t="s">
        <v>72</v>
      </c>
      <c r="K1930">
        <v>11.2</v>
      </c>
      <c r="L1930">
        <v>12884971</v>
      </c>
      <c r="M1930">
        <v>3946448</v>
      </c>
      <c r="N1930">
        <v>67</v>
      </c>
      <c r="O1930" t="s">
        <v>104</v>
      </c>
      <c r="P1930" t="s">
        <v>50</v>
      </c>
    </row>
    <row r="1931" spans="1:16" x14ac:dyDescent="0.35">
      <c r="A1931" t="s">
        <v>3998</v>
      </c>
      <c r="B1931" t="s">
        <v>3999</v>
      </c>
      <c r="C1931" t="s">
        <v>79</v>
      </c>
      <c r="D1931" t="s">
        <v>156</v>
      </c>
      <c r="E1931" t="s">
        <v>131</v>
      </c>
      <c r="G1931">
        <v>2005</v>
      </c>
      <c r="H1931" t="s">
        <v>21</v>
      </c>
      <c r="I1931" t="s">
        <v>894</v>
      </c>
      <c r="J1931" t="s">
        <v>72</v>
      </c>
      <c r="K1931">
        <v>6.1</v>
      </c>
      <c r="L1931">
        <v>7882408</v>
      </c>
      <c r="M1931">
        <v>3036363</v>
      </c>
      <c r="N1931">
        <v>95</v>
      </c>
      <c r="O1931" t="s">
        <v>58</v>
      </c>
      <c r="P1931" t="s">
        <v>87</v>
      </c>
    </row>
    <row r="1932" spans="1:16" x14ac:dyDescent="0.35">
      <c r="A1932" t="s">
        <v>4000</v>
      </c>
      <c r="B1932" t="s">
        <v>4001</v>
      </c>
      <c r="C1932" t="s">
        <v>79</v>
      </c>
      <c r="E1932" t="s">
        <v>37</v>
      </c>
      <c r="F1932" s="1">
        <v>43168</v>
      </c>
      <c r="G1932">
        <v>2015</v>
      </c>
      <c r="H1932" t="s">
        <v>85</v>
      </c>
      <c r="I1932" t="s">
        <v>312</v>
      </c>
      <c r="J1932" t="s">
        <v>96</v>
      </c>
      <c r="K1932">
        <v>9.1</v>
      </c>
      <c r="L1932">
        <v>23601324</v>
      </c>
      <c r="M1932">
        <v>3171961</v>
      </c>
      <c r="N1932">
        <v>96</v>
      </c>
      <c r="O1932" t="s">
        <v>91</v>
      </c>
      <c r="P1932" t="s">
        <v>50</v>
      </c>
    </row>
    <row r="1933" spans="1:16" x14ac:dyDescent="0.35">
      <c r="A1933" t="s">
        <v>4002</v>
      </c>
      <c r="B1933" t="s">
        <v>4003</v>
      </c>
      <c r="C1933" t="s">
        <v>53</v>
      </c>
      <c r="E1933" t="s">
        <v>165</v>
      </c>
      <c r="F1933" s="1">
        <v>42933</v>
      </c>
      <c r="G1933">
        <v>2005</v>
      </c>
      <c r="H1933" t="s">
        <v>81</v>
      </c>
      <c r="I1933" t="s">
        <v>136</v>
      </c>
      <c r="J1933" t="s">
        <v>72</v>
      </c>
      <c r="K1933">
        <v>7.4</v>
      </c>
      <c r="L1933">
        <v>24055263</v>
      </c>
      <c r="M1933">
        <v>4364372</v>
      </c>
      <c r="N1933">
        <v>90</v>
      </c>
      <c r="O1933" t="s">
        <v>58</v>
      </c>
      <c r="P1933" t="s">
        <v>50</v>
      </c>
    </row>
    <row r="1934" spans="1:16" x14ac:dyDescent="0.35">
      <c r="A1934" t="s">
        <v>4004</v>
      </c>
      <c r="B1934" t="s">
        <v>4005</v>
      </c>
      <c r="C1934" t="s">
        <v>18</v>
      </c>
      <c r="D1934" t="s">
        <v>19</v>
      </c>
      <c r="E1934" t="s">
        <v>37</v>
      </c>
      <c r="F1934" s="1">
        <v>44362</v>
      </c>
      <c r="G1934">
        <v>2001</v>
      </c>
      <c r="H1934" t="s">
        <v>21</v>
      </c>
      <c r="I1934" t="s">
        <v>386</v>
      </c>
      <c r="J1934" t="s">
        <v>30</v>
      </c>
      <c r="K1934">
        <v>5.5</v>
      </c>
      <c r="L1934">
        <v>3510070</v>
      </c>
      <c r="M1934">
        <v>3632625</v>
      </c>
      <c r="N1934">
        <v>99</v>
      </c>
      <c r="O1934" t="s">
        <v>58</v>
      </c>
      <c r="P1934" t="s">
        <v>50</v>
      </c>
    </row>
    <row r="1935" spans="1:16" x14ac:dyDescent="0.35">
      <c r="A1935" t="s">
        <v>4006</v>
      </c>
      <c r="B1935" t="s">
        <v>4007</v>
      </c>
      <c r="C1935" t="s">
        <v>35</v>
      </c>
      <c r="F1935" s="1">
        <v>43950</v>
      </c>
      <c r="G1935">
        <v>2025</v>
      </c>
      <c r="I1935" t="s">
        <v>71</v>
      </c>
      <c r="J1935" t="s">
        <v>100</v>
      </c>
      <c r="K1935">
        <v>7.5</v>
      </c>
      <c r="L1935">
        <v>768127</v>
      </c>
      <c r="M1935">
        <v>1578084</v>
      </c>
      <c r="N1935">
        <v>98</v>
      </c>
      <c r="O1935" t="s">
        <v>31</v>
      </c>
    </row>
    <row r="1936" spans="1:16" x14ac:dyDescent="0.35">
      <c r="A1936" t="s">
        <v>4008</v>
      </c>
      <c r="B1936" t="s">
        <v>4007</v>
      </c>
      <c r="C1936" t="s">
        <v>79</v>
      </c>
      <c r="D1936" t="s">
        <v>94</v>
      </c>
      <c r="F1936" s="1">
        <v>44107</v>
      </c>
      <c r="G1936">
        <v>2007</v>
      </c>
      <c r="H1936" t="s">
        <v>85</v>
      </c>
      <c r="I1936" t="s">
        <v>361</v>
      </c>
      <c r="J1936" t="s">
        <v>76</v>
      </c>
      <c r="K1936">
        <v>9.8000000000000007</v>
      </c>
      <c r="L1936">
        <v>19422831</v>
      </c>
      <c r="M1936">
        <v>1954797</v>
      </c>
      <c r="N1936">
        <v>66</v>
      </c>
      <c r="O1936" t="s">
        <v>104</v>
      </c>
      <c r="P1936" t="s">
        <v>50</v>
      </c>
    </row>
    <row r="1937" spans="1:16" x14ac:dyDescent="0.35">
      <c r="A1937" t="s">
        <v>4009</v>
      </c>
      <c r="B1937" t="s">
        <v>4010</v>
      </c>
      <c r="C1937" t="s">
        <v>18</v>
      </c>
      <c r="D1937" t="s">
        <v>61</v>
      </c>
      <c r="E1937" t="s">
        <v>113</v>
      </c>
      <c r="F1937" s="1">
        <v>42405</v>
      </c>
      <c r="G1937">
        <v>2032</v>
      </c>
      <c r="I1937" t="s">
        <v>320</v>
      </c>
      <c r="J1937" t="s">
        <v>48</v>
      </c>
      <c r="K1937">
        <v>6.4</v>
      </c>
      <c r="L1937">
        <v>18327021</v>
      </c>
      <c r="M1937">
        <v>4525336</v>
      </c>
      <c r="N1937">
        <v>70</v>
      </c>
      <c r="O1937" t="s">
        <v>49</v>
      </c>
    </row>
    <row r="1938" spans="1:16" x14ac:dyDescent="0.35">
      <c r="A1938" t="s">
        <v>4011</v>
      </c>
      <c r="B1938" t="s">
        <v>4012</v>
      </c>
      <c r="C1938" t="s">
        <v>79</v>
      </c>
      <c r="D1938" t="s">
        <v>19</v>
      </c>
      <c r="E1938" t="s">
        <v>20</v>
      </c>
      <c r="F1938" s="1">
        <v>43051</v>
      </c>
      <c r="G1938">
        <v>2012</v>
      </c>
      <c r="H1938" t="s">
        <v>85</v>
      </c>
      <c r="I1938" t="s">
        <v>218</v>
      </c>
      <c r="J1938" t="s">
        <v>153</v>
      </c>
      <c r="K1938">
        <v>5</v>
      </c>
      <c r="L1938">
        <v>6601867</v>
      </c>
      <c r="M1938">
        <v>4395762</v>
      </c>
      <c r="N1938">
        <v>72</v>
      </c>
      <c r="O1938" t="s">
        <v>123</v>
      </c>
    </row>
    <row r="1939" spans="1:16" x14ac:dyDescent="0.35">
      <c r="A1939" t="s">
        <v>4013</v>
      </c>
      <c r="B1939" t="s">
        <v>4014</v>
      </c>
      <c r="C1939" t="s">
        <v>53</v>
      </c>
      <c r="D1939" t="s">
        <v>156</v>
      </c>
      <c r="E1939" t="s">
        <v>165</v>
      </c>
      <c r="F1939" s="1">
        <v>44141</v>
      </c>
      <c r="G1939">
        <v>2010</v>
      </c>
      <c r="H1939" t="s">
        <v>63</v>
      </c>
      <c r="I1939" t="s">
        <v>118</v>
      </c>
      <c r="J1939" t="s">
        <v>57</v>
      </c>
      <c r="K1939">
        <v>6</v>
      </c>
      <c r="L1939">
        <v>7603026</v>
      </c>
      <c r="M1939">
        <v>974812</v>
      </c>
      <c r="N1939">
        <v>46</v>
      </c>
      <c r="O1939" t="s">
        <v>104</v>
      </c>
    </row>
    <row r="1940" spans="1:16" x14ac:dyDescent="0.35">
      <c r="A1940" t="s">
        <v>4015</v>
      </c>
      <c r="B1940" t="s">
        <v>4016</v>
      </c>
      <c r="C1940" t="s">
        <v>35</v>
      </c>
      <c r="E1940" t="s">
        <v>62</v>
      </c>
      <c r="F1940" s="1">
        <v>43084</v>
      </c>
      <c r="G1940">
        <v>2022</v>
      </c>
      <c r="H1940" t="s">
        <v>70</v>
      </c>
      <c r="I1940" t="s">
        <v>64</v>
      </c>
      <c r="J1940" t="s">
        <v>153</v>
      </c>
      <c r="K1940">
        <v>9.6</v>
      </c>
      <c r="L1940">
        <v>23286725</v>
      </c>
      <c r="M1940">
        <v>4515202</v>
      </c>
      <c r="N1940">
        <v>41</v>
      </c>
      <c r="O1940" t="s">
        <v>104</v>
      </c>
      <c r="P1940" t="s">
        <v>87</v>
      </c>
    </row>
    <row r="1941" spans="1:16" x14ac:dyDescent="0.35">
      <c r="A1941" t="s">
        <v>4017</v>
      </c>
      <c r="B1941" t="s">
        <v>4018</v>
      </c>
      <c r="C1941" t="s">
        <v>53</v>
      </c>
      <c r="D1941" t="s">
        <v>61</v>
      </c>
      <c r="E1941" t="s">
        <v>45</v>
      </c>
      <c r="F1941" s="1">
        <v>45796</v>
      </c>
      <c r="G1941">
        <v>2006</v>
      </c>
      <c r="H1941" t="s">
        <v>114</v>
      </c>
      <c r="I1941" t="s">
        <v>64</v>
      </c>
      <c r="J1941" t="s">
        <v>48</v>
      </c>
      <c r="K1941">
        <v>5.7</v>
      </c>
      <c r="L1941">
        <v>183701</v>
      </c>
      <c r="M1941">
        <v>2999989</v>
      </c>
      <c r="N1941">
        <v>40</v>
      </c>
      <c r="O1941" t="s">
        <v>91</v>
      </c>
      <c r="P1941" t="s">
        <v>87</v>
      </c>
    </row>
    <row r="1942" spans="1:16" x14ac:dyDescent="0.35">
      <c r="A1942" t="s">
        <v>4019</v>
      </c>
      <c r="B1942" t="s">
        <v>4020</v>
      </c>
      <c r="C1942" t="s">
        <v>18</v>
      </c>
      <c r="D1942" t="s">
        <v>156</v>
      </c>
      <c r="E1942" t="s">
        <v>45</v>
      </c>
      <c r="F1942" s="1">
        <v>44284</v>
      </c>
      <c r="G1942">
        <v>2006</v>
      </c>
      <c r="H1942" t="s">
        <v>70</v>
      </c>
      <c r="I1942" t="s">
        <v>994</v>
      </c>
      <c r="J1942" t="s">
        <v>96</v>
      </c>
      <c r="K1942">
        <v>8.4</v>
      </c>
      <c r="L1942">
        <v>6059542</v>
      </c>
      <c r="M1942">
        <v>2863422</v>
      </c>
      <c r="N1942">
        <v>88</v>
      </c>
      <c r="O1942" t="s">
        <v>104</v>
      </c>
      <c r="P1942" t="s">
        <v>50</v>
      </c>
    </row>
    <row r="1943" spans="1:16" x14ac:dyDescent="0.35">
      <c r="A1943" t="s">
        <v>4021</v>
      </c>
      <c r="B1943" t="s">
        <v>4022</v>
      </c>
      <c r="E1943" t="s">
        <v>131</v>
      </c>
      <c r="F1943" s="1">
        <v>44131</v>
      </c>
      <c r="G1943">
        <v>2003</v>
      </c>
      <c r="H1943" t="s">
        <v>85</v>
      </c>
      <c r="I1943" t="s">
        <v>39</v>
      </c>
      <c r="J1943" t="s">
        <v>103</v>
      </c>
      <c r="K1943">
        <v>5.9</v>
      </c>
      <c r="L1943">
        <v>7941791</v>
      </c>
      <c r="M1943">
        <v>1593927</v>
      </c>
      <c r="N1943">
        <v>74</v>
      </c>
      <c r="O1943" t="s">
        <v>31</v>
      </c>
      <c r="P1943" t="s">
        <v>50</v>
      </c>
    </row>
    <row r="1944" spans="1:16" x14ac:dyDescent="0.35">
      <c r="A1944" t="s">
        <v>4023</v>
      </c>
      <c r="B1944" t="s">
        <v>4024</v>
      </c>
      <c r="C1944" t="s">
        <v>18</v>
      </c>
      <c r="D1944" t="s">
        <v>54</v>
      </c>
      <c r="F1944" s="1">
        <v>45018</v>
      </c>
      <c r="G1944">
        <v>2001</v>
      </c>
      <c r="H1944" t="s">
        <v>46</v>
      </c>
      <c r="I1944" t="s">
        <v>147</v>
      </c>
      <c r="J1944" t="s">
        <v>133</v>
      </c>
      <c r="K1944">
        <v>7.2</v>
      </c>
      <c r="L1944">
        <v>18681263</v>
      </c>
      <c r="M1944">
        <v>1623598</v>
      </c>
      <c r="N1944">
        <v>79</v>
      </c>
      <c r="O1944" t="s">
        <v>24</v>
      </c>
      <c r="P1944" t="s">
        <v>32</v>
      </c>
    </row>
    <row r="1945" spans="1:16" x14ac:dyDescent="0.35">
      <c r="A1945" t="s">
        <v>4025</v>
      </c>
      <c r="B1945" t="s">
        <v>4026</v>
      </c>
      <c r="C1945" t="s">
        <v>84</v>
      </c>
      <c r="D1945" t="s">
        <v>36</v>
      </c>
      <c r="E1945" t="s">
        <v>37</v>
      </c>
      <c r="F1945" s="1">
        <v>43437</v>
      </c>
      <c r="G1945">
        <v>2024</v>
      </c>
      <c r="H1945" t="s">
        <v>38</v>
      </c>
      <c r="I1945" t="s">
        <v>122</v>
      </c>
      <c r="J1945" t="s">
        <v>103</v>
      </c>
      <c r="K1945">
        <v>7.8</v>
      </c>
      <c r="L1945">
        <v>2879505</v>
      </c>
      <c r="M1945">
        <v>3454375</v>
      </c>
      <c r="N1945">
        <v>74</v>
      </c>
      <c r="O1945" t="s">
        <v>104</v>
      </c>
      <c r="P1945" t="s">
        <v>32</v>
      </c>
    </row>
    <row r="1946" spans="1:16" x14ac:dyDescent="0.35">
      <c r="A1946" t="s">
        <v>4027</v>
      </c>
      <c r="B1946" t="s">
        <v>4028</v>
      </c>
      <c r="C1946" t="s">
        <v>84</v>
      </c>
      <c r="E1946" t="s">
        <v>113</v>
      </c>
      <c r="F1946" s="1">
        <v>45185</v>
      </c>
      <c r="G1946">
        <v>2006</v>
      </c>
      <c r="H1946" t="s">
        <v>21</v>
      </c>
      <c r="I1946" t="s">
        <v>275</v>
      </c>
      <c r="J1946" t="s">
        <v>30</v>
      </c>
      <c r="K1946">
        <v>7.4</v>
      </c>
      <c r="L1946">
        <v>1483524</v>
      </c>
      <c r="M1946">
        <v>3888241</v>
      </c>
      <c r="N1946">
        <v>57</v>
      </c>
      <c r="O1946" t="s">
        <v>24</v>
      </c>
      <c r="P1946" t="s">
        <v>32</v>
      </c>
    </row>
    <row r="1947" spans="1:16" x14ac:dyDescent="0.35">
      <c r="A1947" t="s">
        <v>4029</v>
      </c>
      <c r="B1947" t="s">
        <v>4030</v>
      </c>
      <c r="C1947" t="s">
        <v>18</v>
      </c>
      <c r="D1947" t="s">
        <v>54</v>
      </c>
      <c r="E1947" t="s">
        <v>62</v>
      </c>
      <c r="F1947" s="1">
        <v>44842</v>
      </c>
      <c r="G1947">
        <v>2025</v>
      </c>
      <c r="H1947" t="s">
        <v>81</v>
      </c>
      <c r="I1947" t="s">
        <v>475</v>
      </c>
      <c r="J1947" t="s">
        <v>103</v>
      </c>
      <c r="K1947">
        <v>8.8000000000000007</v>
      </c>
      <c r="L1947">
        <v>13691438</v>
      </c>
      <c r="M1947">
        <v>2740766</v>
      </c>
      <c r="N1947">
        <v>57</v>
      </c>
      <c r="O1947" t="s">
        <v>41</v>
      </c>
      <c r="P1947" t="s">
        <v>87</v>
      </c>
    </row>
    <row r="1948" spans="1:16" x14ac:dyDescent="0.35">
      <c r="A1948" t="s">
        <v>4031</v>
      </c>
      <c r="B1948" t="s">
        <v>4032</v>
      </c>
      <c r="C1948" t="s">
        <v>84</v>
      </c>
      <c r="D1948" t="s">
        <v>27</v>
      </c>
      <c r="E1948" t="s">
        <v>37</v>
      </c>
      <c r="F1948" s="1">
        <v>44786</v>
      </c>
      <c r="G1948">
        <v>2009</v>
      </c>
      <c r="H1948" t="s">
        <v>70</v>
      </c>
      <c r="I1948" t="s">
        <v>475</v>
      </c>
      <c r="J1948" t="s">
        <v>30</v>
      </c>
      <c r="K1948">
        <v>5.7</v>
      </c>
      <c r="L1948">
        <v>14182711</v>
      </c>
      <c r="M1948">
        <v>3060778</v>
      </c>
      <c r="N1948">
        <v>97</v>
      </c>
      <c r="O1948" t="s">
        <v>41</v>
      </c>
      <c r="P1948" t="s">
        <v>32</v>
      </c>
    </row>
    <row r="1949" spans="1:16" x14ac:dyDescent="0.35">
      <c r="A1949" t="s">
        <v>4033</v>
      </c>
      <c r="B1949" t="s">
        <v>4034</v>
      </c>
      <c r="C1949" t="s">
        <v>53</v>
      </c>
      <c r="D1949" t="s">
        <v>94</v>
      </c>
      <c r="E1949" t="s">
        <v>37</v>
      </c>
      <c r="F1949" s="1">
        <v>43383</v>
      </c>
      <c r="G1949">
        <v>2019</v>
      </c>
      <c r="H1949" t="s">
        <v>63</v>
      </c>
      <c r="I1949" t="s">
        <v>118</v>
      </c>
      <c r="J1949" t="s">
        <v>72</v>
      </c>
      <c r="K1949">
        <v>9</v>
      </c>
      <c r="L1949">
        <v>15163882</v>
      </c>
      <c r="M1949">
        <v>2499837</v>
      </c>
      <c r="N1949">
        <v>70</v>
      </c>
      <c r="O1949" t="s">
        <v>104</v>
      </c>
      <c r="P1949" t="s">
        <v>42</v>
      </c>
    </row>
    <row r="1950" spans="1:16" x14ac:dyDescent="0.35">
      <c r="A1950" t="s">
        <v>4035</v>
      </c>
      <c r="B1950" t="s">
        <v>4034</v>
      </c>
      <c r="C1950" t="s">
        <v>53</v>
      </c>
      <c r="D1950" t="s">
        <v>75</v>
      </c>
      <c r="F1950" s="1">
        <v>44922</v>
      </c>
      <c r="G1950">
        <v>2024</v>
      </c>
      <c r="H1950" t="s">
        <v>81</v>
      </c>
      <c r="I1950" t="s">
        <v>71</v>
      </c>
      <c r="J1950" t="s">
        <v>40</v>
      </c>
      <c r="K1950">
        <v>4.5999999999999996</v>
      </c>
      <c r="L1950">
        <v>2482221</v>
      </c>
      <c r="M1950">
        <v>3878236</v>
      </c>
      <c r="N1950">
        <v>84</v>
      </c>
      <c r="O1950" t="s">
        <v>58</v>
      </c>
    </row>
    <row r="1951" spans="1:16" x14ac:dyDescent="0.35">
      <c r="A1951" t="s">
        <v>4036</v>
      </c>
      <c r="B1951" t="s">
        <v>4037</v>
      </c>
      <c r="D1951" t="s">
        <v>19</v>
      </c>
      <c r="E1951" t="s">
        <v>99</v>
      </c>
      <c r="F1951" s="1">
        <v>42152</v>
      </c>
      <c r="G1951">
        <v>2017</v>
      </c>
      <c r="H1951" t="s">
        <v>70</v>
      </c>
      <c r="I1951" t="s">
        <v>95</v>
      </c>
      <c r="J1951" t="s">
        <v>100</v>
      </c>
      <c r="K1951">
        <v>5.4</v>
      </c>
      <c r="L1951">
        <v>4215881</v>
      </c>
      <c r="M1951">
        <v>4174784</v>
      </c>
      <c r="N1951">
        <v>41</v>
      </c>
      <c r="O1951" t="s">
        <v>58</v>
      </c>
    </row>
    <row r="1952" spans="1:16" x14ac:dyDescent="0.35">
      <c r="A1952" t="s">
        <v>4038</v>
      </c>
      <c r="B1952" t="s">
        <v>4039</v>
      </c>
      <c r="C1952" t="s">
        <v>84</v>
      </c>
      <c r="D1952" t="s">
        <v>61</v>
      </c>
      <c r="E1952" t="s">
        <v>45</v>
      </c>
      <c r="F1952" s="1">
        <v>42915</v>
      </c>
      <c r="G1952">
        <v>2005</v>
      </c>
      <c r="H1952" t="s">
        <v>107</v>
      </c>
      <c r="I1952" t="s">
        <v>627</v>
      </c>
      <c r="J1952" t="s">
        <v>57</v>
      </c>
      <c r="K1952">
        <v>4.8</v>
      </c>
      <c r="L1952">
        <v>15302623</v>
      </c>
      <c r="M1952">
        <v>3909371</v>
      </c>
      <c r="N1952">
        <v>41</v>
      </c>
      <c r="O1952" t="s">
        <v>24</v>
      </c>
      <c r="P1952" t="s">
        <v>32</v>
      </c>
    </row>
    <row r="1953" spans="1:16" x14ac:dyDescent="0.35">
      <c r="A1953" t="s">
        <v>4040</v>
      </c>
      <c r="B1953" t="s">
        <v>4039</v>
      </c>
      <c r="C1953" t="s">
        <v>84</v>
      </c>
      <c r="D1953" t="s">
        <v>156</v>
      </c>
      <c r="E1953" t="s">
        <v>37</v>
      </c>
      <c r="G1953">
        <v>2022</v>
      </c>
      <c r="H1953" t="s">
        <v>46</v>
      </c>
      <c r="I1953" t="s">
        <v>1279</v>
      </c>
      <c r="J1953" t="s">
        <v>153</v>
      </c>
      <c r="K1953">
        <v>7.3</v>
      </c>
      <c r="L1953">
        <v>21892110</v>
      </c>
      <c r="M1953">
        <v>4303127</v>
      </c>
      <c r="N1953">
        <v>61</v>
      </c>
      <c r="O1953" t="s">
        <v>41</v>
      </c>
      <c r="P1953" t="s">
        <v>50</v>
      </c>
    </row>
    <row r="1954" spans="1:16" x14ac:dyDescent="0.35">
      <c r="A1954" t="s">
        <v>4041</v>
      </c>
      <c r="B1954" t="s">
        <v>4042</v>
      </c>
      <c r="C1954" t="s">
        <v>18</v>
      </c>
      <c r="D1954" t="s">
        <v>90</v>
      </c>
      <c r="E1954" t="s">
        <v>62</v>
      </c>
      <c r="F1954" s="1">
        <v>42308</v>
      </c>
      <c r="G1954">
        <v>2016</v>
      </c>
      <c r="H1954" t="s">
        <v>38</v>
      </c>
      <c r="I1954" t="s">
        <v>472</v>
      </c>
      <c r="J1954" t="s">
        <v>57</v>
      </c>
      <c r="K1954">
        <v>9</v>
      </c>
      <c r="L1954">
        <v>3545939</v>
      </c>
      <c r="M1954">
        <v>1035647</v>
      </c>
      <c r="N1954">
        <v>53</v>
      </c>
      <c r="O1954" t="s">
        <v>104</v>
      </c>
      <c r="P1954" t="s">
        <v>50</v>
      </c>
    </row>
    <row r="1955" spans="1:16" x14ac:dyDescent="0.35">
      <c r="A1955" t="s">
        <v>4043</v>
      </c>
      <c r="B1955" t="s">
        <v>4044</v>
      </c>
      <c r="C1955" t="s">
        <v>53</v>
      </c>
      <c r="D1955" t="s">
        <v>61</v>
      </c>
      <c r="E1955" t="s">
        <v>165</v>
      </c>
      <c r="F1955" s="1">
        <v>44164</v>
      </c>
      <c r="G1955">
        <v>2007</v>
      </c>
      <c r="H1955" t="s">
        <v>63</v>
      </c>
      <c r="I1955" t="s">
        <v>39</v>
      </c>
      <c r="J1955" t="s">
        <v>57</v>
      </c>
      <c r="K1955">
        <v>4.8</v>
      </c>
      <c r="L1955">
        <v>11863953</v>
      </c>
      <c r="M1955">
        <v>2419595</v>
      </c>
      <c r="N1955">
        <v>94</v>
      </c>
      <c r="O1955" t="s">
        <v>41</v>
      </c>
      <c r="P1955" t="s">
        <v>32</v>
      </c>
    </row>
    <row r="1956" spans="1:16" x14ac:dyDescent="0.35">
      <c r="A1956" t="s">
        <v>4045</v>
      </c>
      <c r="B1956" t="s">
        <v>4046</v>
      </c>
      <c r="C1956" t="s">
        <v>79</v>
      </c>
      <c r="D1956" t="s">
        <v>61</v>
      </c>
      <c r="F1956" s="1">
        <v>44129</v>
      </c>
      <c r="G1956">
        <v>2011</v>
      </c>
      <c r="H1956" t="s">
        <v>107</v>
      </c>
      <c r="I1956" t="s">
        <v>361</v>
      </c>
      <c r="J1956" t="s">
        <v>96</v>
      </c>
      <c r="K1956">
        <v>5.4</v>
      </c>
      <c r="L1956">
        <v>24336048</v>
      </c>
      <c r="M1956">
        <v>1495392</v>
      </c>
      <c r="N1956">
        <v>73</v>
      </c>
      <c r="P1956" t="s">
        <v>87</v>
      </c>
    </row>
    <row r="1957" spans="1:16" x14ac:dyDescent="0.35">
      <c r="A1957" t="s">
        <v>4047</v>
      </c>
      <c r="B1957" t="s">
        <v>4048</v>
      </c>
      <c r="C1957" t="s">
        <v>84</v>
      </c>
      <c r="D1957" t="s">
        <v>90</v>
      </c>
      <c r="E1957" t="s">
        <v>45</v>
      </c>
      <c r="F1957" s="1">
        <v>43120</v>
      </c>
      <c r="G1957">
        <v>2018</v>
      </c>
      <c r="I1957" t="s">
        <v>517</v>
      </c>
      <c r="J1957" t="s">
        <v>96</v>
      </c>
      <c r="K1957">
        <v>8.6999999999999993</v>
      </c>
      <c r="L1957">
        <v>137388</v>
      </c>
      <c r="M1957">
        <v>1229945</v>
      </c>
      <c r="N1957">
        <v>97</v>
      </c>
    </row>
    <row r="1958" spans="1:16" x14ac:dyDescent="0.35">
      <c r="A1958" t="s">
        <v>4049</v>
      </c>
      <c r="B1958" t="s">
        <v>4050</v>
      </c>
      <c r="E1958" t="s">
        <v>45</v>
      </c>
      <c r="F1958" s="1">
        <v>42050</v>
      </c>
      <c r="G1958">
        <v>2023</v>
      </c>
      <c r="H1958" t="s">
        <v>70</v>
      </c>
      <c r="I1958" t="s">
        <v>64</v>
      </c>
      <c r="J1958" t="s">
        <v>133</v>
      </c>
      <c r="K1958">
        <v>9</v>
      </c>
      <c r="L1958">
        <v>18696691</v>
      </c>
      <c r="M1958">
        <v>4138561</v>
      </c>
      <c r="N1958">
        <v>72</v>
      </c>
      <c r="O1958" t="s">
        <v>31</v>
      </c>
      <c r="P1958" t="s">
        <v>50</v>
      </c>
    </row>
    <row r="1959" spans="1:16" x14ac:dyDescent="0.35">
      <c r="A1959" t="s">
        <v>4051</v>
      </c>
      <c r="B1959" t="s">
        <v>4052</v>
      </c>
      <c r="F1959" s="1">
        <v>44257</v>
      </c>
      <c r="G1959">
        <v>2002</v>
      </c>
      <c r="H1959" t="s">
        <v>85</v>
      </c>
      <c r="I1959" t="s">
        <v>95</v>
      </c>
      <c r="J1959" t="s">
        <v>48</v>
      </c>
      <c r="K1959">
        <v>7.6</v>
      </c>
      <c r="L1959">
        <v>3758222</v>
      </c>
      <c r="M1959">
        <v>1702948</v>
      </c>
      <c r="N1959">
        <v>70</v>
      </c>
      <c r="O1959" t="s">
        <v>104</v>
      </c>
    </row>
    <row r="1960" spans="1:16" x14ac:dyDescent="0.35">
      <c r="A1960" t="s">
        <v>4053</v>
      </c>
      <c r="B1960" t="s">
        <v>4054</v>
      </c>
      <c r="C1960" t="s">
        <v>18</v>
      </c>
      <c r="D1960" t="s">
        <v>156</v>
      </c>
      <c r="F1960" s="1">
        <v>43324</v>
      </c>
      <c r="G1960">
        <v>2010</v>
      </c>
      <c r="H1960" t="s">
        <v>38</v>
      </c>
      <c r="I1960" t="s">
        <v>339</v>
      </c>
      <c r="J1960" t="s">
        <v>133</v>
      </c>
      <c r="K1960">
        <v>8.6999999999999993</v>
      </c>
      <c r="L1960">
        <v>10912595</v>
      </c>
      <c r="M1960">
        <v>794622</v>
      </c>
      <c r="N1960">
        <v>55</v>
      </c>
      <c r="O1960" t="s">
        <v>123</v>
      </c>
      <c r="P1960" t="s">
        <v>50</v>
      </c>
    </row>
    <row r="1961" spans="1:16" x14ac:dyDescent="0.35">
      <c r="A1961" t="s">
        <v>4055</v>
      </c>
      <c r="B1961" t="s">
        <v>4056</v>
      </c>
      <c r="C1961" t="s">
        <v>18</v>
      </c>
      <c r="D1961" t="s">
        <v>27</v>
      </c>
      <c r="E1961" t="s">
        <v>131</v>
      </c>
      <c r="F1961" s="1">
        <v>44583</v>
      </c>
      <c r="G1961">
        <v>2000</v>
      </c>
      <c r="H1961" t="s">
        <v>81</v>
      </c>
      <c r="I1961" t="s">
        <v>223</v>
      </c>
      <c r="J1961" t="s">
        <v>72</v>
      </c>
      <c r="K1961">
        <v>7.9</v>
      </c>
      <c r="L1961">
        <v>13121377</v>
      </c>
      <c r="M1961">
        <v>2153363</v>
      </c>
      <c r="N1961">
        <v>120</v>
      </c>
      <c r="O1961" t="s">
        <v>123</v>
      </c>
      <c r="P1961" t="s">
        <v>32</v>
      </c>
    </row>
    <row r="1962" spans="1:16" x14ac:dyDescent="0.35">
      <c r="A1962" t="s">
        <v>4057</v>
      </c>
      <c r="B1962" t="s">
        <v>4058</v>
      </c>
      <c r="D1962" t="s">
        <v>68</v>
      </c>
      <c r="E1962" t="s">
        <v>113</v>
      </c>
      <c r="F1962" s="1">
        <v>42394</v>
      </c>
      <c r="G1962">
        <v>2006</v>
      </c>
      <c r="H1962" t="s">
        <v>63</v>
      </c>
      <c r="I1962" t="s">
        <v>95</v>
      </c>
      <c r="J1962" t="s">
        <v>48</v>
      </c>
      <c r="K1962">
        <v>8.1</v>
      </c>
      <c r="L1962">
        <v>10496863</v>
      </c>
      <c r="M1962">
        <v>2775613</v>
      </c>
      <c r="N1962">
        <v>120</v>
      </c>
      <c r="O1962" t="s">
        <v>58</v>
      </c>
    </row>
    <row r="1963" spans="1:16" x14ac:dyDescent="0.35">
      <c r="A1963" t="s">
        <v>4059</v>
      </c>
      <c r="B1963" t="s">
        <v>4060</v>
      </c>
      <c r="D1963" t="s">
        <v>36</v>
      </c>
      <c r="E1963" t="s">
        <v>28</v>
      </c>
      <c r="F1963" s="1">
        <v>42704</v>
      </c>
      <c r="G1963">
        <v>2023</v>
      </c>
      <c r="H1963" t="s">
        <v>81</v>
      </c>
      <c r="I1963" t="s">
        <v>71</v>
      </c>
      <c r="J1963" t="s">
        <v>153</v>
      </c>
      <c r="K1963">
        <v>7.4</v>
      </c>
      <c r="L1963">
        <v>561015</v>
      </c>
      <c r="M1963">
        <v>1780110</v>
      </c>
      <c r="N1963">
        <v>78</v>
      </c>
      <c r="O1963" t="s">
        <v>104</v>
      </c>
      <c r="P1963" t="s">
        <v>87</v>
      </c>
    </row>
    <row r="1964" spans="1:16" x14ac:dyDescent="0.35">
      <c r="A1964" t="s">
        <v>4061</v>
      </c>
      <c r="B1964" t="s">
        <v>4062</v>
      </c>
      <c r="C1964" t="s">
        <v>35</v>
      </c>
      <c r="D1964" t="s">
        <v>36</v>
      </c>
      <c r="E1964" t="s">
        <v>80</v>
      </c>
      <c r="F1964" s="1">
        <v>42112</v>
      </c>
      <c r="G1964">
        <v>2005</v>
      </c>
      <c r="H1964" t="s">
        <v>107</v>
      </c>
      <c r="I1964" t="s">
        <v>95</v>
      </c>
      <c r="J1964" t="s">
        <v>100</v>
      </c>
      <c r="K1964">
        <v>7.5</v>
      </c>
      <c r="L1964">
        <v>2969749</v>
      </c>
      <c r="M1964">
        <v>848740</v>
      </c>
      <c r="N1964">
        <v>40</v>
      </c>
      <c r="O1964" t="s">
        <v>123</v>
      </c>
      <c r="P1964" t="s">
        <v>87</v>
      </c>
    </row>
    <row r="1965" spans="1:16" x14ac:dyDescent="0.35">
      <c r="A1965" t="s">
        <v>4063</v>
      </c>
      <c r="B1965" t="s">
        <v>4064</v>
      </c>
      <c r="C1965" t="s">
        <v>35</v>
      </c>
      <c r="D1965" t="s">
        <v>19</v>
      </c>
      <c r="E1965" t="s">
        <v>113</v>
      </c>
      <c r="F1965" s="1">
        <v>42832</v>
      </c>
      <c r="G1965">
        <v>2001</v>
      </c>
      <c r="I1965" t="s">
        <v>162</v>
      </c>
      <c r="J1965" t="s">
        <v>30</v>
      </c>
      <c r="K1965">
        <v>9.6</v>
      </c>
      <c r="L1965">
        <v>9937260</v>
      </c>
      <c r="M1965">
        <v>3894124</v>
      </c>
      <c r="N1965">
        <v>90</v>
      </c>
      <c r="O1965" t="s">
        <v>123</v>
      </c>
      <c r="P1965" t="s">
        <v>50</v>
      </c>
    </row>
    <row r="1966" spans="1:16" x14ac:dyDescent="0.35">
      <c r="A1966" t="s">
        <v>4065</v>
      </c>
      <c r="B1966" t="s">
        <v>4066</v>
      </c>
      <c r="C1966" t="s">
        <v>79</v>
      </c>
      <c r="D1966" t="s">
        <v>61</v>
      </c>
      <c r="E1966" t="s">
        <v>45</v>
      </c>
      <c r="F1966" s="1">
        <v>45264</v>
      </c>
      <c r="G1966">
        <v>2019</v>
      </c>
      <c r="H1966" t="s">
        <v>121</v>
      </c>
      <c r="I1966" t="s">
        <v>1279</v>
      </c>
      <c r="J1966" t="s">
        <v>133</v>
      </c>
      <c r="K1966">
        <v>7.9</v>
      </c>
      <c r="L1966">
        <v>18140768</v>
      </c>
      <c r="M1966">
        <v>1660469</v>
      </c>
      <c r="N1966">
        <v>91</v>
      </c>
      <c r="P1966" t="s">
        <v>42</v>
      </c>
    </row>
    <row r="1967" spans="1:16" x14ac:dyDescent="0.35">
      <c r="A1967" t="s">
        <v>4067</v>
      </c>
      <c r="B1967" t="s">
        <v>4068</v>
      </c>
      <c r="C1967" t="s">
        <v>53</v>
      </c>
      <c r="D1967" t="s">
        <v>94</v>
      </c>
      <c r="E1967" t="s">
        <v>165</v>
      </c>
      <c r="F1967" s="1">
        <v>42293</v>
      </c>
      <c r="G1967">
        <v>2011</v>
      </c>
      <c r="H1967" t="s">
        <v>38</v>
      </c>
      <c r="I1967" t="s">
        <v>56</v>
      </c>
      <c r="J1967" t="s">
        <v>103</v>
      </c>
      <c r="K1967">
        <v>9.5</v>
      </c>
      <c r="L1967">
        <v>3897789</v>
      </c>
      <c r="M1967">
        <v>1077729</v>
      </c>
      <c r="N1967">
        <v>60</v>
      </c>
      <c r="O1967" t="s">
        <v>31</v>
      </c>
      <c r="P1967" t="s">
        <v>87</v>
      </c>
    </row>
    <row r="1968" spans="1:16" x14ac:dyDescent="0.35">
      <c r="A1968" t="s">
        <v>4069</v>
      </c>
      <c r="B1968" t="s">
        <v>4070</v>
      </c>
      <c r="D1968" t="s">
        <v>94</v>
      </c>
      <c r="E1968" t="s">
        <v>165</v>
      </c>
      <c r="F1968" s="1">
        <v>42209</v>
      </c>
      <c r="G1968">
        <v>2017</v>
      </c>
      <c r="H1968" t="s">
        <v>70</v>
      </c>
      <c r="I1968" t="s">
        <v>56</v>
      </c>
      <c r="J1968" t="s">
        <v>30</v>
      </c>
      <c r="K1968">
        <v>6.2</v>
      </c>
      <c r="L1968">
        <v>23136641</v>
      </c>
      <c r="M1968">
        <v>2960387</v>
      </c>
      <c r="N1968">
        <v>79</v>
      </c>
      <c r="O1968" t="s">
        <v>91</v>
      </c>
    </row>
    <row r="1969" spans="1:16" x14ac:dyDescent="0.35">
      <c r="A1969" t="s">
        <v>4071</v>
      </c>
      <c r="B1969" t="s">
        <v>4072</v>
      </c>
      <c r="C1969" t="s">
        <v>84</v>
      </c>
      <c r="D1969" t="s">
        <v>61</v>
      </c>
      <c r="E1969" t="s">
        <v>80</v>
      </c>
      <c r="F1969" s="1">
        <v>42284</v>
      </c>
      <c r="G1969">
        <v>2006</v>
      </c>
      <c r="H1969" t="s">
        <v>46</v>
      </c>
      <c r="I1969" t="s">
        <v>339</v>
      </c>
      <c r="J1969" t="s">
        <v>57</v>
      </c>
      <c r="K1969">
        <v>7.5</v>
      </c>
      <c r="L1969">
        <v>15396512</v>
      </c>
      <c r="M1969">
        <v>4658329</v>
      </c>
      <c r="N1969">
        <v>76</v>
      </c>
      <c r="O1969" t="s">
        <v>104</v>
      </c>
      <c r="P1969" t="s">
        <v>87</v>
      </c>
    </row>
    <row r="1970" spans="1:16" x14ac:dyDescent="0.35">
      <c r="A1970" t="s">
        <v>4073</v>
      </c>
      <c r="B1970" t="s">
        <v>4074</v>
      </c>
      <c r="D1970" t="s">
        <v>75</v>
      </c>
      <c r="F1970" s="1">
        <v>43140</v>
      </c>
      <c r="G1970">
        <v>2008</v>
      </c>
      <c r="H1970" t="s">
        <v>46</v>
      </c>
      <c r="I1970" t="s">
        <v>95</v>
      </c>
      <c r="J1970" t="s">
        <v>103</v>
      </c>
      <c r="K1970">
        <v>9</v>
      </c>
      <c r="L1970">
        <v>6908888</v>
      </c>
      <c r="M1970">
        <v>3134913</v>
      </c>
      <c r="N1970">
        <v>68</v>
      </c>
      <c r="O1970" t="s">
        <v>31</v>
      </c>
      <c r="P1970" t="s">
        <v>32</v>
      </c>
    </row>
    <row r="1971" spans="1:16" x14ac:dyDescent="0.35">
      <c r="A1971" t="s">
        <v>4075</v>
      </c>
      <c r="B1971" t="s">
        <v>4076</v>
      </c>
      <c r="D1971" t="s">
        <v>61</v>
      </c>
      <c r="E1971" t="s">
        <v>113</v>
      </c>
      <c r="F1971" s="1">
        <v>43798</v>
      </c>
      <c r="G1971">
        <v>2024</v>
      </c>
      <c r="H1971" t="s">
        <v>38</v>
      </c>
      <c r="I1971" t="s">
        <v>56</v>
      </c>
      <c r="J1971" t="s">
        <v>72</v>
      </c>
      <c r="K1971">
        <v>5.8</v>
      </c>
      <c r="L1971">
        <v>5318120</v>
      </c>
      <c r="M1971">
        <v>4797052</v>
      </c>
      <c r="N1971">
        <v>99</v>
      </c>
      <c r="O1971" t="s">
        <v>31</v>
      </c>
      <c r="P1971" t="s">
        <v>87</v>
      </c>
    </row>
    <row r="1972" spans="1:16" x14ac:dyDescent="0.35">
      <c r="A1972" t="s">
        <v>4077</v>
      </c>
      <c r="B1972" t="s">
        <v>4078</v>
      </c>
      <c r="C1972" t="s">
        <v>79</v>
      </c>
      <c r="D1972" t="s">
        <v>68</v>
      </c>
      <c r="E1972" t="s">
        <v>165</v>
      </c>
      <c r="G1972">
        <v>2023</v>
      </c>
      <c r="H1972" t="s">
        <v>85</v>
      </c>
      <c r="I1972" t="s">
        <v>441</v>
      </c>
      <c r="J1972" t="s">
        <v>76</v>
      </c>
      <c r="K1972">
        <v>5.2</v>
      </c>
      <c r="L1972">
        <v>141023</v>
      </c>
      <c r="M1972">
        <v>1815034</v>
      </c>
      <c r="N1972">
        <v>85</v>
      </c>
      <c r="O1972" t="s">
        <v>24</v>
      </c>
      <c r="P1972" t="s">
        <v>87</v>
      </c>
    </row>
    <row r="1973" spans="1:16" x14ac:dyDescent="0.35">
      <c r="A1973" t="s">
        <v>4079</v>
      </c>
      <c r="B1973" t="s">
        <v>4080</v>
      </c>
      <c r="C1973" t="s">
        <v>35</v>
      </c>
      <c r="D1973" t="s">
        <v>94</v>
      </c>
      <c r="E1973" t="s">
        <v>55</v>
      </c>
      <c r="F1973" s="1">
        <v>43347</v>
      </c>
      <c r="G1973">
        <v>2024</v>
      </c>
      <c r="I1973" t="s">
        <v>39</v>
      </c>
      <c r="J1973" t="s">
        <v>23</v>
      </c>
      <c r="K1973">
        <v>7.1</v>
      </c>
      <c r="L1973">
        <v>14790065</v>
      </c>
      <c r="M1973">
        <v>3578079</v>
      </c>
      <c r="N1973">
        <v>61</v>
      </c>
      <c r="O1973" t="s">
        <v>104</v>
      </c>
      <c r="P1973" t="s">
        <v>50</v>
      </c>
    </row>
    <row r="1974" spans="1:16" x14ac:dyDescent="0.35">
      <c r="A1974" t="s">
        <v>4081</v>
      </c>
      <c r="B1974" t="s">
        <v>4082</v>
      </c>
      <c r="C1974" t="s">
        <v>53</v>
      </c>
      <c r="D1974" t="s">
        <v>27</v>
      </c>
      <c r="E1974" t="s">
        <v>28</v>
      </c>
      <c r="F1974" s="1">
        <v>44861</v>
      </c>
      <c r="G1974">
        <v>2018</v>
      </c>
      <c r="H1974" t="s">
        <v>85</v>
      </c>
      <c r="I1974" t="s">
        <v>39</v>
      </c>
      <c r="J1974" t="s">
        <v>30</v>
      </c>
      <c r="K1974">
        <v>6.5</v>
      </c>
      <c r="L1974">
        <v>2095405</v>
      </c>
      <c r="M1974">
        <v>4364478</v>
      </c>
      <c r="N1974">
        <v>43</v>
      </c>
      <c r="O1974" t="s">
        <v>65</v>
      </c>
      <c r="P1974" t="s">
        <v>42</v>
      </c>
    </row>
    <row r="1975" spans="1:16" x14ac:dyDescent="0.35">
      <c r="A1975" t="s">
        <v>4083</v>
      </c>
      <c r="B1975" t="s">
        <v>4084</v>
      </c>
      <c r="C1975" t="s">
        <v>35</v>
      </c>
      <c r="E1975" t="s">
        <v>80</v>
      </c>
      <c r="F1975" s="1">
        <v>45803</v>
      </c>
      <c r="G1975">
        <v>2019</v>
      </c>
      <c r="H1975" t="s">
        <v>107</v>
      </c>
      <c r="I1975" t="s">
        <v>118</v>
      </c>
      <c r="J1975" t="s">
        <v>103</v>
      </c>
      <c r="K1975">
        <v>5.0999999999999996</v>
      </c>
      <c r="L1975">
        <v>23184745</v>
      </c>
      <c r="M1975">
        <v>299006</v>
      </c>
      <c r="N1975">
        <v>52</v>
      </c>
      <c r="O1975" t="s">
        <v>24</v>
      </c>
      <c r="P1975" t="s">
        <v>87</v>
      </c>
    </row>
    <row r="1976" spans="1:16" x14ac:dyDescent="0.35">
      <c r="A1976" t="s">
        <v>4085</v>
      </c>
      <c r="B1976" t="s">
        <v>4086</v>
      </c>
      <c r="C1976" t="s">
        <v>35</v>
      </c>
      <c r="D1976" t="s">
        <v>19</v>
      </c>
      <c r="E1976" t="s">
        <v>69</v>
      </c>
      <c r="F1976" s="1">
        <v>45529</v>
      </c>
      <c r="G1976">
        <v>2014</v>
      </c>
      <c r="H1976" t="s">
        <v>63</v>
      </c>
      <c r="I1976" t="s">
        <v>136</v>
      </c>
      <c r="J1976" t="s">
        <v>57</v>
      </c>
      <c r="K1976">
        <v>5.9</v>
      </c>
      <c r="L1976">
        <v>14140176</v>
      </c>
      <c r="M1976">
        <v>4651395</v>
      </c>
      <c r="N1976">
        <v>80</v>
      </c>
      <c r="O1976" t="s">
        <v>49</v>
      </c>
      <c r="P1976" t="s">
        <v>87</v>
      </c>
    </row>
    <row r="1977" spans="1:16" x14ac:dyDescent="0.35">
      <c r="A1977" t="s">
        <v>4087</v>
      </c>
      <c r="B1977" t="s">
        <v>4088</v>
      </c>
      <c r="E1977" t="s">
        <v>131</v>
      </c>
      <c r="F1977" s="1">
        <v>42837</v>
      </c>
      <c r="G1977">
        <v>2002</v>
      </c>
      <c r="H1977" t="s">
        <v>46</v>
      </c>
      <c r="I1977" t="s">
        <v>162</v>
      </c>
      <c r="J1977" t="s">
        <v>100</v>
      </c>
      <c r="K1977">
        <v>7.8</v>
      </c>
      <c r="L1977">
        <v>1709500</v>
      </c>
      <c r="M1977">
        <v>1857782</v>
      </c>
      <c r="N1977">
        <v>65</v>
      </c>
      <c r="O1977" t="s">
        <v>41</v>
      </c>
    </row>
    <row r="1978" spans="1:16" x14ac:dyDescent="0.35">
      <c r="A1978" t="s">
        <v>4089</v>
      </c>
      <c r="B1978" t="s">
        <v>4090</v>
      </c>
      <c r="C1978" t="s">
        <v>84</v>
      </c>
      <c r="D1978" t="s">
        <v>94</v>
      </c>
      <c r="E1978" t="s">
        <v>28</v>
      </c>
      <c r="F1978" s="1">
        <v>45419</v>
      </c>
      <c r="G1978">
        <v>2020</v>
      </c>
      <c r="H1978" t="s">
        <v>85</v>
      </c>
      <c r="I1978" t="s">
        <v>608</v>
      </c>
      <c r="J1978" t="s">
        <v>23</v>
      </c>
      <c r="K1978">
        <v>5.2</v>
      </c>
      <c r="L1978">
        <v>24155870</v>
      </c>
      <c r="M1978">
        <v>4358575</v>
      </c>
      <c r="N1978">
        <v>93</v>
      </c>
      <c r="O1978" t="s">
        <v>65</v>
      </c>
      <c r="P1978" t="s">
        <v>32</v>
      </c>
    </row>
    <row r="1979" spans="1:16" x14ac:dyDescent="0.35">
      <c r="A1979" t="s">
        <v>4091</v>
      </c>
      <c r="B1979" t="s">
        <v>4092</v>
      </c>
      <c r="C1979" t="s">
        <v>18</v>
      </c>
      <c r="D1979" t="s">
        <v>19</v>
      </c>
      <c r="E1979" t="s">
        <v>113</v>
      </c>
      <c r="F1979" s="1">
        <v>44022</v>
      </c>
      <c r="G1979">
        <v>2023</v>
      </c>
      <c r="H1979" t="s">
        <v>38</v>
      </c>
      <c r="I1979" t="s">
        <v>262</v>
      </c>
      <c r="J1979" t="s">
        <v>103</v>
      </c>
      <c r="K1979">
        <v>6.3</v>
      </c>
      <c r="L1979">
        <v>1781495</v>
      </c>
      <c r="M1979">
        <v>3306604</v>
      </c>
      <c r="N1979">
        <v>79</v>
      </c>
      <c r="O1979" t="s">
        <v>123</v>
      </c>
      <c r="P1979" t="s">
        <v>87</v>
      </c>
    </row>
    <row r="1980" spans="1:16" x14ac:dyDescent="0.35">
      <c r="A1980" t="s">
        <v>4093</v>
      </c>
      <c r="B1980" t="s">
        <v>4094</v>
      </c>
      <c r="C1980" t="s">
        <v>79</v>
      </c>
      <c r="D1980" t="s">
        <v>27</v>
      </c>
      <c r="E1980" t="s">
        <v>80</v>
      </c>
      <c r="F1980" s="1">
        <v>43517</v>
      </c>
      <c r="G1980">
        <v>2026</v>
      </c>
      <c r="H1980" t="s">
        <v>114</v>
      </c>
      <c r="I1980" t="s">
        <v>775</v>
      </c>
      <c r="J1980" t="s">
        <v>96</v>
      </c>
      <c r="K1980">
        <v>9.1</v>
      </c>
      <c r="L1980">
        <v>21520951</v>
      </c>
      <c r="M1980">
        <v>4967751</v>
      </c>
      <c r="N1980">
        <v>42</v>
      </c>
      <c r="O1980" t="s">
        <v>91</v>
      </c>
      <c r="P1980" t="s">
        <v>32</v>
      </c>
    </row>
    <row r="1981" spans="1:16" x14ac:dyDescent="0.35">
      <c r="A1981" t="s">
        <v>4095</v>
      </c>
      <c r="B1981" t="s">
        <v>4096</v>
      </c>
      <c r="C1981" t="s">
        <v>53</v>
      </c>
      <c r="D1981" t="s">
        <v>61</v>
      </c>
      <c r="E1981" t="s">
        <v>165</v>
      </c>
      <c r="F1981" s="1">
        <v>43052</v>
      </c>
      <c r="G1981">
        <v>2004</v>
      </c>
      <c r="H1981" t="s">
        <v>81</v>
      </c>
      <c r="I1981" t="s">
        <v>95</v>
      </c>
      <c r="J1981" t="s">
        <v>40</v>
      </c>
      <c r="K1981">
        <v>6.6</v>
      </c>
      <c r="L1981">
        <v>21176187</v>
      </c>
      <c r="M1981">
        <v>774200</v>
      </c>
      <c r="N1981">
        <v>80</v>
      </c>
      <c r="O1981" t="s">
        <v>104</v>
      </c>
    </row>
    <row r="1982" spans="1:16" x14ac:dyDescent="0.35">
      <c r="A1982" t="s">
        <v>4097</v>
      </c>
      <c r="B1982" t="s">
        <v>4098</v>
      </c>
      <c r="C1982" t="s">
        <v>84</v>
      </c>
      <c r="E1982" t="s">
        <v>165</v>
      </c>
      <c r="F1982" s="1">
        <v>44944</v>
      </c>
      <c r="G1982">
        <v>2006</v>
      </c>
      <c r="H1982" t="s">
        <v>38</v>
      </c>
      <c r="I1982" t="s">
        <v>275</v>
      </c>
      <c r="J1982" t="s">
        <v>100</v>
      </c>
      <c r="K1982">
        <v>8.9</v>
      </c>
      <c r="L1982">
        <v>19201464</v>
      </c>
      <c r="M1982">
        <v>1427581</v>
      </c>
      <c r="N1982">
        <v>58</v>
      </c>
      <c r="O1982" t="s">
        <v>58</v>
      </c>
      <c r="P1982" t="s">
        <v>32</v>
      </c>
    </row>
    <row r="1983" spans="1:16" x14ac:dyDescent="0.35">
      <c r="A1983" t="s">
        <v>4099</v>
      </c>
      <c r="B1983" t="s">
        <v>4100</v>
      </c>
      <c r="D1983" t="s">
        <v>54</v>
      </c>
      <c r="E1983" t="s">
        <v>99</v>
      </c>
      <c r="F1983" s="1">
        <v>44212</v>
      </c>
      <c r="G1983">
        <v>2010</v>
      </c>
      <c r="H1983" t="s">
        <v>63</v>
      </c>
      <c r="I1983" t="s">
        <v>56</v>
      </c>
      <c r="J1983" t="s">
        <v>100</v>
      </c>
      <c r="K1983">
        <v>8.4</v>
      </c>
      <c r="L1983">
        <v>20144700</v>
      </c>
      <c r="M1983">
        <v>120830</v>
      </c>
      <c r="N1983">
        <v>40</v>
      </c>
      <c r="O1983" t="s">
        <v>104</v>
      </c>
      <c r="P1983" t="s">
        <v>42</v>
      </c>
    </row>
    <row r="1984" spans="1:16" x14ac:dyDescent="0.35">
      <c r="A1984" t="s">
        <v>4101</v>
      </c>
      <c r="B1984" t="s">
        <v>4102</v>
      </c>
      <c r="C1984" t="s">
        <v>35</v>
      </c>
      <c r="D1984" t="s">
        <v>54</v>
      </c>
      <c r="E1984" t="s">
        <v>55</v>
      </c>
      <c r="F1984" s="1">
        <v>45828</v>
      </c>
      <c r="G1984">
        <v>2021</v>
      </c>
      <c r="H1984" t="s">
        <v>38</v>
      </c>
      <c r="I1984" t="s">
        <v>95</v>
      </c>
      <c r="J1984" t="s">
        <v>153</v>
      </c>
      <c r="K1984">
        <v>6.9</v>
      </c>
      <c r="L1984">
        <v>11776538</v>
      </c>
      <c r="M1984">
        <v>4762021</v>
      </c>
      <c r="N1984">
        <v>87</v>
      </c>
      <c r="O1984" t="s">
        <v>49</v>
      </c>
      <c r="P1984" t="s">
        <v>32</v>
      </c>
    </row>
    <row r="1985" spans="1:16" x14ac:dyDescent="0.35">
      <c r="A1985" t="s">
        <v>4103</v>
      </c>
      <c r="B1985" t="s">
        <v>4104</v>
      </c>
      <c r="C1985" t="s">
        <v>18</v>
      </c>
      <c r="D1985" t="s">
        <v>156</v>
      </c>
      <c r="E1985" t="s">
        <v>55</v>
      </c>
      <c r="F1985" s="1">
        <v>43624</v>
      </c>
      <c r="G1985">
        <v>2002</v>
      </c>
      <c r="H1985" t="s">
        <v>38</v>
      </c>
      <c r="I1985" t="s">
        <v>287</v>
      </c>
      <c r="J1985" t="s">
        <v>72</v>
      </c>
      <c r="K1985">
        <v>6.6</v>
      </c>
      <c r="L1985">
        <v>17591830</v>
      </c>
      <c r="M1985">
        <v>1405904</v>
      </c>
      <c r="N1985">
        <v>45</v>
      </c>
      <c r="P1985" t="s">
        <v>32</v>
      </c>
    </row>
    <row r="1986" spans="1:16" x14ac:dyDescent="0.35">
      <c r="A1986" t="s">
        <v>4105</v>
      </c>
      <c r="B1986" t="s">
        <v>4106</v>
      </c>
      <c r="C1986" t="s">
        <v>18</v>
      </c>
      <c r="D1986" t="s">
        <v>54</v>
      </c>
      <c r="E1986" t="s">
        <v>45</v>
      </c>
      <c r="F1986" s="1">
        <v>42068</v>
      </c>
      <c r="G1986">
        <v>2010</v>
      </c>
      <c r="H1986" t="s">
        <v>46</v>
      </c>
      <c r="I1986" t="s">
        <v>963</v>
      </c>
      <c r="J1986" t="s">
        <v>96</v>
      </c>
      <c r="K1986">
        <v>5.6</v>
      </c>
      <c r="L1986">
        <v>3159030</v>
      </c>
      <c r="M1986">
        <v>1578794</v>
      </c>
      <c r="N1986">
        <v>58</v>
      </c>
      <c r="O1986" t="s">
        <v>58</v>
      </c>
      <c r="P1986" t="s">
        <v>32</v>
      </c>
    </row>
    <row r="1987" spans="1:16" x14ac:dyDescent="0.35">
      <c r="A1987" t="s">
        <v>4107</v>
      </c>
      <c r="B1987" t="s">
        <v>4108</v>
      </c>
      <c r="C1987" t="s">
        <v>79</v>
      </c>
      <c r="D1987" t="s">
        <v>90</v>
      </c>
      <c r="E1987" t="s">
        <v>165</v>
      </c>
      <c r="F1987" s="1">
        <v>46006</v>
      </c>
      <c r="G1987">
        <v>2020</v>
      </c>
      <c r="H1987" t="s">
        <v>107</v>
      </c>
      <c r="I1987" t="s">
        <v>259</v>
      </c>
      <c r="J1987" t="s">
        <v>30</v>
      </c>
      <c r="K1987">
        <v>9.3000000000000007</v>
      </c>
      <c r="L1987">
        <v>4418065</v>
      </c>
      <c r="M1987">
        <v>3142357</v>
      </c>
      <c r="N1987">
        <v>78</v>
      </c>
      <c r="P1987" t="s">
        <v>50</v>
      </c>
    </row>
    <row r="1988" spans="1:16" x14ac:dyDescent="0.35">
      <c r="A1988" t="s">
        <v>4109</v>
      </c>
      <c r="B1988" t="s">
        <v>4110</v>
      </c>
      <c r="C1988" t="s">
        <v>53</v>
      </c>
      <c r="D1988" t="s">
        <v>75</v>
      </c>
      <c r="E1988" t="s">
        <v>165</v>
      </c>
      <c r="G1988">
        <v>2025</v>
      </c>
      <c r="H1988" t="s">
        <v>81</v>
      </c>
      <c r="I1988" t="s">
        <v>136</v>
      </c>
      <c r="J1988" t="s">
        <v>48</v>
      </c>
      <c r="K1988">
        <v>7.6</v>
      </c>
      <c r="L1988">
        <v>17991673</v>
      </c>
      <c r="M1988">
        <v>4283390</v>
      </c>
      <c r="N1988">
        <v>59</v>
      </c>
      <c r="O1988" t="s">
        <v>91</v>
      </c>
      <c r="P1988" t="s">
        <v>32</v>
      </c>
    </row>
    <row r="1989" spans="1:16" x14ac:dyDescent="0.35">
      <c r="A1989" t="s">
        <v>4111</v>
      </c>
      <c r="B1989" t="s">
        <v>4112</v>
      </c>
      <c r="D1989" t="s">
        <v>94</v>
      </c>
      <c r="G1989">
        <v>2006</v>
      </c>
      <c r="H1989" t="s">
        <v>21</v>
      </c>
      <c r="I1989" t="s">
        <v>95</v>
      </c>
      <c r="J1989" t="s">
        <v>103</v>
      </c>
      <c r="K1989">
        <v>6.9</v>
      </c>
      <c r="L1989">
        <v>3990044</v>
      </c>
      <c r="M1989">
        <v>3571686</v>
      </c>
      <c r="N1989">
        <v>45</v>
      </c>
      <c r="O1989" t="s">
        <v>123</v>
      </c>
      <c r="P1989" t="s">
        <v>32</v>
      </c>
    </row>
    <row r="1990" spans="1:16" x14ac:dyDescent="0.35">
      <c r="A1990" t="s">
        <v>4113</v>
      </c>
      <c r="B1990" t="s">
        <v>4114</v>
      </c>
      <c r="C1990" t="s">
        <v>18</v>
      </c>
      <c r="D1990" t="s">
        <v>90</v>
      </c>
      <c r="F1990" s="1">
        <v>45847</v>
      </c>
      <c r="G1990">
        <v>2000</v>
      </c>
      <c r="H1990" t="s">
        <v>114</v>
      </c>
      <c r="I1990" t="s">
        <v>571</v>
      </c>
      <c r="J1990" t="s">
        <v>48</v>
      </c>
      <c r="K1990">
        <v>5.6</v>
      </c>
      <c r="L1990">
        <v>9205629</v>
      </c>
      <c r="M1990">
        <v>2628888</v>
      </c>
      <c r="N1990">
        <v>76</v>
      </c>
      <c r="O1990" t="s">
        <v>65</v>
      </c>
      <c r="P1990" t="s">
        <v>42</v>
      </c>
    </row>
    <row r="1991" spans="1:16" x14ac:dyDescent="0.35">
      <c r="A1991" t="s">
        <v>4115</v>
      </c>
      <c r="B1991" t="s">
        <v>4116</v>
      </c>
      <c r="C1991" t="s">
        <v>18</v>
      </c>
      <c r="D1991" t="s">
        <v>90</v>
      </c>
      <c r="E1991" t="s">
        <v>131</v>
      </c>
      <c r="F1991" s="1">
        <v>44844</v>
      </c>
      <c r="G1991">
        <v>2016</v>
      </c>
      <c r="I1991" t="s">
        <v>2253</v>
      </c>
      <c r="J1991" t="s">
        <v>103</v>
      </c>
      <c r="K1991">
        <v>8.1</v>
      </c>
      <c r="L1991">
        <v>9885035</v>
      </c>
      <c r="M1991">
        <v>1868502</v>
      </c>
      <c r="N1991">
        <v>66</v>
      </c>
      <c r="O1991" t="s">
        <v>123</v>
      </c>
      <c r="P1991" t="s">
        <v>42</v>
      </c>
    </row>
    <row r="1992" spans="1:16" x14ac:dyDescent="0.35">
      <c r="A1992" t="s">
        <v>4117</v>
      </c>
      <c r="B1992" t="s">
        <v>4118</v>
      </c>
      <c r="C1992" t="s">
        <v>53</v>
      </c>
      <c r="D1992" t="s">
        <v>75</v>
      </c>
      <c r="E1992" t="s">
        <v>131</v>
      </c>
      <c r="F1992" s="1">
        <v>42347</v>
      </c>
      <c r="G1992">
        <v>2013</v>
      </c>
      <c r="H1992" t="s">
        <v>63</v>
      </c>
      <c r="I1992" t="s">
        <v>136</v>
      </c>
      <c r="J1992" t="s">
        <v>133</v>
      </c>
      <c r="K1992">
        <v>5.0999999999999996</v>
      </c>
      <c r="L1992">
        <v>22326849</v>
      </c>
      <c r="M1992">
        <v>3957731</v>
      </c>
      <c r="N1992">
        <v>56</v>
      </c>
      <c r="O1992" t="s">
        <v>31</v>
      </c>
      <c r="P1992" t="s">
        <v>42</v>
      </c>
    </row>
    <row r="1993" spans="1:16" x14ac:dyDescent="0.35">
      <c r="A1993" t="s">
        <v>4119</v>
      </c>
      <c r="B1993" t="s">
        <v>4120</v>
      </c>
      <c r="C1993" t="s">
        <v>53</v>
      </c>
      <c r="D1993" t="s">
        <v>156</v>
      </c>
      <c r="E1993" t="s">
        <v>55</v>
      </c>
      <c r="F1993" s="1">
        <v>42705</v>
      </c>
      <c r="G1993">
        <v>2024</v>
      </c>
      <c r="H1993" t="s">
        <v>63</v>
      </c>
      <c r="I1993" t="s">
        <v>162</v>
      </c>
      <c r="J1993" t="s">
        <v>96</v>
      </c>
      <c r="K1993">
        <v>7.1</v>
      </c>
      <c r="L1993">
        <v>24194043</v>
      </c>
      <c r="M1993">
        <v>4145458</v>
      </c>
      <c r="N1993">
        <v>63</v>
      </c>
      <c r="O1993" t="s">
        <v>65</v>
      </c>
      <c r="P1993" t="s">
        <v>50</v>
      </c>
    </row>
    <row r="1994" spans="1:16" x14ac:dyDescent="0.35">
      <c r="A1994" t="s">
        <v>4121</v>
      </c>
      <c r="B1994" t="s">
        <v>4122</v>
      </c>
      <c r="C1994" t="s">
        <v>18</v>
      </c>
      <c r="D1994" t="s">
        <v>19</v>
      </c>
      <c r="E1994" t="s">
        <v>80</v>
      </c>
      <c r="F1994" s="1">
        <v>43852</v>
      </c>
      <c r="G1994">
        <v>2014</v>
      </c>
      <c r="H1994" t="s">
        <v>46</v>
      </c>
      <c r="I1994" t="s">
        <v>204</v>
      </c>
      <c r="J1994" t="s">
        <v>103</v>
      </c>
      <c r="K1994">
        <v>8</v>
      </c>
      <c r="L1994">
        <v>24308044</v>
      </c>
      <c r="M1994">
        <v>1033101</v>
      </c>
      <c r="N1994">
        <v>79</v>
      </c>
      <c r="O1994" t="s">
        <v>123</v>
      </c>
    </row>
    <row r="1995" spans="1:16" x14ac:dyDescent="0.35">
      <c r="A1995" t="s">
        <v>4123</v>
      </c>
      <c r="B1995" t="s">
        <v>4124</v>
      </c>
      <c r="C1995" t="s">
        <v>18</v>
      </c>
      <c r="D1995" t="s">
        <v>61</v>
      </c>
      <c r="E1995" t="s">
        <v>69</v>
      </c>
      <c r="F1995" s="1">
        <v>43475</v>
      </c>
      <c r="G1995">
        <v>2025</v>
      </c>
      <c r="H1995" t="s">
        <v>46</v>
      </c>
      <c r="I1995" t="s">
        <v>262</v>
      </c>
      <c r="J1995" t="s">
        <v>153</v>
      </c>
      <c r="K1995">
        <v>8.5</v>
      </c>
      <c r="L1995">
        <v>11543863</v>
      </c>
      <c r="M1995">
        <v>1455830</v>
      </c>
      <c r="N1995">
        <v>120</v>
      </c>
      <c r="O1995" t="s">
        <v>41</v>
      </c>
    </row>
    <row r="1996" spans="1:16" x14ac:dyDescent="0.35">
      <c r="A1996" t="s">
        <v>4125</v>
      </c>
      <c r="B1996" t="s">
        <v>4126</v>
      </c>
      <c r="C1996" t="s">
        <v>53</v>
      </c>
      <c r="E1996" t="s">
        <v>80</v>
      </c>
      <c r="F1996" s="1">
        <v>45195</v>
      </c>
      <c r="G1996">
        <v>2020</v>
      </c>
      <c r="H1996" t="s">
        <v>114</v>
      </c>
      <c r="I1996" t="s">
        <v>95</v>
      </c>
      <c r="J1996" t="s">
        <v>30</v>
      </c>
      <c r="K1996">
        <v>7.8</v>
      </c>
      <c r="L1996">
        <v>13718888</v>
      </c>
      <c r="M1996">
        <v>1848817</v>
      </c>
      <c r="N1996">
        <v>51</v>
      </c>
      <c r="O1996" t="s">
        <v>49</v>
      </c>
      <c r="P1996" t="s">
        <v>50</v>
      </c>
    </row>
    <row r="1997" spans="1:16" x14ac:dyDescent="0.35">
      <c r="A1997" t="s">
        <v>4127</v>
      </c>
      <c r="B1997" t="s">
        <v>4128</v>
      </c>
      <c r="D1997" t="s">
        <v>68</v>
      </c>
      <c r="F1997" s="1">
        <v>42130</v>
      </c>
      <c r="G1997">
        <v>2003</v>
      </c>
      <c r="H1997" t="s">
        <v>107</v>
      </c>
      <c r="I1997" t="s">
        <v>56</v>
      </c>
      <c r="J1997" t="s">
        <v>30</v>
      </c>
      <c r="K1997">
        <v>4.8</v>
      </c>
      <c r="L1997">
        <v>523302</v>
      </c>
      <c r="M1997">
        <v>3088430</v>
      </c>
      <c r="N1997">
        <v>46</v>
      </c>
      <c r="O1997" t="s">
        <v>58</v>
      </c>
      <c r="P1997" t="s">
        <v>87</v>
      </c>
    </row>
    <row r="1998" spans="1:16" x14ac:dyDescent="0.35">
      <c r="A1998" t="s">
        <v>4129</v>
      </c>
      <c r="B1998" t="s">
        <v>4130</v>
      </c>
      <c r="C1998" t="s">
        <v>35</v>
      </c>
      <c r="D1998" t="s">
        <v>90</v>
      </c>
      <c r="E1998" t="s">
        <v>99</v>
      </c>
      <c r="G1998">
        <v>2016</v>
      </c>
      <c r="H1998" t="s">
        <v>46</v>
      </c>
      <c r="I1998" t="s">
        <v>39</v>
      </c>
      <c r="J1998" t="s">
        <v>57</v>
      </c>
      <c r="K1998">
        <v>9.5</v>
      </c>
      <c r="L1998">
        <v>13312806</v>
      </c>
      <c r="M1998">
        <v>2397098</v>
      </c>
      <c r="N1998">
        <v>70</v>
      </c>
      <c r="O1998" t="s">
        <v>49</v>
      </c>
      <c r="P1998" t="s">
        <v>87</v>
      </c>
    </row>
    <row r="1999" spans="1:16" x14ac:dyDescent="0.35">
      <c r="A1999" t="s">
        <v>4131</v>
      </c>
      <c r="B1999" t="s">
        <v>4132</v>
      </c>
      <c r="E1999" t="s">
        <v>131</v>
      </c>
      <c r="F1999" s="1">
        <v>45517</v>
      </c>
      <c r="G1999">
        <v>2001</v>
      </c>
      <c r="H1999" t="s">
        <v>70</v>
      </c>
      <c r="I1999" t="s">
        <v>56</v>
      </c>
      <c r="J1999" t="s">
        <v>103</v>
      </c>
      <c r="K1999">
        <v>4.8</v>
      </c>
      <c r="L1999">
        <v>21581419</v>
      </c>
      <c r="M1999">
        <v>3941895</v>
      </c>
      <c r="N1999">
        <v>69</v>
      </c>
      <c r="O1999" t="s">
        <v>31</v>
      </c>
      <c r="P1999" t="s">
        <v>87</v>
      </c>
    </row>
    <row r="2000" spans="1:16" x14ac:dyDescent="0.35">
      <c r="A2000" t="s">
        <v>4133</v>
      </c>
      <c r="B2000" t="s">
        <v>4134</v>
      </c>
      <c r="D2000" t="s">
        <v>94</v>
      </c>
      <c r="E2000" t="s">
        <v>69</v>
      </c>
      <c r="F2000" s="1">
        <v>45100</v>
      </c>
      <c r="G2000">
        <v>2012</v>
      </c>
      <c r="H2000" t="s">
        <v>85</v>
      </c>
      <c r="I2000" t="s">
        <v>136</v>
      </c>
      <c r="J2000" t="s">
        <v>103</v>
      </c>
      <c r="K2000">
        <v>4.9000000000000004</v>
      </c>
      <c r="L2000">
        <v>14329575</v>
      </c>
      <c r="M2000">
        <v>2426003</v>
      </c>
      <c r="N2000">
        <v>68</v>
      </c>
      <c r="O2000" t="s">
        <v>31</v>
      </c>
      <c r="P2000" t="s">
        <v>87</v>
      </c>
    </row>
    <row r="2001" spans="1:16" x14ac:dyDescent="0.35">
      <c r="A2001" t="s">
        <v>4135</v>
      </c>
      <c r="B2001" t="s">
        <v>4136</v>
      </c>
      <c r="C2001" t="s">
        <v>79</v>
      </c>
      <c r="E2001" t="s">
        <v>62</v>
      </c>
      <c r="F2001" s="1">
        <v>44214</v>
      </c>
      <c r="G2001">
        <v>2007</v>
      </c>
      <c r="H2001" t="s">
        <v>121</v>
      </c>
      <c r="I2001" t="s">
        <v>775</v>
      </c>
      <c r="J2001" t="s">
        <v>48</v>
      </c>
      <c r="K2001">
        <v>11.2</v>
      </c>
      <c r="L2001">
        <v>8439142</v>
      </c>
      <c r="M2001">
        <v>3963632</v>
      </c>
      <c r="N2001">
        <v>75</v>
      </c>
      <c r="O2001" t="s">
        <v>31</v>
      </c>
      <c r="P2001" t="s">
        <v>50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87B40-967A-4C5F-9156-56572C06A789}">
  <dimension ref="C1:G20"/>
  <sheetViews>
    <sheetView zoomScale="54" workbookViewId="0">
      <selection activeCell="D2" sqref="D2"/>
    </sheetView>
  </sheetViews>
  <sheetFormatPr defaultRowHeight="14.5" x14ac:dyDescent="0.35"/>
  <cols>
    <col min="2" max="2" width="2.08984375" customWidth="1"/>
    <col min="3" max="3" width="16.453125" customWidth="1"/>
    <col min="4" max="4" width="54.81640625" customWidth="1"/>
    <col min="6" max="6" width="14.26953125" customWidth="1"/>
    <col min="7" max="7" width="24.90625" customWidth="1"/>
  </cols>
  <sheetData>
    <row r="1" spans="3:7" x14ac:dyDescent="0.35">
      <c r="D1" s="10" t="s">
        <v>4154</v>
      </c>
    </row>
    <row r="4" spans="3:7" x14ac:dyDescent="0.35">
      <c r="C4" s="8" t="s">
        <v>4151</v>
      </c>
      <c r="D4" s="8" t="s">
        <v>4151</v>
      </c>
      <c r="F4" s="8" t="s">
        <v>4144</v>
      </c>
      <c r="G4" s="8" t="s">
        <v>4145</v>
      </c>
    </row>
    <row r="5" spans="3:7" x14ac:dyDescent="0.35">
      <c r="C5" s="9" t="s">
        <v>4139</v>
      </c>
      <c r="D5" s="9">
        <v>2000</v>
      </c>
      <c r="F5" s="9" t="s">
        <v>0</v>
      </c>
      <c r="G5" s="9" t="s">
        <v>4146</v>
      </c>
    </row>
    <row r="6" spans="3:7" x14ac:dyDescent="0.35">
      <c r="C6" s="9" t="s">
        <v>4140</v>
      </c>
      <c r="D6" s="9">
        <v>16</v>
      </c>
      <c r="F6" s="9" t="s">
        <v>1</v>
      </c>
      <c r="G6" s="9" t="s">
        <v>4146</v>
      </c>
    </row>
    <row r="7" spans="3:7" ht="29" x14ac:dyDescent="0.35">
      <c r="C7" s="9" t="s">
        <v>4141</v>
      </c>
      <c r="D7" s="9" t="s">
        <v>4152</v>
      </c>
      <c r="F7" s="9" t="s">
        <v>2</v>
      </c>
      <c r="G7" s="9" t="s">
        <v>4146</v>
      </c>
    </row>
    <row r="8" spans="3:7" x14ac:dyDescent="0.35">
      <c r="C8" s="9" t="s">
        <v>4142</v>
      </c>
      <c r="D8" s="9" t="s">
        <v>4152</v>
      </c>
      <c r="F8" s="9" t="s">
        <v>3</v>
      </c>
      <c r="G8" s="9" t="s">
        <v>4146</v>
      </c>
    </row>
    <row r="9" spans="3:7" ht="87" customHeight="1" x14ac:dyDescent="0.35">
      <c r="C9" s="9" t="s">
        <v>4143</v>
      </c>
      <c r="D9" s="9" t="s">
        <v>4153</v>
      </c>
      <c r="F9" s="9" t="s">
        <v>4</v>
      </c>
      <c r="G9" s="9" t="s">
        <v>4146</v>
      </c>
    </row>
    <row r="10" spans="3:7" x14ac:dyDescent="0.35">
      <c r="F10" s="9" t="s">
        <v>5</v>
      </c>
      <c r="G10" s="9" t="s">
        <v>4147</v>
      </c>
    </row>
    <row r="11" spans="3:7" x14ac:dyDescent="0.35">
      <c r="F11" s="9" t="s">
        <v>6</v>
      </c>
      <c r="G11" s="9" t="s">
        <v>4148</v>
      </c>
    </row>
    <row r="12" spans="3:7" x14ac:dyDescent="0.35">
      <c r="F12" s="9" t="s">
        <v>7</v>
      </c>
      <c r="G12" s="9" t="s">
        <v>4146</v>
      </c>
    </row>
    <row r="13" spans="3:7" x14ac:dyDescent="0.35">
      <c r="F13" s="9" t="s">
        <v>8</v>
      </c>
      <c r="G13" s="9" t="s">
        <v>4146</v>
      </c>
    </row>
    <row r="14" spans="3:7" x14ac:dyDescent="0.35">
      <c r="F14" s="9" t="s">
        <v>9</v>
      </c>
      <c r="G14" s="9" t="s">
        <v>4146</v>
      </c>
    </row>
    <row r="15" spans="3:7" x14ac:dyDescent="0.35">
      <c r="F15" s="9" t="s">
        <v>10</v>
      </c>
      <c r="G15" s="9" t="s">
        <v>4149</v>
      </c>
    </row>
    <row r="16" spans="3:7" x14ac:dyDescent="0.35">
      <c r="F16" s="9" t="s">
        <v>11</v>
      </c>
      <c r="G16" s="9" t="s">
        <v>4148</v>
      </c>
    </row>
    <row r="17" spans="6:7" x14ac:dyDescent="0.35">
      <c r="F17" s="9" t="s">
        <v>12</v>
      </c>
      <c r="G17" s="9" t="s">
        <v>4148</v>
      </c>
    </row>
    <row r="18" spans="6:7" x14ac:dyDescent="0.35">
      <c r="F18" s="9" t="s">
        <v>13</v>
      </c>
      <c r="G18" s="9" t="s">
        <v>4150</v>
      </c>
    </row>
    <row r="19" spans="6:7" x14ac:dyDescent="0.35">
      <c r="F19" s="9" t="s">
        <v>14</v>
      </c>
      <c r="G19" s="9" t="s">
        <v>4146</v>
      </c>
    </row>
    <row r="20" spans="6:7" x14ac:dyDescent="0.35">
      <c r="F20" s="9" t="s">
        <v>15</v>
      </c>
      <c r="G20" s="9" t="s">
        <v>4146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91038-D709-4881-8EF7-D3FD599DE8F4}">
  <dimension ref="F4:H15"/>
  <sheetViews>
    <sheetView workbookViewId="0">
      <selection activeCell="J10" sqref="J10"/>
    </sheetView>
  </sheetViews>
  <sheetFormatPr defaultRowHeight="14.5" x14ac:dyDescent="0.35"/>
  <cols>
    <col min="7" max="7" width="20.7265625" customWidth="1"/>
    <col min="8" max="8" width="38.7265625" customWidth="1"/>
  </cols>
  <sheetData>
    <row r="4" spans="6:8" ht="15" thickBot="1" x14ac:dyDescent="0.4"/>
    <row r="5" spans="6:8" x14ac:dyDescent="0.35">
      <c r="F5" s="11" t="s">
        <v>4155</v>
      </c>
      <c r="G5" s="12" t="s">
        <v>4156</v>
      </c>
      <c r="H5" s="13" t="s">
        <v>4157</v>
      </c>
    </row>
    <row r="6" spans="6:8" x14ac:dyDescent="0.35">
      <c r="F6" s="14">
        <v>1</v>
      </c>
      <c r="G6" s="9" t="s">
        <v>4158</v>
      </c>
      <c r="H6" s="15" t="s">
        <v>4159</v>
      </c>
    </row>
    <row r="7" spans="6:8" x14ac:dyDescent="0.35">
      <c r="F7" s="14">
        <v>2</v>
      </c>
      <c r="G7" s="9" t="s">
        <v>4142</v>
      </c>
      <c r="H7" s="15" t="s">
        <v>4160</v>
      </c>
    </row>
    <row r="8" spans="6:8" x14ac:dyDescent="0.35">
      <c r="F8" s="14">
        <v>3</v>
      </c>
      <c r="G8" s="9" t="s">
        <v>4161</v>
      </c>
      <c r="H8" s="15" t="s">
        <v>4162</v>
      </c>
    </row>
    <row r="9" spans="6:8" x14ac:dyDescent="0.35">
      <c r="F9" s="14">
        <v>4</v>
      </c>
      <c r="G9" s="9" t="s">
        <v>4163</v>
      </c>
      <c r="H9" s="15" t="s">
        <v>4164</v>
      </c>
    </row>
    <row r="10" spans="6:8" ht="29" x14ac:dyDescent="0.35">
      <c r="F10" s="14">
        <v>5</v>
      </c>
      <c r="G10" s="9" t="s">
        <v>4165</v>
      </c>
      <c r="H10" s="15" t="s">
        <v>4166</v>
      </c>
    </row>
    <row r="11" spans="6:8" x14ac:dyDescent="0.35">
      <c r="F11" s="14">
        <v>6</v>
      </c>
      <c r="G11" s="9" t="s">
        <v>4167</v>
      </c>
      <c r="H11" s="15" t="s">
        <v>4168</v>
      </c>
    </row>
    <row r="12" spans="6:8" x14ac:dyDescent="0.35">
      <c r="F12" s="14">
        <v>7</v>
      </c>
      <c r="G12" s="9" t="s">
        <v>4169</v>
      </c>
      <c r="H12" s="15" t="s">
        <v>4170</v>
      </c>
    </row>
    <row r="13" spans="6:8" x14ac:dyDescent="0.35">
      <c r="F13" s="14">
        <v>8</v>
      </c>
      <c r="G13" s="9" t="s">
        <v>4171</v>
      </c>
      <c r="H13" s="15" t="s">
        <v>4172</v>
      </c>
    </row>
    <row r="14" spans="6:8" ht="29" x14ac:dyDescent="0.35">
      <c r="F14" s="14">
        <v>9</v>
      </c>
      <c r="G14" s="9" t="s">
        <v>4173</v>
      </c>
      <c r="H14" s="15" t="s">
        <v>4174</v>
      </c>
    </row>
    <row r="15" spans="6:8" ht="15" thickBot="1" x14ac:dyDescent="0.4">
      <c r="F15" s="16">
        <v>10</v>
      </c>
      <c r="G15" s="17" t="s">
        <v>4175</v>
      </c>
      <c r="H15" s="18" t="s">
        <v>4176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5C2274-8F2E-40A0-BC3F-D973A31131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Netflix_Cleaned</vt:lpstr>
      <vt:lpstr>Dashboard</vt:lpstr>
      <vt:lpstr>Dataset Overview2</vt:lpstr>
      <vt:lpstr>Netflix_Dirty_Dataset</vt:lpstr>
      <vt:lpstr>Dataset Overview</vt:lpstr>
      <vt:lpstr>Data Cleaning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Shanmukh Koyya</dc:creator>
  <cp:lastModifiedBy>Shanmukh Koyya</cp:lastModifiedBy>
  <dcterms:created xsi:type="dcterms:W3CDTF">2026-08-01T07:16:21Z</dcterms:created>
  <dcterms:modified xsi:type="dcterms:W3CDTF">2026-08-06T04:36:20Z</dcterms:modified>
</cp:coreProperties>
</file>